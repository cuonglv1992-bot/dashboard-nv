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rc/DashboardNV/dashboard-nv/data/"/>
    </mc:Choice>
  </mc:AlternateContent>
  <xr:revisionPtr revIDLastSave="0" documentId="13_ncr:1_{6FF1AC35-3F05-454E-A190-9DDCD7D3F04B}" xr6:coauthVersionLast="47" xr6:coauthVersionMax="47" xr10:uidLastSave="{00000000-0000-0000-0000-000000000000}"/>
  <bookViews>
    <workbookView xWindow="0" yWindow="600" windowWidth="28800" windowHeight="16080" activeTab="12" xr2:uid="{63BCEA8D-72A1-5741-8A8F-1D27B5A379FB}"/>
  </bookViews>
  <sheets>
    <sheet name="RULE" sheetId="1" state="hidden" r:id="rId1"/>
    <sheet name="TD THI DUA" sheetId="10" state="hidden" r:id="rId2"/>
    <sheet name="Hieu Qua NV" sheetId="27" r:id="rId3"/>
    <sheet name="Thi dua NV" sheetId="28" r:id="rId4"/>
    <sheet name="T4" sheetId="35" state="hidden" r:id="rId5"/>
    <sheet name="CONFIG" sheetId="42" r:id="rId6"/>
    <sheet name="STRAM" sheetId="30" r:id="rId7"/>
    <sheet name="EXPORT" sheetId="41" state="hidden" r:id="rId8"/>
    <sheet name="LLV" sheetId="37" r:id="rId9"/>
    <sheet name="DATA_NH" sheetId="33" r:id="rId10"/>
    <sheet name="KB" sheetId="22" r:id="rId11"/>
    <sheet name="XL_DT_TD" sheetId="24" r:id="rId12"/>
    <sheet name="DATA_THIDUA_ST" sheetId="14" r:id="rId13"/>
    <sheet name="DATA_TĐ" sheetId="11" r:id="rId14"/>
    <sheet name="BÁN KÈM" sheetId="29" r:id="rId15"/>
    <sheet name="DATA DT" sheetId="4" r:id="rId16"/>
  </sheets>
  <definedNames>
    <definedName name="_xlnm._FilterDatabase" localSheetId="10" hidden="1">KB!$B$1:$E$33</definedName>
    <definedName name="_xlnm._FilterDatabase" localSheetId="6" hidden="1">STRAM!$A$9:$DA$32</definedName>
    <definedName name="_xlnm._FilterDatabase" localSheetId="11" hidden="1">XL_DT_TD!$B$1:$R$407</definedName>
    <definedName name="_xleta.COUNTIF" hidden="1" xlm="1">#NAME?</definedName>
    <definedName name="_xleta.N" hidden="1" xlm="1">#NAME?</definedName>
    <definedName name="_xleta.SUMIFS" hidden="1" xlm="1">#NAME?</definedName>
    <definedName name="Z_FEB50EEF_352C_B844_A6F4_33499875B85A_.wvu.Cols" localSheetId="2" hidden="1">'Hieu Qua NV'!$L:$O,'Hieu Qua NV'!$T:$U</definedName>
    <definedName name="Z_FEB50EEF_352C_B844_A6F4_33499875B85A_.wvu.Cols" localSheetId="6" hidden="1">STRAM!$J:$J,STRAM!$N:$O</definedName>
    <definedName name="Z_FEB50EEF_352C_B844_A6F4_33499875B85A_.wvu.Cols" localSheetId="11" hidden="1">XL_DT_TD!$F:$F</definedName>
    <definedName name="Z_FEB50EEF_352C_B844_A6F4_33499875B85A_.wvu.FilterData" localSheetId="10" hidden="1">KB!$B$1:$E$1</definedName>
    <definedName name="Z_FEB50EEF_352C_B844_A6F4_33499875B85A_.wvu.FilterData" localSheetId="6" hidden="1">STRAM!$A$9:$AP$9</definedName>
    <definedName name="Z_FEB50EEF_352C_B844_A6F4_33499875B85A_.wvu.FilterData" localSheetId="11" hidden="1">XL_DT_TD!$B$1:$R$234</definedName>
    <definedName name="Z_FEB50EEF_352C_B844_A6F4_33499875B85A_.wvu.Rows" localSheetId="0" hidden="1">RULE!$6:$7,RULE!$13:$15</definedName>
  </definedNames>
  <calcPr calcId="191029"/>
  <customWorkbookViews>
    <customWorkbookView name="K chạy" guid="{FEB50EEF-352C-B844-A6F4-33499875B85A}" xWindow="15" yWindow="30" windowWidth="1425" windowHeight="780" activeSheetId="3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5" i="37" l="1"/>
  <c r="E44" i="37"/>
  <c r="E36" i="37"/>
  <c r="E35" i="37"/>
  <c r="E27" i="37"/>
  <c r="E26" i="37"/>
  <c r="H429" i="24"/>
  <c r="H430" i="24"/>
  <c r="H415" i="24"/>
  <c r="H416" i="24"/>
  <c r="H423" i="24"/>
  <c r="H424" i="24"/>
  <c r="H425" i="24"/>
  <c r="H426" i="24"/>
  <c r="H427" i="24"/>
  <c r="H428" i="24"/>
  <c r="H431" i="24"/>
  <c r="H432" i="24"/>
  <c r="H433" i="24"/>
  <c r="H434" i="24"/>
  <c r="H422" i="24"/>
  <c r="H409" i="24"/>
  <c r="H410" i="24"/>
  <c r="H411" i="24"/>
  <c r="H412" i="24"/>
  <c r="H413" i="24"/>
  <c r="H414" i="24"/>
  <c r="H417" i="24"/>
  <c r="H418" i="24"/>
  <c r="H419" i="24"/>
  <c r="H420" i="24"/>
  <c r="H408" i="24"/>
  <c r="J21" i="22"/>
  <c r="K21" i="22"/>
  <c r="L21" i="22"/>
  <c r="M21" i="22"/>
  <c r="N21" i="22"/>
  <c r="O21" i="22"/>
  <c r="P21" i="22"/>
  <c r="Q21" i="22"/>
  <c r="R21" i="22"/>
  <c r="S21" i="22"/>
  <c r="T21" i="22"/>
  <c r="U21" i="22"/>
  <c r="V21" i="22"/>
  <c r="W21" i="22"/>
  <c r="X21" i="22"/>
  <c r="Y21" i="22"/>
  <c r="Z21" i="22"/>
  <c r="AA21" i="22"/>
  <c r="AB21" i="22"/>
  <c r="AC21" i="22"/>
  <c r="AD21" i="22"/>
  <c r="AE21" i="22"/>
  <c r="AF21" i="22"/>
  <c r="J22" i="22"/>
  <c r="K22" i="22"/>
  <c r="L22" i="22"/>
  <c r="M22" i="22"/>
  <c r="N22" i="22"/>
  <c r="O22" i="22"/>
  <c r="P22" i="22"/>
  <c r="Q22" i="22"/>
  <c r="R22" i="22"/>
  <c r="S22" i="22"/>
  <c r="T22" i="22"/>
  <c r="U22" i="22"/>
  <c r="V22" i="22"/>
  <c r="W22" i="22"/>
  <c r="X22" i="22"/>
  <c r="Y22" i="22"/>
  <c r="Z22" i="22"/>
  <c r="AA22" i="22"/>
  <c r="AB22" i="22"/>
  <c r="AC22" i="22"/>
  <c r="AD22" i="22"/>
  <c r="AE22" i="22"/>
  <c r="AF22" i="22"/>
  <c r="J23" i="22"/>
  <c r="K23" i="22"/>
  <c r="L23" i="22"/>
  <c r="M23" i="22"/>
  <c r="N23" i="22"/>
  <c r="O23" i="22"/>
  <c r="P23" i="22"/>
  <c r="Q23" i="22"/>
  <c r="R23" i="22"/>
  <c r="S23" i="22"/>
  <c r="T23" i="22"/>
  <c r="U23" i="22"/>
  <c r="V23" i="22"/>
  <c r="W23" i="22"/>
  <c r="X23" i="22"/>
  <c r="Y23" i="22"/>
  <c r="Z23" i="22"/>
  <c r="AA23" i="22"/>
  <c r="AB23" i="22"/>
  <c r="AC23" i="22"/>
  <c r="AD23" i="22"/>
  <c r="AE23" i="22"/>
  <c r="AF23" i="22"/>
  <c r="J24" i="22"/>
  <c r="K24" i="22"/>
  <c r="L24" i="22"/>
  <c r="M24" i="22"/>
  <c r="N24" i="22"/>
  <c r="O24" i="22"/>
  <c r="P24" i="22"/>
  <c r="Q24" i="22"/>
  <c r="R24" i="22"/>
  <c r="S24" i="22"/>
  <c r="T24" i="22"/>
  <c r="U24" i="22"/>
  <c r="V24" i="22"/>
  <c r="W24" i="22"/>
  <c r="X24" i="22"/>
  <c r="Y24" i="22"/>
  <c r="Z24" i="22"/>
  <c r="AA24" i="22"/>
  <c r="AB24" i="22"/>
  <c r="AC24" i="22"/>
  <c r="AD24" i="22"/>
  <c r="AE24" i="22"/>
  <c r="AF24" i="22"/>
  <c r="J25" i="22"/>
  <c r="K25" i="22"/>
  <c r="L25" i="22"/>
  <c r="M25" i="22"/>
  <c r="N25" i="22"/>
  <c r="O25" i="22"/>
  <c r="P25" i="22"/>
  <c r="Q25" i="22"/>
  <c r="R25" i="22"/>
  <c r="S25" i="22"/>
  <c r="T25" i="22"/>
  <c r="U25" i="22"/>
  <c r="V25" i="22"/>
  <c r="W25" i="22"/>
  <c r="X25" i="22"/>
  <c r="Y25" i="22"/>
  <c r="Z25" i="22"/>
  <c r="AA25" i="22"/>
  <c r="AB25" i="22"/>
  <c r="AC25" i="22"/>
  <c r="AD25" i="22"/>
  <c r="AE25" i="22"/>
  <c r="AF25" i="22"/>
  <c r="J26" i="22"/>
  <c r="K26" i="22"/>
  <c r="L26" i="22"/>
  <c r="M26" i="22"/>
  <c r="N26" i="22"/>
  <c r="O26" i="22"/>
  <c r="P26" i="22"/>
  <c r="Q26" i="22"/>
  <c r="R26" i="22"/>
  <c r="S26" i="22"/>
  <c r="T26" i="22"/>
  <c r="U26" i="22"/>
  <c r="V26" i="22"/>
  <c r="W26" i="22"/>
  <c r="X26" i="22"/>
  <c r="Y26" i="22"/>
  <c r="Z26" i="22"/>
  <c r="AA26" i="22"/>
  <c r="AB26" i="22"/>
  <c r="AC26" i="22"/>
  <c r="AD26" i="22"/>
  <c r="AE26" i="22"/>
  <c r="AF26" i="22"/>
  <c r="B8" i="42" a="1"/>
  <c r="AG47" i="22"/>
  <c r="AG48" i="22"/>
  <c r="AG49" i="22"/>
  <c r="AG50" i="22"/>
  <c r="J29" i="22"/>
  <c r="F71" i="22"/>
  <c r="G56" i="22"/>
  <c r="F56" i="22"/>
  <c r="G69" i="22"/>
  <c r="F69" i="22"/>
  <c r="G62" i="22"/>
  <c r="F62" i="22"/>
  <c r="G61" i="22"/>
  <c r="F61" i="22"/>
  <c r="G55" i="22"/>
  <c r="F55" i="22"/>
  <c r="G54" i="22"/>
  <c r="F54" i="22"/>
  <c r="G60" i="22"/>
  <c r="F60" i="22"/>
  <c r="G63" i="22"/>
  <c r="F63" i="22"/>
  <c r="G53" i="22"/>
  <c r="F53" i="22"/>
  <c r="G52" i="22"/>
  <c r="F52" i="22"/>
  <c r="G59" i="22"/>
  <c r="F59" i="22"/>
  <c r="G64" i="22"/>
  <c r="F64" i="22"/>
  <c r="AG38" i="22" a="1"/>
  <c r="AG39" i="22" a="1"/>
  <c r="AG40" i="22" a="1"/>
  <c r="AG41" i="22" a="1"/>
  <c r="AG42" i="22" a="1"/>
  <c r="AG43" i="22" a="1"/>
  <c r="AG44" i="22" a="1"/>
  <c r="AG45" i="22" a="1"/>
  <c r="AG46" i="22" a="1"/>
  <c r="F39" i="22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F49" i="30"/>
  <c r="G49" i="30"/>
  <c r="I49" i="30"/>
  <c r="F50" i="30"/>
  <c r="G50" i="30"/>
  <c r="I50" i="30"/>
  <c r="F51" i="30"/>
  <c r="G51" i="30"/>
  <c r="I51" i="30"/>
  <c r="F52" i="30"/>
  <c r="G52" i="30"/>
  <c r="I52" i="30"/>
  <c r="K29" i="22"/>
  <c r="L29" i="22"/>
  <c r="M29" i="22"/>
  <c r="N29" i="22"/>
  <c r="O29" i="22"/>
  <c r="P29" i="22"/>
  <c r="Q29" i="22"/>
  <c r="R29" i="22"/>
  <c r="S29" i="22"/>
  <c r="T29" i="22"/>
  <c r="U29" i="22"/>
  <c r="V29" i="22"/>
  <c r="W29" i="22"/>
  <c r="X29" i="22"/>
  <c r="Y29" i="22"/>
  <c r="Z29" i="22"/>
  <c r="AA29" i="22"/>
  <c r="AB29" i="22"/>
  <c r="AC29" i="22"/>
  <c r="AD29" i="22"/>
  <c r="AE29" i="22"/>
  <c r="AF29" i="22"/>
  <c r="K30" i="22"/>
  <c r="L30" i="22"/>
  <c r="M30" i="22"/>
  <c r="N30" i="22"/>
  <c r="O30" i="22"/>
  <c r="P30" i="22"/>
  <c r="Q30" i="22"/>
  <c r="R30" i="22"/>
  <c r="S30" i="22"/>
  <c r="T30" i="22"/>
  <c r="U30" i="22"/>
  <c r="V30" i="22"/>
  <c r="W30" i="22"/>
  <c r="X30" i="22"/>
  <c r="Y30" i="22"/>
  <c r="Z30" i="22"/>
  <c r="AA30" i="22"/>
  <c r="AB30" i="22"/>
  <c r="AC30" i="22"/>
  <c r="AD30" i="22"/>
  <c r="AE30" i="22"/>
  <c r="AF30" i="22"/>
  <c r="K31" i="22"/>
  <c r="L31" i="22"/>
  <c r="M31" i="22"/>
  <c r="N31" i="22"/>
  <c r="O31" i="22"/>
  <c r="P31" i="22"/>
  <c r="Q31" i="22"/>
  <c r="R31" i="22"/>
  <c r="S31" i="22"/>
  <c r="T31" i="22"/>
  <c r="U31" i="22"/>
  <c r="V31" i="22"/>
  <c r="W31" i="22"/>
  <c r="X31" i="22"/>
  <c r="Y31" i="22"/>
  <c r="Z31" i="22"/>
  <c r="AA31" i="22"/>
  <c r="AB31" i="22"/>
  <c r="AC31" i="22"/>
  <c r="AD31" i="22"/>
  <c r="AE31" i="22"/>
  <c r="AF31" i="22"/>
  <c r="K32" i="22"/>
  <c r="L32" i="22"/>
  <c r="M32" i="22"/>
  <c r="N32" i="22"/>
  <c r="O32" i="22"/>
  <c r="P32" i="22"/>
  <c r="Q32" i="22"/>
  <c r="R32" i="22"/>
  <c r="S32" i="22"/>
  <c r="T32" i="22"/>
  <c r="U32" i="22"/>
  <c r="V32" i="22"/>
  <c r="W32" i="22"/>
  <c r="X32" i="22"/>
  <c r="Y32" i="22"/>
  <c r="Z32" i="22"/>
  <c r="AA32" i="22"/>
  <c r="AB32" i="22"/>
  <c r="AC32" i="22"/>
  <c r="AD32" i="22"/>
  <c r="AE32" i="22"/>
  <c r="AF32" i="22"/>
  <c r="J30" i="22"/>
  <c r="J31" i="22"/>
  <c r="J32" i="22"/>
  <c r="S2" i="14"/>
  <c r="S4" i="14"/>
  <c r="S5" i="14"/>
  <c r="S7" i="14"/>
  <c r="S8" i="14"/>
  <c r="S9" i="14"/>
  <c r="S10" i="14"/>
  <c r="S11" i="14"/>
  <c r="S12" i="14"/>
  <c r="S13" i="14"/>
  <c r="S14" i="14"/>
  <c r="S15" i="14"/>
  <c r="S16" i="14"/>
  <c r="S17" i="14"/>
  <c r="S18" i="14"/>
  <c r="S19" i="14"/>
  <c r="S20" i="14"/>
  <c r="S21" i="14"/>
  <c r="S22" i="14"/>
  <c r="S23" i="14"/>
  <c r="S1" i="14"/>
  <c r="I1" i="14"/>
  <c r="I2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3" i="14"/>
  <c r="G25" i="22"/>
  <c r="F25" i="22"/>
  <c r="G37" i="22"/>
  <c r="F37" i="22"/>
  <c r="G36" i="22"/>
  <c r="F36" i="22"/>
  <c r="G35" i="22"/>
  <c r="F35" i="22"/>
  <c r="G34" i="22"/>
  <c r="F34" i="22"/>
  <c r="G33" i="22"/>
  <c r="F33" i="22"/>
  <c r="G32" i="22"/>
  <c r="F32" i="22"/>
  <c r="G31" i="22"/>
  <c r="F31" i="22"/>
  <c r="G24" i="22"/>
  <c r="F24" i="22"/>
  <c r="G30" i="22"/>
  <c r="F30" i="22"/>
  <c r="G23" i="22"/>
  <c r="F23" i="22"/>
  <c r="G22" i="22"/>
  <c r="F22" i="22"/>
  <c r="G29" i="22"/>
  <c r="F29" i="22"/>
  <c r="G28" i="22"/>
  <c r="F28" i="22"/>
  <c r="G14" i="22"/>
  <c r="F14" i="22"/>
  <c r="G21" i="22"/>
  <c r="F21" i="22"/>
  <c r="G27" i="22"/>
  <c r="F27" i="22"/>
  <c r="G20" i="22"/>
  <c r="F20" i="22"/>
  <c r="C31" i="10"/>
  <c r="D44" i="10" s="1"/>
  <c r="L3" i="37"/>
  <c r="R3" i="37" s="1"/>
  <c r="X3" i="37" s="1"/>
  <c r="AD3" i="37" s="1"/>
  <c r="AJ3" i="37" s="1"/>
  <c r="AP3" i="37" s="1"/>
  <c r="V20" i="28"/>
  <c r="Y20" i="28"/>
  <c r="AE20" i="22"/>
  <c r="AF20" i="22"/>
  <c r="AD20" i="22"/>
  <c r="AC20" i="22"/>
  <c r="AB20" i="22"/>
  <c r="AA20" i="22"/>
  <c r="C407" i="24"/>
  <c r="F407" i="24" s="1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G234" i="24" a="1"/>
  <c r="G234" i="24" s="1"/>
  <c r="G297" i="24" a="1"/>
  <c r="G297" i="24" s="1"/>
  <c r="G304" i="24" a="1"/>
  <c r="G304" i="24" s="1"/>
  <c r="G310" i="24" a="1"/>
  <c r="G310" i="24" s="1"/>
  <c r="G311" i="24" a="1"/>
  <c r="G311" i="24" s="1"/>
  <c r="G312" i="24" a="1"/>
  <c r="G312" i="24" s="1"/>
  <c r="G313" i="24" a="1"/>
  <c r="G313" i="24" s="1"/>
  <c r="G314" i="24" a="1"/>
  <c r="G314" i="24" s="1"/>
  <c r="G315" i="24" a="1"/>
  <c r="G315" i="24" s="1"/>
  <c r="G316" i="24" a="1"/>
  <c r="G316" i="24" s="1"/>
  <c r="G317" i="24" a="1"/>
  <c r="G317" i="24" s="1"/>
  <c r="G318" i="24" a="1"/>
  <c r="G318" i="24" s="1"/>
  <c r="G319" i="24" a="1"/>
  <c r="G319" i="24" s="1"/>
  <c r="G320" i="24" a="1"/>
  <c r="G320" i="24" s="1"/>
  <c r="G321" i="24" a="1"/>
  <c r="G321" i="24" s="1"/>
  <c r="G322" i="24" a="1"/>
  <c r="G322" i="24" s="1"/>
  <c r="G346" i="24" a="1"/>
  <c r="G346" i="24" s="1"/>
  <c r="G374" i="24" a="1"/>
  <c r="G374" i="24" s="1"/>
  <c r="W53" i="30"/>
  <c r="Z53" i="30"/>
  <c r="AC53" i="30"/>
  <c r="T53" i="30"/>
  <c r="E42" i="30"/>
  <c r="E48" i="30"/>
  <c r="E52" i="30"/>
  <c r="B10" i="30"/>
  <c r="E10" i="30"/>
  <c r="F10" i="30"/>
  <c r="G10" i="30"/>
  <c r="I10" i="30"/>
  <c r="O10" i="30"/>
  <c r="Q10" i="30" s="1"/>
  <c r="B11" i="30"/>
  <c r="E11" i="30"/>
  <c r="F11" i="30"/>
  <c r="G11" i="30"/>
  <c r="I11" i="30"/>
  <c r="O11" i="30"/>
  <c r="B12" i="30"/>
  <c r="E12" i="30"/>
  <c r="F12" i="30"/>
  <c r="G12" i="30"/>
  <c r="I12" i="30"/>
  <c r="O12" i="30"/>
  <c r="B13" i="30"/>
  <c r="E13" i="30"/>
  <c r="F13" i="30"/>
  <c r="G13" i="30"/>
  <c r="I13" i="30"/>
  <c r="O13" i="30"/>
  <c r="B14" i="30"/>
  <c r="E14" i="30"/>
  <c r="F14" i="30"/>
  <c r="G14" i="30"/>
  <c r="I14" i="30"/>
  <c r="O14" i="30"/>
  <c r="B15" i="30"/>
  <c r="E15" i="30"/>
  <c r="F15" i="30"/>
  <c r="G15" i="30"/>
  <c r="I15" i="30"/>
  <c r="O15" i="30"/>
  <c r="B16" i="30"/>
  <c r="E16" i="30"/>
  <c r="F16" i="30"/>
  <c r="G16" i="30"/>
  <c r="I16" i="30"/>
  <c r="O16" i="30"/>
  <c r="B17" i="30"/>
  <c r="E17" i="30"/>
  <c r="F17" i="30"/>
  <c r="G17" i="30"/>
  <c r="I17" i="30"/>
  <c r="O17" i="30"/>
  <c r="B18" i="30"/>
  <c r="E18" i="30"/>
  <c r="F18" i="30"/>
  <c r="G18" i="30"/>
  <c r="I18" i="30"/>
  <c r="O18" i="30"/>
  <c r="B19" i="30"/>
  <c r="E19" i="30"/>
  <c r="F19" i="30"/>
  <c r="G19" i="30"/>
  <c r="I19" i="30"/>
  <c r="O19" i="30"/>
  <c r="B20" i="30"/>
  <c r="E20" i="30"/>
  <c r="F20" i="30"/>
  <c r="G20" i="30"/>
  <c r="I20" i="30"/>
  <c r="O20" i="30"/>
  <c r="B21" i="30"/>
  <c r="E21" i="30"/>
  <c r="F21" i="30"/>
  <c r="G21" i="30"/>
  <c r="I21" i="30"/>
  <c r="O21" i="30"/>
  <c r="B22" i="30"/>
  <c r="E22" i="30"/>
  <c r="F22" i="30"/>
  <c r="G22" i="30"/>
  <c r="I22" i="30"/>
  <c r="O22" i="30"/>
  <c r="B23" i="30"/>
  <c r="E23" i="30"/>
  <c r="F23" i="30"/>
  <c r="G23" i="30"/>
  <c r="I23" i="30"/>
  <c r="O23" i="30"/>
  <c r="B24" i="30"/>
  <c r="E24" i="30"/>
  <c r="F24" i="30"/>
  <c r="G24" i="30"/>
  <c r="I24" i="30"/>
  <c r="O24" i="30"/>
  <c r="B25" i="30"/>
  <c r="E25" i="30"/>
  <c r="F25" i="30"/>
  <c r="G25" i="30"/>
  <c r="I25" i="30"/>
  <c r="O25" i="30"/>
  <c r="B26" i="30"/>
  <c r="E26" i="30"/>
  <c r="F26" i="30"/>
  <c r="G26" i="30"/>
  <c r="I26" i="30"/>
  <c r="O26" i="30"/>
  <c r="B27" i="30"/>
  <c r="E27" i="30"/>
  <c r="F27" i="30"/>
  <c r="G27" i="30"/>
  <c r="I27" i="30"/>
  <c r="O27" i="30"/>
  <c r="B28" i="30"/>
  <c r="E28" i="30"/>
  <c r="F28" i="30"/>
  <c r="G28" i="30"/>
  <c r="I28" i="30"/>
  <c r="O28" i="30"/>
  <c r="B29" i="30"/>
  <c r="E29" i="30"/>
  <c r="F29" i="30"/>
  <c r="G29" i="30"/>
  <c r="I29" i="30"/>
  <c r="O29" i="30"/>
  <c r="B30" i="30"/>
  <c r="E30" i="30"/>
  <c r="F30" i="30"/>
  <c r="G30" i="30"/>
  <c r="I30" i="30"/>
  <c r="O30" i="30"/>
  <c r="B31" i="30"/>
  <c r="E31" i="30"/>
  <c r="F31" i="30"/>
  <c r="G31" i="30"/>
  <c r="I31" i="30"/>
  <c r="O31" i="30"/>
  <c r="B32" i="30"/>
  <c r="E32" i="30"/>
  <c r="F32" i="30"/>
  <c r="G32" i="30"/>
  <c r="I32" i="30"/>
  <c r="O32" i="30"/>
  <c r="AO34" i="30"/>
  <c r="AL34" i="30"/>
  <c r="AM33" i="30"/>
  <c r="AJ33" i="30"/>
  <c r="J20" i="22"/>
  <c r="C384" i="24"/>
  <c r="C385" i="24"/>
  <c r="C356" i="24"/>
  <c r="C357" i="24"/>
  <c r="C328" i="24"/>
  <c r="C329" i="24"/>
  <c r="C301" i="24"/>
  <c r="C302" i="24"/>
  <c r="C287" i="24"/>
  <c r="C288" i="24"/>
  <c r="C272" i="24"/>
  <c r="C273" i="24"/>
  <c r="C258" i="24"/>
  <c r="C259" i="24"/>
  <c r="C244" i="24"/>
  <c r="C245" i="24"/>
  <c r="C216" i="24"/>
  <c r="C217" i="24"/>
  <c r="C202" i="24"/>
  <c r="C203" i="24"/>
  <c r="C188" i="24"/>
  <c r="C189" i="24"/>
  <c r="C173" i="24"/>
  <c r="C174" i="24"/>
  <c r="C160" i="24"/>
  <c r="C161" i="24"/>
  <c r="C146" i="24"/>
  <c r="C147" i="24"/>
  <c r="C133" i="24"/>
  <c r="C134" i="24"/>
  <c r="C119" i="24"/>
  <c r="C120" i="24"/>
  <c r="C104" i="24"/>
  <c r="C105" i="24"/>
  <c r="C90" i="24"/>
  <c r="C91" i="24"/>
  <c r="C76" i="24"/>
  <c r="C77" i="24"/>
  <c r="C62" i="24"/>
  <c r="C63" i="24"/>
  <c r="C34" i="24"/>
  <c r="C35" i="24"/>
  <c r="C20" i="24"/>
  <c r="C21" i="24"/>
  <c r="C7" i="24"/>
  <c r="C8" i="24"/>
  <c r="T20" i="28"/>
  <c r="C393" i="24"/>
  <c r="F393" i="24" s="1"/>
  <c r="C392" i="24"/>
  <c r="C391" i="24"/>
  <c r="C390" i="24"/>
  <c r="C389" i="24"/>
  <c r="C388" i="24"/>
  <c r="C387" i="24"/>
  <c r="C386" i="24"/>
  <c r="C383" i="24"/>
  <c r="C382" i="24"/>
  <c r="C381" i="24"/>
  <c r="C380" i="24"/>
  <c r="R31" i="10"/>
  <c r="M31" i="10"/>
  <c r="H31" i="10"/>
  <c r="AB2" i="10"/>
  <c r="W2" i="10"/>
  <c r="R2" i="10"/>
  <c r="M2" i="10"/>
  <c r="H2" i="10"/>
  <c r="C2" i="10"/>
  <c r="AI29" i="10"/>
  <c r="AH29" i="10"/>
  <c r="AI28" i="10"/>
  <c r="AH28" i="10"/>
  <c r="X28" i="10"/>
  <c r="S28" i="10"/>
  <c r="N28" i="10"/>
  <c r="I28" i="10"/>
  <c r="I20" i="28"/>
  <c r="K52" i="27"/>
  <c r="J52" i="27"/>
  <c r="H52" i="27"/>
  <c r="G52" i="27"/>
  <c r="F52" i="27"/>
  <c r="D52" i="27"/>
  <c r="C52" i="27"/>
  <c r="I51" i="27"/>
  <c r="E51" i="27"/>
  <c r="I50" i="27"/>
  <c r="E50" i="27"/>
  <c r="I49" i="27"/>
  <c r="E49" i="27"/>
  <c r="I48" i="27"/>
  <c r="E48" i="27"/>
  <c r="I47" i="27"/>
  <c r="E47" i="27"/>
  <c r="I46" i="27"/>
  <c r="E46" i="27"/>
  <c r="I45" i="27"/>
  <c r="E45" i="27"/>
  <c r="I44" i="27"/>
  <c r="E44" i="27"/>
  <c r="I43" i="27"/>
  <c r="E43" i="27"/>
  <c r="I42" i="27"/>
  <c r="E42" i="27"/>
  <c r="I41" i="27"/>
  <c r="E41" i="27"/>
  <c r="I40" i="27"/>
  <c r="E40" i="27"/>
  <c r="Q47" i="22" l="1"/>
  <c r="S47" i="22"/>
  <c r="T47" i="22"/>
  <c r="R47" i="22"/>
  <c r="U47" i="22"/>
  <c r="O47" i="22"/>
  <c r="P47" i="22"/>
  <c r="K47" i="22"/>
  <c r="M47" i="22"/>
  <c r="N47" i="22"/>
  <c r="V47" i="22"/>
  <c r="G418" i="24" a="1"/>
  <c r="G419" i="24" a="1"/>
  <c r="G417" i="24" a="1"/>
  <c r="G420" i="24" a="1"/>
  <c r="X47" i="22"/>
  <c r="Y47" i="22"/>
  <c r="AA47" i="22"/>
  <c r="AB47" i="22"/>
  <c r="AC47" i="22"/>
  <c r="AD47" i="22"/>
  <c r="AE47" i="22"/>
  <c r="AF47" i="22"/>
  <c r="AH47" i="22"/>
  <c r="G431" i="24" s="1" a="1"/>
  <c r="K48" i="22"/>
  <c r="M48" i="22"/>
  <c r="N48" i="22"/>
  <c r="O48" i="22"/>
  <c r="P48" i="22"/>
  <c r="Q48" i="22"/>
  <c r="R48" i="22"/>
  <c r="S48" i="22"/>
  <c r="T48" i="22"/>
  <c r="U48" i="22"/>
  <c r="V48" i="22"/>
  <c r="X48" i="22"/>
  <c r="Y48" i="22"/>
  <c r="AA48" i="22"/>
  <c r="AB48" i="22"/>
  <c r="AC48" i="22"/>
  <c r="AD48" i="22"/>
  <c r="AE48" i="22"/>
  <c r="AF48" i="22"/>
  <c r="AH48" i="22"/>
  <c r="G432" i="24" s="1" a="1"/>
  <c r="K49" i="22"/>
  <c r="M49" i="22"/>
  <c r="N49" i="22"/>
  <c r="O49" i="22"/>
  <c r="P49" i="22"/>
  <c r="Q49" i="22"/>
  <c r="R49" i="22"/>
  <c r="S49" i="22"/>
  <c r="T49" i="22"/>
  <c r="U49" i="22"/>
  <c r="V49" i="22"/>
  <c r="X49" i="22"/>
  <c r="Y49" i="22"/>
  <c r="AA49" i="22"/>
  <c r="AB49" i="22"/>
  <c r="AC49" i="22"/>
  <c r="AD49" i="22"/>
  <c r="AE49" i="22"/>
  <c r="AF49" i="22"/>
  <c r="AH49" i="22"/>
  <c r="G433" i="24" s="1" a="1"/>
  <c r="K50" i="22"/>
  <c r="M50" i="22"/>
  <c r="N50" i="22"/>
  <c r="O50" i="22"/>
  <c r="P50" i="22"/>
  <c r="Q50" i="22"/>
  <c r="R50" i="22"/>
  <c r="S50" i="22"/>
  <c r="T50" i="22"/>
  <c r="U50" i="22"/>
  <c r="V50" i="22"/>
  <c r="X50" i="22"/>
  <c r="Y50" i="22"/>
  <c r="AA50" i="22"/>
  <c r="AB50" i="22"/>
  <c r="AC50" i="22"/>
  <c r="AD50" i="22"/>
  <c r="AE50" i="22"/>
  <c r="AF50" i="22"/>
  <c r="AH50" i="22"/>
  <c r="G434" i="24" s="1" a="1"/>
  <c r="J48" i="22"/>
  <c r="J49" i="22"/>
  <c r="J50" i="22"/>
  <c r="J47" i="22"/>
  <c r="AH44" i="22" a="1"/>
  <c r="B8" i="42"/>
  <c r="AJ55" i="22" s="1"/>
  <c r="AH41" i="22" a="1"/>
  <c r="AH42" i="22" a="1"/>
  <c r="AH38" i="22" a="1"/>
  <c r="AH40" i="22" a="1"/>
  <c r="AH43" i="22" a="1"/>
  <c r="AH39" i="22" a="1"/>
  <c r="AF43" i="22" a="1"/>
  <c r="S6" i="14"/>
  <c r="E40" i="30"/>
  <c r="E44" i="30"/>
  <c r="E46" i="30"/>
  <c r="E47" i="30"/>
  <c r="E43" i="30"/>
  <c r="S3" i="14"/>
  <c r="C316" i="24"/>
  <c r="C230" i="24"/>
  <c r="C48" i="24"/>
  <c r="C231" i="24"/>
  <c r="C49" i="24"/>
  <c r="C369" i="24"/>
  <c r="C342" i="24"/>
  <c r="C343" i="24"/>
  <c r="C315" i="24"/>
  <c r="C370" i="24"/>
  <c r="AB38" i="22" a="1"/>
  <c r="AC38" i="22" a="1"/>
  <c r="AD38" i="22" a="1"/>
  <c r="AE38" i="22" a="1"/>
  <c r="AF38" i="22" a="1"/>
  <c r="AB39" i="22" a="1"/>
  <c r="AC39" i="22" a="1"/>
  <c r="AD39" i="22" a="1"/>
  <c r="AE39" i="22" a="1"/>
  <c r="AF39" i="22" a="1"/>
  <c r="AB40" i="22" a="1"/>
  <c r="AC40" i="22" a="1"/>
  <c r="AD40" i="22" a="1"/>
  <c r="AE40" i="22" a="1"/>
  <c r="AF40" i="22" a="1"/>
  <c r="AB41" i="22" a="1"/>
  <c r="AC41" i="22" a="1"/>
  <c r="AD41" i="22" a="1"/>
  <c r="AE41" i="22" a="1"/>
  <c r="AF41" i="22" a="1"/>
  <c r="AB42" i="22" a="1"/>
  <c r="AC42" i="22" a="1"/>
  <c r="AD42" i="22" a="1"/>
  <c r="AE42" i="22" a="1"/>
  <c r="AF42" i="22" a="1"/>
  <c r="V43" i="22" a="1"/>
  <c r="AB43" i="22" a="1"/>
  <c r="AC43" i="22" a="1"/>
  <c r="AD43" i="22" a="1"/>
  <c r="AE43" i="22" a="1"/>
  <c r="V44" i="22" a="1"/>
  <c r="V45" i="22" a="1"/>
  <c r="AB45" i="22" a="1"/>
  <c r="AC45" i="22" a="1"/>
  <c r="AD45" i="22" a="1"/>
  <c r="AE45" i="22" a="1"/>
  <c r="AF45" i="22" a="1"/>
  <c r="AH45" i="22" a="1"/>
  <c r="V46" i="22" a="1"/>
  <c r="AB46" i="22" a="1"/>
  <c r="AC46" i="22" a="1"/>
  <c r="AD46" i="22" a="1"/>
  <c r="AE46" i="22" a="1"/>
  <c r="AF46" i="22" a="1"/>
  <c r="AH46" i="22" a="1"/>
  <c r="AG42" i="22"/>
  <c r="G412" i="24" s="1" a="1"/>
  <c r="G412" i="24" s="1"/>
  <c r="AG43" i="22"/>
  <c r="AE43" i="22"/>
  <c r="AG39" i="22"/>
  <c r="G409" i="24" s="1" a="1"/>
  <c r="G409" i="24" s="1"/>
  <c r="AH45" i="22"/>
  <c r="G429" i="24" s="1" a="1"/>
  <c r="G429" i="24" s="1"/>
  <c r="AG45" i="22"/>
  <c r="G415" i="24" s="1" a="1"/>
  <c r="G415" i="24" s="1"/>
  <c r="AG41" i="22"/>
  <c r="G411" i="24" s="1" a="1"/>
  <c r="G411" i="24" s="1"/>
  <c r="AG44" i="22"/>
  <c r="G414" i="24" s="1" a="1"/>
  <c r="G414" i="24" s="1"/>
  <c r="AG46" i="22"/>
  <c r="G416" i="24" s="1" a="1"/>
  <c r="G416" i="24" s="1"/>
  <c r="AG38" i="22"/>
  <c r="G408" i="24" s="1" a="1"/>
  <c r="G408" i="24" s="1"/>
  <c r="AG40" i="22"/>
  <c r="G410" i="24" s="1" a="1"/>
  <c r="G410" i="24" s="1"/>
  <c r="F428" i="24"/>
  <c r="F426" i="24"/>
  <c r="F423" i="24"/>
  <c r="F434" i="24"/>
  <c r="F433" i="24"/>
  <c r="F432" i="24"/>
  <c r="F431" i="24"/>
  <c r="F429" i="24"/>
  <c r="F425" i="24"/>
  <c r="F422" i="24"/>
  <c r="F435" i="24"/>
  <c r="F430" i="24"/>
  <c r="F427" i="24"/>
  <c r="F424" i="24"/>
  <c r="F409" i="24"/>
  <c r="F419" i="24"/>
  <c r="F412" i="24"/>
  <c r="F408" i="24"/>
  <c r="F421" i="24"/>
  <c r="F420" i="24"/>
  <c r="F415" i="24"/>
  <c r="F414" i="24"/>
  <c r="F411" i="24"/>
  <c r="F418" i="24"/>
  <c r="F417" i="24"/>
  <c r="F416" i="24"/>
  <c r="F413" i="24"/>
  <c r="F410" i="24"/>
  <c r="H49" i="30"/>
  <c r="H50" i="30"/>
  <c r="H51" i="30"/>
  <c r="H52" i="30"/>
  <c r="H7" i="24" a="1"/>
  <c r="H7" i="24" s="1"/>
  <c r="H8" i="24" a="1"/>
  <c r="H8" i="24" s="1"/>
  <c r="H404" i="24" a="1"/>
  <c r="H404" i="24" s="1"/>
  <c r="H405" i="24" a="1"/>
  <c r="H405" i="24" s="1"/>
  <c r="H406" i="24" a="1"/>
  <c r="H406" i="24" s="1"/>
  <c r="H397" i="24" a="1"/>
  <c r="H397" i="24" s="1"/>
  <c r="H398" i="24" a="1"/>
  <c r="H398" i="24" s="1"/>
  <c r="H399" i="24" a="1"/>
  <c r="H399" i="24" s="1"/>
  <c r="H400" i="24" a="1"/>
  <c r="H400" i="24" s="1"/>
  <c r="H401" i="24" a="1"/>
  <c r="H401" i="24" s="1"/>
  <c r="H402" i="24" a="1"/>
  <c r="H402" i="24" s="1"/>
  <c r="H10" i="30"/>
  <c r="J10" i="30" s="1"/>
  <c r="M13" i="30"/>
  <c r="P13" i="30" s="1"/>
  <c r="Q13" i="30"/>
  <c r="M14" i="30"/>
  <c r="Q14" i="30"/>
  <c r="AE33" i="22"/>
  <c r="AE34" i="22"/>
  <c r="AF33" i="22"/>
  <c r="AD33" i="22"/>
  <c r="AF44" i="22" a="1"/>
  <c r="AF44" i="22" s="1"/>
  <c r="AF34" i="22"/>
  <c r="AD34" i="22"/>
  <c r="AC33" i="22"/>
  <c r="AB33" i="22"/>
  <c r="AA33" i="22"/>
  <c r="AC34" i="22"/>
  <c r="AB34" i="22"/>
  <c r="AA34" i="22"/>
  <c r="G323" i="24"/>
  <c r="AO11" i="30"/>
  <c r="AO10" i="30"/>
  <c r="AO12" i="30"/>
  <c r="AO14" i="30"/>
  <c r="H26" i="30"/>
  <c r="M20" i="30"/>
  <c r="Q20" i="30"/>
  <c r="H21" i="30"/>
  <c r="J21" i="30" s="1"/>
  <c r="H30" i="30"/>
  <c r="H20" i="30"/>
  <c r="J20" i="30" s="1"/>
  <c r="AO17" i="30"/>
  <c r="AO16" i="30"/>
  <c r="AO18" i="30"/>
  <c r="AL16" i="30"/>
  <c r="AL17" i="30"/>
  <c r="AL18" i="30"/>
  <c r="AL21" i="30"/>
  <c r="AO21" i="30"/>
  <c r="T11" i="30"/>
  <c r="T12" i="30"/>
  <c r="T14" i="30"/>
  <c r="T16" i="30"/>
  <c r="T18" i="30"/>
  <c r="T21" i="30"/>
  <c r="H19" i="30"/>
  <c r="J19" i="30" s="1"/>
  <c r="H23" i="30"/>
  <c r="T17" i="30"/>
  <c r="H24" i="30"/>
  <c r="H18" i="30"/>
  <c r="J18" i="30" s="1"/>
  <c r="H12" i="30"/>
  <c r="J12" i="30" s="1"/>
  <c r="H17" i="30"/>
  <c r="J17" i="30" s="1"/>
  <c r="M18" i="30"/>
  <c r="Q18" i="30"/>
  <c r="H29" i="30"/>
  <c r="H16" i="30"/>
  <c r="J16" i="30" s="1"/>
  <c r="AL22" i="30"/>
  <c r="AO22" i="30"/>
  <c r="M22" i="30"/>
  <c r="Q22" i="30"/>
  <c r="H13" i="30"/>
  <c r="J13" i="30" s="1"/>
  <c r="H15" i="30"/>
  <c r="J15" i="30" s="1"/>
  <c r="H25" i="30"/>
  <c r="H22" i="30"/>
  <c r="J22" i="30" s="1"/>
  <c r="H27" i="30"/>
  <c r="H32" i="30"/>
  <c r="H28" i="30"/>
  <c r="H11" i="30"/>
  <c r="J11" i="30" s="1"/>
  <c r="H14" i="30"/>
  <c r="J14" i="30" s="1"/>
  <c r="H31" i="30"/>
  <c r="M11" i="30"/>
  <c r="Q11" i="30"/>
  <c r="AO15" i="30"/>
  <c r="T15" i="30"/>
  <c r="AL15" i="30"/>
  <c r="M15" i="30"/>
  <c r="Q15" i="30"/>
  <c r="M16" i="30"/>
  <c r="Q16" i="30"/>
  <c r="M19" i="30"/>
  <c r="Q19" i="30"/>
  <c r="AL20" i="30"/>
  <c r="AO20" i="30"/>
  <c r="T20" i="30"/>
  <c r="M10" i="30"/>
  <c r="Q12" i="30"/>
  <c r="M12" i="30"/>
  <c r="Q17" i="30"/>
  <c r="M17" i="30"/>
  <c r="AL19" i="30"/>
  <c r="T19" i="30"/>
  <c r="AO19" i="30"/>
  <c r="Q21" i="30"/>
  <c r="M21" i="30"/>
  <c r="H272" i="24" a="1"/>
  <c r="H272" i="24" s="1"/>
  <c r="F272" i="24"/>
  <c r="H258" i="24" a="1"/>
  <c r="H258" i="24" s="1"/>
  <c r="F258" i="24"/>
  <c r="H259" i="24" a="1"/>
  <c r="H259" i="24" s="1"/>
  <c r="F259" i="24"/>
  <c r="H216" i="24" a="1"/>
  <c r="H216" i="24" s="1"/>
  <c r="F216" i="24"/>
  <c r="H202" i="24" a="1"/>
  <c r="H202" i="24" s="1"/>
  <c r="F202" i="24"/>
  <c r="H203" i="24" a="1"/>
  <c r="H203" i="24" s="1"/>
  <c r="F203" i="24"/>
  <c r="F188" i="24"/>
  <c r="H188" i="24" a="1"/>
  <c r="H188" i="24" s="1"/>
  <c r="H173" i="24" a="1"/>
  <c r="H173" i="24" s="1"/>
  <c r="F173" i="24"/>
  <c r="H174" i="24" a="1"/>
  <c r="H174" i="24" s="1"/>
  <c r="F174" i="24"/>
  <c r="H160" i="24" a="1"/>
  <c r="H160" i="24" s="1"/>
  <c r="F160" i="24"/>
  <c r="H161" i="24" a="1"/>
  <c r="H161" i="24" s="1"/>
  <c r="F161" i="24"/>
  <c r="H146" i="24" a="1"/>
  <c r="H146" i="24" s="1"/>
  <c r="F146" i="24"/>
  <c r="H384" i="24" a="1"/>
  <c r="H384" i="24" s="1"/>
  <c r="F384" i="24"/>
  <c r="H385" i="24" a="1"/>
  <c r="H385" i="24" s="1"/>
  <c r="F385" i="24"/>
  <c r="H328" i="24" a="1"/>
  <c r="H328" i="24" s="1"/>
  <c r="F328" i="24"/>
  <c r="H329" i="24" a="1"/>
  <c r="H329" i="24" s="1"/>
  <c r="F329" i="24"/>
  <c r="H76" i="24" a="1"/>
  <c r="H76" i="24" s="1"/>
  <c r="F76" i="24"/>
  <c r="H77" i="24" a="1"/>
  <c r="H77" i="24" s="1"/>
  <c r="F77" i="24"/>
  <c r="H62" i="24" a="1"/>
  <c r="H62" i="24" s="1"/>
  <c r="F62" i="24"/>
  <c r="H34" i="24" a="1"/>
  <c r="H34" i="24" s="1"/>
  <c r="F34" i="24"/>
  <c r="H90" i="24" a="1"/>
  <c r="H90" i="24" s="1"/>
  <c r="F90" i="24"/>
  <c r="H91" i="24" a="1"/>
  <c r="H91" i="24" s="1"/>
  <c r="F91" i="24"/>
  <c r="H244" i="24" a="1"/>
  <c r="H244" i="24" s="1"/>
  <c r="F244" i="24"/>
  <c r="H119" i="24" a="1"/>
  <c r="H119" i="24" s="1"/>
  <c r="F119" i="24"/>
  <c r="H120" i="24" a="1"/>
  <c r="H120" i="24" s="1"/>
  <c r="F120" i="24"/>
  <c r="H104" i="24" a="1"/>
  <c r="H104" i="24" s="1"/>
  <c r="F104" i="24"/>
  <c r="H380" i="24" a="1"/>
  <c r="H380" i="24" s="1"/>
  <c r="F380" i="24"/>
  <c r="F356" i="24"/>
  <c r="H356" i="24" a="1"/>
  <c r="H356" i="24" s="1"/>
  <c r="H357" i="24" a="1"/>
  <c r="H357" i="24" s="1"/>
  <c r="F357" i="24"/>
  <c r="H287" i="24" a="1"/>
  <c r="H287" i="24" s="1"/>
  <c r="F287" i="24"/>
  <c r="F301" i="24"/>
  <c r="H301" i="24" a="1"/>
  <c r="H301" i="24" s="1"/>
  <c r="F302" i="24"/>
  <c r="H302" i="24" a="1"/>
  <c r="H302" i="24" s="1"/>
  <c r="F133" i="24"/>
  <c r="H133" i="24" a="1"/>
  <c r="H133" i="24" s="1"/>
  <c r="F20" i="24"/>
  <c r="H20" i="24" a="1"/>
  <c r="H20" i="24" s="1"/>
  <c r="F21" i="24"/>
  <c r="H21" i="24" a="1"/>
  <c r="H21" i="24" s="1"/>
  <c r="F392" i="24"/>
  <c r="H392" i="24" a="1"/>
  <c r="H392" i="24" s="1"/>
  <c r="F391" i="24"/>
  <c r="H391" i="24" a="1"/>
  <c r="H391" i="24" s="1"/>
  <c r="F390" i="24"/>
  <c r="H390" i="24" a="1"/>
  <c r="H390" i="24" s="1"/>
  <c r="F389" i="24"/>
  <c r="H389" i="24" a="1"/>
  <c r="H389" i="24" s="1"/>
  <c r="F388" i="24"/>
  <c r="H388" i="24" a="1"/>
  <c r="H388" i="24" s="1"/>
  <c r="H387" i="24" a="1"/>
  <c r="H387" i="24" s="1"/>
  <c r="F387" i="24"/>
  <c r="H386" i="24" a="1"/>
  <c r="H386" i="24" s="1"/>
  <c r="F386" i="24"/>
  <c r="F383" i="24"/>
  <c r="H383" i="24" a="1"/>
  <c r="H383" i="24" s="1"/>
  <c r="H382" i="24" a="1"/>
  <c r="H382" i="24" s="1"/>
  <c r="F382" i="24"/>
  <c r="H381" i="24" a="1"/>
  <c r="H381" i="24" s="1"/>
  <c r="F381" i="24"/>
  <c r="I52" i="27"/>
  <c r="E52" i="27"/>
  <c r="H288" i="24" a="1"/>
  <c r="H288" i="24" s="1"/>
  <c r="F288" i="24"/>
  <c r="H273" i="24" a="1"/>
  <c r="H273" i="24" s="1"/>
  <c r="F273" i="24"/>
  <c r="H245" i="24" a="1"/>
  <c r="H245" i="24" s="1"/>
  <c r="F245" i="24"/>
  <c r="F217" i="24"/>
  <c r="H217" i="24" a="1"/>
  <c r="H217" i="24" s="1"/>
  <c r="F189" i="24"/>
  <c r="H189" i="24" a="1"/>
  <c r="H189" i="24" s="1"/>
  <c r="F147" i="24"/>
  <c r="H147" i="24" a="1"/>
  <c r="H147" i="24" s="1"/>
  <c r="H134" i="24" a="1"/>
  <c r="H134" i="24" s="1"/>
  <c r="F134" i="24"/>
  <c r="H105" i="24" a="1"/>
  <c r="H105" i="24" s="1"/>
  <c r="F105" i="24"/>
  <c r="H63" i="24" a="1"/>
  <c r="H63" i="24" s="1"/>
  <c r="F63" i="24"/>
  <c r="H35" i="24" a="1"/>
  <c r="H35" i="24" s="1"/>
  <c r="F35" i="24"/>
  <c r="F7" i="24"/>
  <c r="F8" i="24"/>
  <c r="AC29" i="10"/>
  <c r="AC28" i="10"/>
  <c r="T34" i="30"/>
  <c r="Z34" i="30"/>
  <c r="O45" i="30"/>
  <c r="O46" i="30"/>
  <c r="Q46" i="30" s="1"/>
  <c r="O47" i="30"/>
  <c r="Q47" i="30" s="1"/>
  <c r="O48" i="30"/>
  <c r="O49" i="30"/>
  <c r="O50" i="30"/>
  <c r="O51" i="30"/>
  <c r="O52" i="30"/>
  <c r="M52" i="30" s="1"/>
  <c r="P52" i="30" s="1"/>
  <c r="J45" i="30"/>
  <c r="P34" i="30"/>
  <c r="I48" i="30"/>
  <c r="G48" i="30"/>
  <c r="F48" i="30"/>
  <c r="I47" i="30"/>
  <c r="G47" i="30"/>
  <c r="F47" i="30"/>
  <c r="I46" i="30"/>
  <c r="G46" i="30"/>
  <c r="F46" i="30"/>
  <c r="F40" i="30"/>
  <c r="G40" i="30"/>
  <c r="I40" i="30"/>
  <c r="O40" i="30"/>
  <c r="Q40" i="30" s="1"/>
  <c r="E41" i="30"/>
  <c r="F41" i="30"/>
  <c r="G41" i="30"/>
  <c r="I41" i="30"/>
  <c r="O41" i="30"/>
  <c r="M41" i="30" s="1"/>
  <c r="F42" i="30"/>
  <c r="G42" i="30"/>
  <c r="I42" i="30"/>
  <c r="O42" i="30"/>
  <c r="M42" i="30" s="1"/>
  <c r="F43" i="30"/>
  <c r="G43" i="30"/>
  <c r="I43" i="30"/>
  <c r="O43" i="30"/>
  <c r="M43" i="30" s="1"/>
  <c r="P43" i="30" s="1"/>
  <c r="F44" i="30"/>
  <c r="G44" i="30"/>
  <c r="I44" i="30"/>
  <c r="O44" i="30"/>
  <c r="Q44" i="30" s="1"/>
  <c r="E45" i="30"/>
  <c r="E49" i="30"/>
  <c r="E50" i="30"/>
  <c r="E51" i="30"/>
  <c r="B45" i="30"/>
  <c r="B46" i="30"/>
  <c r="B47" i="30"/>
  <c r="B48" i="30"/>
  <c r="B49" i="30"/>
  <c r="B50" i="30"/>
  <c r="B51" i="30"/>
  <c r="K20" i="22"/>
  <c r="L20" i="22"/>
  <c r="M20" i="22"/>
  <c r="N20" i="22"/>
  <c r="O20" i="22"/>
  <c r="P20" i="22"/>
  <c r="Q20" i="22"/>
  <c r="R20" i="22"/>
  <c r="S20" i="22"/>
  <c r="T20" i="22"/>
  <c r="U20" i="22"/>
  <c r="V20" i="22"/>
  <c r="W20" i="22"/>
  <c r="X20" i="22"/>
  <c r="Y20" i="22"/>
  <c r="Z20" i="22"/>
  <c r="G413" i="24" l="1" a="1"/>
  <c r="G413" i="24" s="1"/>
  <c r="G417" i="24"/>
  <c r="G419" i="24"/>
  <c r="G418" i="24"/>
  <c r="M297" i="24"/>
  <c r="T297" i="24" s="1"/>
  <c r="M304" i="24"/>
  <c r="T304" i="24" s="1"/>
  <c r="G420" i="24"/>
  <c r="J416" i="24"/>
  <c r="AH44" i="22"/>
  <c r="G432" i="24"/>
  <c r="G431" i="24"/>
  <c r="J431" i="24" s="1"/>
  <c r="G433" i="24"/>
  <c r="J433" i="24" s="1"/>
  <c r="G434" i="24"/>
  <c r="AD45" i="22"/>
  <c r="AE45" i="22"/>
  <c r="AC46" i="22"/>
  <c r="G388" i="24" s="1" a="1"/>
  <c r="G388" i="24" s="1"/>
  <c r="AD43" i="22"/>
  <c r="AD46" i="22"/>
  <c r="G276" i="24" s="1" a="1"/>
  <c r="G276" i="24" s="1"/>
  <c r="M226" i="24"/>
  <c r="T226" i="24" s="1"/>
  <c r="M228" i="24"/>
  <c r="T228" i="24" s="1"/>
  <c r="M229" i="24"/>
  <c r="T229" i="24" s="1"/>
  <c r="M230" i="24"/>
  <c r="T230" i="24" s="1"/>
  <c r="M231" i="24"/>
  <c r="T231" i="24" s="1"/>
  <c r="M232" i="24"/>
  <c r="T232" i="24" s="1"/>
  <c r="M233" i="24"/>
  <c r="T233" i="24" s="1"/>
  <c r="M234" i="24"/>
  <c r="T234" i="24" s="1"/>
  <c r="M235" i="24"/>
  <c r="T235" i="24" s="1"/>
  <c r="M236" i="24"/>
  <c r="T236" i="24" s="1"/>
  <c r="M237" i="24"/>
  <c r="T237" i="24" s="1"/>
  <c r="M238" i="24"/>
  <c r="T238" i="24" s="1"/>
  <c r="M310" i="24"/>
  <c r="T310" i="24" s="1"/>
  <c r="M313" i="24"/>
  <c r="T313" i="24" s="1"/>
  <c r="M316" i="24"/>
  <c r="T316" i="24" s="1"/>
  <c r="M319" i="24"/>
  <c r="T319" i="24" s="1"/>
  <c r="M322" i="24"/>
  <c r="T322" i="24" s="1"/>
  <c r="M341" i="24"/>
  <c r="T341" i="24" s="1"/>
  <c r="M344" i="24"/>
  <c r="T344" i="24" s="1"/>
  <c r="M346" i="24"/>
  <c r="T346" i="24" s="1"/>
  <c r="M349" i="24"/>
  <c r="T349" i="24" s="1"/>
  <c r="M367" i="24"/>
  <c r="T367" i="24" s="1"/>
  <c r="M369" i="24"/>
  <c r="T369" i="24" s="1"/>
  <c r="M371" i="24"/>
  <c r="T371" i="24" s="1"/>
  <c r="M373" i="24"/>
  <c r="T373" i="24" s="1"/>
  <c r="M375" i="24"/>
  <c r="T375" i="24" s="1"/>
  <c r="M377" i="24"/>
  <c r="T377" i="24" s="1"/>
  <c r="S7" i="24" a="1"/>
  <c r="S7" i="24" s="1"/>
  <c r="S406" i="24" a="1"/>
  <c r="S406" i="24" s="1"/>
  <c r="S399" i="24" a="1"/>
  <c r="S399" i="24" s="1"/>
  <c r="S401" i="24" a="1"/>
  <c r="S401" i="24" s="1"/>
  <c r="S146" i="24" a="1"/>
  <c r="S146" i="24" s="1"/>
  <c r="S328" i="24" a="1"/>
  <c r="S328" i="24" s="1"/>
  <c r="S76" i="24" a="1"/>
  <c r="S76" i="24" s="1"/>
  <c r="S90" i="24" a="1"/>
  <c r="S90" i="24" s="1"/>
  <c r="S244" i="24" a="1"/>
  <c r="S244" i="24" s="1"/>
  <c r="S104" i="24" a="1"/>
  <c r="S104" i="24" s="1"/>
  <c r="S302" i="24" a="1"/>
  <c r="S302" i="24" s="1"/>
  <c r="S21" i="24" a="1"/>
  <c r="S21" i="24" s="1"/>
  <c r="S389" i="24" a="1"/>
  <c r="S389" i="24" s="1"/>
  <c r="S386" i="24" a="1"/>
  <c r="S386" i="24" s="1"/>
  <c r="S381" i="24" a="1"/>
  <c r="S381" i="24" s="1"/>
  <c r="S245" i="24" a="1"/>
  <c r="S245" i="24" s="1"/>
  <c r="S147" i="24" a="1"/>
  <c r="S147" i="24" s="1"/>
  <c r="S35" i="24" a="1"/>
  <c r="S35" i="24" s="1"/>
  <c r="S8" i="24" a="1"/>
  <c r="S8" i="24" s="1"/>
  <c r="S404" i="24" a="1"/>
  <c r="S404" i="24" s="1"/>
  <c r="S405" i="24" a="1"/>
  <c r="S405" i="24" s="1"/>
  <c r="S397" i="24" a="1"/>
  <c r="S397" i="24" s="1"/>
  <c r="S398" i="24" a="1"/>
  <c r="S398" i="24" s="1"/>
  <c r="S400" i="24" a="1"/>
  <c r="S400" i="24" s="1"/>
  <c r="S402" i="24" a="1"/>
  <c r="S402" i="24" s="1"/>
  <c r="S160" i="24" a="1"/>
  <c r="S160" i="24" s="1"/>
  <c r="S385" i="24" a="1"/>
  <c r="S385" i="24" s="1"/>
  <c r="S77" i="24" a="1"/>
  <c r="S77" i="24" s="1"/>
  <c r="S34" i="24" a="1"/>
  <c r="S34" i="24" s="1"/>
  <c r="S119" i="24" a="1"/>
  <c r="S119" i="24" s="1"/>
  <c r="S356" i="24" a="1"/>
  <c r="S356" i="24" s="1"/>
  <c r="S287" i="24" a="1"/>
  <c r="S287" i="24" s="1"/>
  <c r="S20" i="24" a="1"/>
  <c r="S20" i="24" s="1"/>
  <c r="S391" i="24" a="1"/>
  <c r="S391" i="24" s="1"/>
  <c r="S382" i="24" a="1"/>
  <c r="S382" i="24" s="1"/>
  <c r="S273" i="24" a="1"/>
  <c r="S273" i="24" s="1"/>
  <c r="S217" i="24" a="1"/>
  <c r="S217" i="24" s="1"/>
  <c r="S105" i="24" a="1"/>
  <c r="S105" i="24" s="1"/>
  <c r="S272" i="24" a="1"/>
  <c r="S272" i="24" s="1"/>
  <c r="S258" i="24" a="1"/>
  <c r="S258" i="24" s="1"/>
  <c r="S259" i="24" a="1"/>
  <c r="S259" i="24" s="1"/>
  <c r="S216" i="24" a="1"/>
  <c r="S216" i="24" s="1"/>
  <c r="S202" i="24" a="1"/>
  <c r="S202" i="24" s="1"/>
  <c r="S203" i="24" a="1"/>
  <c r="S203" i="24" s="1"/>
  <c r="S188" i="24" a="1"/>
  <c r="S188" i="24" s="1"/>
  <c r="S173" i="24" a="1"/>
  <c r="S173" i="24" s="1"/>
  <c r="S174" i="24" a="1"/>
  <c r="S174" i="24" s="1"/>
  <c r="S161" i="24" a="1"/>
  <c r="S161" i="24" s="1"/>
  <c r="S384" i="24" a="1"/>
  <c r="S384" i="24" s="1"/>
  <c r="S329" i="24" a="1"/>
  <c r="S329" i="24" s="1"/>
  <c r="S62" i="24" a="1"/>
  <c r="S62" i="24" s="1"/>
  <c r="S91" i="24" a="1"/>
  <c r="S91" i="24" s="1"/>
  <c r="S120" i="24" a="1"/>
  <c r="S120" i="24" s="1"/>
  <c r="S380" i="24" a="1"/>
  <c r="S380" i="24" s="1"/>
  <c r="S357" i="24" a="1"/>
  <c r="S357" i="24" s="1"/>
  <c r="S301" i="24" a="1"/>
  <c r="S301" i="24" s="1"/>
  <c r="S133" i="24" a="1"/>
  <c r="S133" i="24" s="1"/>
  <c r="S392" i="24" a="1"/>
  <c r="S392" i="24" s="1"/>
  <c r="S390" i="24" a="1"/>
  <c r="S390" i="24" s="1"/>
  <c r="S388" i="24" a="1"/>
  <c r="S388" i="24" s="1"/>
  <c r="S387" i="24" a="1"/>
  <c r="S387" i="24" s="1"/>
  <c r="S383" i="24" a="1"/>
  <c r="S383" i="24" s="1"/>
  <c r="S288" i="24" a="1"/>
  <c r="S288" i="24" s="1"/>
  <c r="S189" i="24" a="1"/>
  <c r="S189" i="24" s="1"/>
  <c r="S134" i="24" a="1"/>
  <c r="S134" i="24" s="1"/>
  <c r="S63" i="24" a="1"/>
  <c r="S63" i="24" s="1"/>
  <c r="M311" i="24"/>
  <c r="T311" i="24" s="1"/>
  <c r="M314" i="24"/>
  <c r="T314" i="24" s="1"/>
  <c r="M317" i="24"/>
  <c r="T317" i="24" s="1"/>
  <c r="M320" i="24"/>
  <c r="T320" i="24" s="1"/>
  <c r="M338" i="24"/>
  <c r="T338" i="24" s="1"/>
  <c r="M340" i="24"/>
  <c r="T340" i="24" s="1"/>
  <c r="M343" i="24"/>
  <c r="T343" i="24" s="1"/>
  <c r="M347" i="24"/>
  <c r="T347" i="24" s="1"/>
  <c r="M350" i="24"/>
  <c r="T350" i="24" s="1"/>
  <c r="AG58" i="22"/>
  <c r="M227" i="24"/>
  <c r="T227" i="24" s="1"/>
  <c r="M312" i="24"/>
  <c r="T312" i="24" s="1"/>
  <c r="M315" i="24"/>
  <c r="T315" i="24" s="1"/>
  <c r="M318" i="24"/>
  <c r="T318" i="24" s="1"/>
  <c r="M321" i="24"/>
  <c r="T321" i="24" s="1"/>
  <c r="M339" i="24"/>
  <c r="T339" i="24" s="1"/>
  <c r="M342" i="24"/>
  <c r="T342" i="24" s="1"/>
  <c r="M345" i="24"/>
  <c r="T345" i="24" s="1"/>
  <c r="M348" i="24"/>
  <c r="T348" i="24" s="1"/>
  <c r="M366" i="24"/>
  <c r="T366" i="24" s="1"/>
  <c r="M368" i="24"/>
  <c r="T368" i="24" s="1"/>
  <c r="M370" i="24"/>
  <c r="T370" i="24" s="1"/>
  <c r="M372" i="24"/>
  <c r="T372" i="24" s="1"/>
  <c r="M374" i="24"/>
  <c r="T374" i="24" s="1"/>
  <c r="M376" i="24"/>
  <c r="T376" i="24" s="1"/>
  <c r="M378" i="24"/>
  <c r="T378" i="24" s="1"/>
  <c r="AE46" i="22"/>
  <c r="G290" i="24" s="1" a="1"/>
  <c r="G290" i="24" s="1"/>
  <c r="J417" i="24"/>
  <c r="J412" i="24"/>
  <c r="J409" i="24"/>
  <c r="J419" i="24"/>
  <c r="J418" i="24"/>
  <c r="J415" i="24"/>
  <c r="AH46" i="22"/>
  <c r="G430" i="24" s="1" a="1"/>
  <c r="G430" i="24" s="1"/>
  <c r="J430" i="24" s="1"/>
  <c r="AB42" i="22"/>
  <c r="AB43" i="22"/>
  <c r="AH43" i="22"/>
  <c r="G427" i="24" s="1" a="1"/>
  <c r="G427" i="24" s="1"/>
  <c r="AF42" i="22"/>
  <c r="AF43" i="22"/>
  <c r="AC42" i="22"/>
  <c r="AH42" i="22"/>
  <c r="G426" i="24" s="1" a="1"/>
  <c r="G426" i="24" s="1"/>
  <c r="J426" i="24" s="1"/>
  <c r="V43" i="22"/>
  <c r="AF38" i="22"/>
  <c r="AD42" i="22"/>
  <c r="AE42" i="22"/>
  <c r="AC43" i="22"/>
  <c r="AB38" i="22"/>
  <c r="AE38" i="22"/>
  <c r="AH38" i="22"/>
  <c r="AB39" i="22"/>
  <c r="AD39" i="22"/>
  <c r="G269" i="24" s="1" a="1"/>
  <c r="G269" i="24" s="1"/>
  <c r="AF40" i="22"/>
  <c r="AB41" i="22"/>
  <c r="AF41" i="22"/>
  <c r="AC38" i="22"/>
  <c r="AF39" i="22"/>
  <c r="AC40" i="22"/>
  <c r="AC41" i="22"/>
  <c r="AD41" i="22"/>
  <c r="AH39" i="22"/>
  <c r="G423" i="24" s="1" a="1"/>
  <c r="G423" i="24" s="1"/>
  <c r="J423" i="24" s="1"/>
  <c r="AH40" i="22"/>
  <c r="G424" i="24" s="1" a="1"/>
  <c r="G424" i="24" s="1"/>
  <c r="J424" i="24" s="1"/>
  <c r="AH41" i="22"/>
  <c r="G425" i="24" s="1" a="1"/>
  <c r="G425" i="24" s="1"/>
  <c r="W17" i="30"/>
  <c r="W21" i="30"/>
  <c r="Z17" i="30"/>
  <c r="AG65" i="22"/>
  <c r="M417" i="24" s="1"/>
  <c r="F316" i="24"/>
  <c r="F48" i="24"/>
  <c r="H49" i="24" a="1"/>
  <c r="H49" i="24" s="1"/>
  <c r="S49" i="24" s="1" a="1"/>
  <c r="S49" i="24" s="1"/>
  <c r="H343" i="24" a="1"/>
  <c r="H343" i="24" s="1"/>
  <c r="S343" i="24" s="1" a="1"/>
  <c r="S343" i="24" s="1"/>
  <c r="H48" i="24" a="1"/>
  <c r="H48" i="24" s="1"/>
  <c r="S48" i="24" s="1" a="1"/>
  <c r="S48" i="24" s="1"/>
  <c r="F343" i="24"/>
  <c r="F231" i="24"/>
  <c r="H231" i="24" a="1"/>
  <c r="H231" i="24" s="1"/>
  <c r="S231" i="24" s="1" a="1"/>
  <c r="S231" i="24" s="1"/>
  <c r="H316" i="24" a="1"/>
  <c r="H316" i="24" s="1"/>
  <c r="S316" i="24" s="1" a="1"/>
  <c r="S316" i="24" s="1"/>
  <c r="F49" i="24"/>
  <c r="H230" i="24" a="1"/>
  <c r="H230" i="24" s="1"/>
  <c r="S230" i="24" s="1" a="1"/>
  <c r="S230" i="24" s="1"/>
  <c r="F230" i="24"/>
  <c r="H342" i="24" a="1"/>
  <c r="H342" i="24" s="1"/>
  <c r="S342" i="24" s="1" a="1"/>
  <c r="S342" i="24" s="1"/>
  <c r="F342" i="24"/>
  <c r="H315" i="24" a="1"/>
  <c r="H315" i="24" s="1"/>
  <c r="S315" i="24" s="1" a="1"/>
  <c r="S315" i="24" s="1"/>
  <c r="F369" i="24"/>
  <c r="F315" i="24"/>
  <c r="H369" i="24" a="1"/>
  <c r="H369" i="24" s="1"/>
  <c r="S369" i="24" s="1" a="1"/>
  <c r="S369" i="24" s="1"/>
  <c r="F370" i="24"/>
  <c r="H370" i="24" a="1"/>
  <c r="H370" i="24" s="1"/>
  <c r="S370" i="24" s="1" a="1"/>
  <c r="S370" i="24" s="1"/>
  <c r="V38" i="22" a="1"/>
  <c r="V38" i="22" s="1"/>
  <c r="V39" i="22" a="1"/>
  <c r="V39" i="22" s="1"/>
  <c r="V40" i="22" a="1"/>
  <c r="V40" i="22" s="1"/>
  <c r="V41" i="22" a="1"/>
  <c r="V41" i="22" s="1"/>
  <c r="V42" i="22" a="1"/>
  <c r="V42" i="22" s="1"/>
  <c r="AB44" i="22" a="1"/>
  <c r="AB44" i="22" s="1"/>
  <c r="AC44" i="22" a="1"/>
  <c r="AC44" i="22" s="1"/>
  <c r="AD44" i="22" a="1"/>
  <c r="AD44" i="22" s="1"/>
  <c r="AE44" i="22" a="1"/>
  <c r="AE44" i="22" s="1"/>
  <c r="V45" i="22"/>
  <c r="AB45" i="22"/>
  <c r="AC45" i="22"/>
  <c r="V46" i="22"/>
  <c r="G402" i="24" s="1" a="1"/>
  <c r="G402" i="24" s="1"/>
  <c r="J402" i="24" s="1"/>
  <c r="AB46" i="22"/>
  <c r="G360" i="24" s="1" a="1"/>
  <c r="G360" i="24" s="1"/>
  <c r="AE39" i="22"/>
  <c r="G283" i="24" s="1" a="1"/>
  <c r="G283" i="24" s="1"/>
  <c r="AD40" i="22"/>
  <c r="AE41" i="22"/>
  <c r="AF45" i="22"/>
  <c r="AD38" i="22"/>
  <c r="AC39" i="22"/>
  <c r="AB40" i="22"/>
  <c r="AE40" i="22"/>
  <c r="V44" i="22"/>
  <c r="AF46" i="22"/>
  <c r="G52" i="24" s="1" a="1"/>
  <c r="G52" i="24" s="1"/>
  <c r="AF12" i="30"/>
  <c r="AH67" i="22"/>
  <c r="M433" i="24" s="1"/>
  <c r="AG67" i="22"/>
  <c r="M419" i="24" s="1"/>
  <c r="AG68" i="22"/>
  <c r="M420" i="24" s="1"/>
  <c r="AH65" i="22"/>
  <c r="M431" i="24" s="1"/>
  <c r="AH66" i="22"/>
  <c r="M432" i="24" s="1"/>
  <c r="AH68" i="22"/>
  <c r="M434" i="24" s="1"/>
  <c r="AG62" i="22"/>
  <c r="AH62" i="22"/>
  <c r="AG60" i="22"/>
  <c r="AG61" i="22"/>
  <c r="M413" i="24" s="1"/>
  <c r="AG59" i="22"/>
  <c r="M411" i="24" s="1"/>
  <c r="AG56" i="22"/>
  <c r="AG57" i="22"/>
  <c r="M409" i="24" s="1"/>
  <c r="AG64" i="22"/>
  <c r="M416" i="24" s="1"/>
  <c r="AG63" i="22"/>
  <c r="M415" i="24" s="1"/>
  <c r="AG66" i="22"/>
  <c r="M418" i="24" s="1"/>
  <c r="G301" i="24" a="1"/>
  <c r="G301" i="24" s="1"/>
  <c r="AH63" i="22"/>
  <c r="M429" i="24" s="1"/>
  <c r="AC22" i="30"/>
  <c r="AI22" i="30"/>
  <c r="G305" i="24" a="1"/>
  <c r="G305" i="24" s="1"/>
  <c r="AD63" i="22"/>
  <c r="AE63" i="22"/>
  <c r="AD64" i="22"/>
  <c r="M276" i="24" s="1"/>
  <c r="T276" i="24" s="1"/>
  <c r="AC64" i="22"/>
  <c r="M388" i="24" s="1"/>
  <c r="T388" i="24" s="1"/>
  <c r="AF65" i="22"/>
  <c r="M305" i="24" s="1"/>
  <c r="T22" i="30"/>
  <c r="S431" i="24" a="1"/>
  <c r="S431" i="24" s="1"/>
  <c r="S427" i="24" a="1"/>
  <c r="S427" i="24" s="1"/>
  <c r="S426" i="24" a="1"/>
  <c r="S426" i="24" s="1"/>
  <c r="S423" i="24" a="1"/>
  <c r="S423" i="24" s="1"/>
  <c r="S432" i="24" a="1"/>
  <c r="S432" i="24" s="1"/>
  <c r="S434" i="24" a="1"/>
  <c r="S434" i="24" s="1"/>
  <c r="S430" i="24" a="1"/>
  <c r="S430" i="24" s="1"/>
  <c r="S429" i="24" a="1"/>
  <c r="S429" i="24" s="1"/>
  <c r="S428" i="24" a="1"/>
  <c r="S428" i="24" s="1"/>
  <c r="S433" i="24" a="1"/>
  <c r="S433" i="24" s="1"/>
  <c r="S425" i="24" a="1"/>
  <c r="S425" i="24" s="1"/>
  <c r="S424" i="24" a="1"/>
  <c r="S424" i="24" s="1"/>
  <c r="S422" i="24" a="1"/>
  <c r="S422" i="24" s="1"/>
  <c r="S417" i="24" a="1"/>
  <c r="S417" i="24" s="1"/>
  <c r="S412" i="24" a="1"/>
  <c r="S412" i="24" s="1"/>
  <c r="S411" i="24" a="1"/>
  <c r="S411" i="24" s="1"/>
  <c r="S418" i="24" a="1"/>
  <c r="S418" i="24" s="1"/>
  <c r="S409" i="24" a="1"/>
  <c r="S409" i="24" s="1"/>
  <c r="S408" i="24" a="1"/>
  <c r="S408" i="24" s="1"/>
  <c r="S419" i="24" a="1"/>
  <c r="S419" i="24" s="1"/>
  <c r="S416" i="24" a="1"/>
  <c r="S416" i="24" s="1"/>
  <c r="S415" i="24" a="1"/>
  <c r="S415" i="24" s="1"/>
  <c r="G421" i="24"/>
  <c r="J50" i="30"/>
  <c r="J49" i="30"/>
  <c r="J51" i="30"/>
  <c r="AI11" i="30"/>
  <c r="Z11" i="30"/>
  <c r="Z14" i="30"/>
  <c r="W14" i="30"/>
  <c r="W18" i="30"/>
  <c r="AF11" i="30"/>
  <c r="Z22" i="30"/>
  <c r="AI15" i="30"/>
  <c r="AC15" i="30"/>
  <c r="W15" i="30"/>
  <c r="AI20" i="30"/>
  <c r="AI19" i="30"/>
  <c r="Z19" i="30"/>
  <c r="W20" i="30"/>
  <c r="AF21" i="30"/>
  <c r="AF15" i="30"/>
  <c r="Z20" i="30"/>
  <c r="AF20" i="30"/>
  <c r="T10" i="30"/>
  <c r="AC19" i="30"/>
  <c r="W19" i="30"/>
  <c r="W10" i="30"/>
  <c r="AC11" i="30"/>
  <c r="AL11" i="30"/>
  <c r="AF22" i="30"/>
  <c r="W11" i="30"/>
  <c r="AC14" i="30"/>
  <c r="AL14" i="30"/>
  <c r="Z21" i="30"/>
  <c r="W16" i="30"/>
  <c r="Z18" i="30"/>
  <c r="AI12" i="30"/>
  <c r="W22" i="30"/>
  <c r="Z15" i="30"/>
  <c r="AC20" i="30"/>
  <c r="AF19" i="30"/>
  <c r="Z10" i="30"/>
  <c r="AC10" i="30"/>
  <c r="AF10" i="30"/>
  <c r="AL10" i="30"/>
  <c r="AI10" i="30"/>
  <c r="AF14" i="30"/>
  <c r="AI14" i="30"/>
  <c r="W12" i="30"/>
  <c r="AC16" i="30"/>
  <c r="AF18" i="30"/>
  <c r="AC21" i="30"/>
  <c r="AI21" i="30"/>
  <c r="AC18" i="30"/>
  <c r="AL12" i="30"/>
  <c r="AC12" i="30"/>
  <c r="AI16" i="30"/>
  <c r="AI17" i="30"/>
  <c r="Z12" i="30"/>
  <c r="Z16" i="30"/>
  <c r="AC17" i="30"/>
  <c r="AF16" i="30"/>
  <c r="AF17" i="30"/>
  <c r="AI18" i="30"/>
  <c r="T46" i="30"/>
  <c r="Z46" i="30"/>
  <c r="AC46" i="30"/>
  <c r="W46" i="30"/>
  <c r="W47" i="30"/>
  <c r="T47" i="30"/>
  <c r="Z47" i="30"/>
  <c r="AC47" i="30"/>
  <c r="Z48" i="30"/>
  <c r="AC48" i="30"/>
  <c r="W48" i="30"/>
  <c r="T48" i="30"/>
  <c r="Q48" i="30"/>
  <c r="M48" i="30"/>
  <c r="P48" i="30" s="1"/>
  <c r="H393" i="24"/>
  <c r="S393" i="24" s="1" a="1"/>
  <c r="S393" i="24" s="1"/>
  <c r="M47" i="30"/>
  <c r="M46" i="30"/>
  <c r="P46" i="30" s="1"/>
  <c r="Q42" i="30"/>
  <c r="H46" i="30"/>
  <c r="J46" i="30" s="1"/>
  <c r="H40" i="30"/>
  <c r="J40" i="30" s="1"/>
  <c r="H48" i="30"/>
  <c r="J48" i="30" s="1"/>
  <c r="H47" i="30"/>
  <c r="J47" i="30" s="1"/>
  <c r="Q52" i="30"/>
  <c r="H44" i="30"/>
  <c r="J44" i="30" s="1"/>
  <c r="H41" i="30"/>
  <c r="H43" i="30"/>
  <c r="J43" i="30" s="1"/>
  <c r="Q41" i="30"/>
  <c r="M40" i="30"/>
  <c r="J52" i="30"/>
  <c r="M44" i="30"/>
  <c r="H42" i="30"/>
  <c r="J42" i="30" s="1"/>
  <c r="Q43" i="30"/>
  <c r="F12" i="37"/>
  <c r="L12" i="37" s="1"/>
  <c r="R12" i="37" s="1"/>
  <c r="X12" i="37" s="1"/>
  <c r="AD12" i="37" s="1"/>
  <c r="AJ12" i="37" s="1"/>
  <c r="AP12" i="37" s="1"/>
  <c r="F21" i="37" s="1"/>
  <c r="L21" i="37" s="1"/>
  <c r="R21" i="37" s="1"/>
  <c r="X21" i="37" s="1"/>
  <c r="AD21" i="37" s="1"/>
  <c r="AJ21" i="37" s="1"/>
  <c r="AP21" i="37" s="1"/>
  <c r="F30" i="37" s="1"/>
  <c r="L30" i="37" s="1"/>
  <c r="R30" i="37" s="1"/>
  <c r="X30" i="37" s="1"/>
  <c r="AD30" i="37" s="1"/>
  <c r="AJ30" i="37" s="1"/>
  <c r="AP30" i="37" s="1"/>
  <c r="F39" i="37" s="1"/>
  <c r="L39" i="37" s="1"/>
  <c r="R39" i="37" s="1"/>
  <c r="X39" i="37" s="1"/>
  <c r="AD39" i="37" s="1"/>
  <c r="AJ39" i="37" s="1"/>
  <c r="AP39" i="37" s="1"/>
  <c r="G422" i="24" l="1" a="1"/>
  <c r="G422" i="24" s="1"/>
  <c r="J422" i="24" s="1"/>
  <c r="T416" i="24"/>
  <c r="T429" i="24"/>
  <c r="J420" i="24"/>
  <c r="G428" i="24" a="1"/>
  <c r="G428" i="24" s="1"/>
  <c r="J428" i="24" s="1"/>
  <c r="M412" i="24"/>
  <c r="M408" i="24"/>
  <c r="M410" i="24"/>
  <c r="M414" i="24"/>
  <c r="S420" i="24" a="1"/>
  <c r="S420" i="24" s="1"/>
  <c r="S413" i="24" a="1"/>
  <c r="S413" i="24" s="1"/>
  <c r="S414" i="24" a="1"/>
  <c r="S414" i="24" s="1"/>
  <c r="S410" i="24" a="1"/>
  <c r="S410" i="24" s="1"/>
  <c r="H421" i="24"/>
  <c r="S421" i="24" s="1" a="1"/>
  <c r="S421" i="24" s="1"/>
  <c r="J432" i="24"/>
  <c r="J434" i="24"/>
  <c r="H435" i="24"/>
  <c r="S435" i="24" s="1" a="1"/>
  <c r="S435" i="24" s="1"/>
  <c r="J429" i="24"/>
  <c r="J410" i="24"/>
  <c r="J414" i="24"/>
  <c r="J411" i="24"/>
  <c r="J408" i="24"/>
  <c r="J427" i="24"/>
  <c r="J425" i="24"/>
  <c r="M53" i="24"/>
  <c r="AH61" i="22"/>
  <c r="M427" i="24" s="1"/>
  <c r="AH64" i="22"/>
  <c r="M430" i="24" s="1"/>
  <c r="T430" i="24" s="1"/>
  <c r="AH56" i="22"/>
  <c r="M428" i="24" s="1"/>
  <c r="T428" i="24" s="1"/>
  <c r="AC61" i="22"/>
  <c r="M384" i="24" s="1"/>
  <c r="AH60" i="22"/>
  <c r="J413" i="24"/>
  <c r="G287" i="24" a="1"/>
  <c r="G287" i="24" s="1"/>
  <c r="AE64" i="22"/>
  <c r="M290" i="24" s="1"/>
  <c r="T290" i="24" s="1"/>
  <c r="G273" i="24" a="1"/>
  <c r="G273" i="24" s="1"/>
  <c r="M323" i="24"/>
  <c r="T323" i="24" s="1"/>
  <c r="M239" i="24"/>
  <c r="T239" i="24" s="1"/>
  <c r="M351" i="24"/>
  <c r="T351" i="24" s="1"/>
  <c r="M379" i="24"/>
  <c r="T379" i="24" s="1"/>
  <c r="AH57" i="22"/>
  <c r="M423" i="24" s="1"/>
  <c r="AH58" i="22"/>
  <c r="M424" i="24" s="1"/>
  <c r="AH59" i="22"/>
  <c r="M425" i="24" s="1"/>
  <c r="AB61" i="22"/>
  <c r="M356" i="24" s="1"/>
  <c r="T356" i="24" s="1"/>
  <c r="AC60" i="22"/>
  <c r="M382" i="24" s="1"/>
  <c r="T382" i="24" s="1"/>
  <c r="T409" i="24"/>
  <c r="AB56" i="22"/>
  <c r="M358" i="24" s="1"/>
  <c r="AC58" i="22"/>
  <c r="M380" i="24" s="1"/>
  <c r="AC63" i="22"/>
  <c r="T417" i="24"/>
  <c r="AC56" i="22"/>
  <c r="M386" i="24" s="1"/>
  <c r="T386" i="24" s="1"/>
  <c r="AF63" i="22"/>
  <c r="V64" i="22"/>
  <c r="M402" i="24" s="1"/>
  <c r="T402" i="24" s="1"/>
  <c r="V61" i="22"/>
  <c r="M398" i="24" s="1"/>
  <c r="T398" i="24" s="1"/>
  <c r="AB60" i="22"/>
  <c r="M354" i="24" s="1"/>
  <c r="AB57" i="22"/>
  <c r="AC57" i="22"/>
  <c r="AC59" i="22"/>
  <c r="M383" i="24" s="1"/>
  <c r="T383" i="24" s="1"/>
  <c r="AF64" i="22"/>
  <c r="M52" i="24" s="1"/>
  <c r="T52" i="24" s="1"/>
  <c r="V63" i="22"/>
  <c r="V62" i="22"/>
  <c r="M399" i="24" s="1"/>
  <c r="T399" i="24" s="1"/>
  <c r="G306" i="24" a="1"/>
  <c r="G306" i="24" s="1"/>
  <c r="AF66" i="22"/>
  <c r="T431" i="24"/>
  <c r="T432" i="24"/>
  <c r="T433" i="24"/>
  <c r="T419" i="24"/>
  <c r="T434" i="24"/>
  <c r="T411" i="24"/>
  <c r="T418" i="24"/>
  <c r="T415" i="24"/>
  <c r="AB58" i="22"/>
  <c r="M352" i="24" s="1"/>
  <c r="AB64" i="22"/>
  <c r="M360" i="24" s="1"/>
  <c r="T360" i="24" s="1"/>
  <c r="V56" i="22"/>
  <c r="M400" i="24" s="1"/>
  <c r="T400" i="24" s="1"/>
  <c r="V57" i="22"/>
  <c r="V58" i="22"/>
  <c r="M394" i="24" s="1"/>
  <c r="V59" i="22"/>
  <c r="M397" i="24" s="1"/>
  <c r="T397" i="24" s="1"/>
  <c r="AB59" i="22"/>
  <c r="M355" i="24" s="1"/>
  <c r="V60" i="22"/>
  <c r="M396" i="24" s="1"/>
  <c r="AB62" i="22"/>
  <c r="M357" i="24" s="1"/>
  <c r="T357" i="24" s="1"/>
  <c r="AC62" i="22"/>
  <c r="M385" i="24" s="1"/>
  <c r="T385" i="24" s="1"/>
  <c r="AD62" i="22"/>
  <c r="M273" i="24" s="1"/>
  <c r="T273" i="24" s="1"/>
  <c r="AE62" i="22"/>
  <c r="M287" i="24" s="1"/>
  <c r="T287" i="24" s="1"/>
  <c r="AF62" i="22"/>
  <c r="AB63" i="22"/>
  <c r="AF61" i="22"/>
  <c r="G300" i="24" a="1"/>
  <c r="G300" i="24" s="1"/>
  <c r="AF57" i="22"/>
  <c r="G303" i="24" a="1"/>
  <c r="G303" i="24" s="1"/>
  <c r="AF59" i="22"/>
  <c r="G299" i="24" a="1"/>
  <c r="G299" i="24" s="1"/>
  <c r="AE58" i="22"/>
  <c r="M282" i="24" s="1"/>
  <c r="G282" i="24" a="1"/>
  <c r="G282" i="24" s="1"/>
  <c r="AE61" i="22"/>
  <c r="M286" i="24" s="1"/>
  <c r="G286" i="24" a="1"/>
  <c r="G286" i="24" s="1"/>
  <c r="AE60" i="22"/>
  <c r="M284" i="24" s="1"/>
  <c r="G284" i="24" a="1"/>
  <c r="G284" i="24" s="1"/>
  <c r="AE56" i="22"/>
  <c r="M288" i="24" s="1"/>
  <c r="T288" i="24" s="1"/>
  <c r="G288" i="24" a="1"/>
  <c r="G288" i="24" s="1"/>
  <c r="AD59" i="22"/>
  <c r="M271" i="24" s="1"/>
  <c r="G271" i="24" a="1"/>
  <c r="G271" i="24" s="1"/>
  <c r="AD57" i="22"/>
  <c r="G275" i="24" a="1"/>
  <c r="G275" i="24" s="1"/>
  <c r="AD60" i="22"/>
  <c r="M270" i="24" s="1"/>
  <c r="G270" i="24" a="1"/>
  <c r="G270" i="24" s="1"/>
  <c r="AF60" i="22"/>
  <c r="G298" i="24" a="1"/>
  <c r="G298" i="24" s="1"/>
  <c r="AF56" i="22"/>
  <c r="G302" i="24" a="1"/>
  <c r="G302" i="24" s="1"/>
  <c r="AF58" i="22"/>
  <c r="G296" i="24" a="1"/>
  <c r="G296" i="24" s="1"/>
  <c r="AE59" i="22"/>
  <c r="M285" i="24" s="1"/>
  <c r="G285" i="24" a="1"/>
  <c r="G285" i="24" s="1"/>
  <c r="AE57" i="22"/>
  <c r="G289" i="24" a="1"/>
  <c r="G289" i="24" s="1"/>
  <c r="AD58" i="22"/>
  <c r="M268" i="24" s="1"/>
  <c r="G268" i="24" a="1"/>
  <c r="G268" i="24" s="1"/>
  <c r="AD61" i="22"/>
  <c r="M272" i="24" s="1"/>
  <c r="T272" i="24" s="1"/>
  <c r="G272" i="24" a="1"/>
  <c r="G272" i="24" s="1"/>
  <c r="AD56" i="22"/>
  <c r="M274" i="24" s="1"/>
  <c r="G274" i="24" a="1"/>
  <c r="G274" i="24" s="1"/>
  <c r="J41" i="30"/>
  <c r="E43" i="37"/>
  <c r="E42" i="37"/>
  <c r="E34" i="37"/>
  <c r="E33" i="37"/>
  <c r="E25" i="37"/>
  <c r="E24" i="37"/>
  <c r="E18" i="37"/>
  <c r="E17" i="37"/>
  <c r="E16" i="37"/>
  <c r="E15" i="37"/>
  <c r="E7" i="37"/>
  <c r="E8" i="37"/>
  <c r="E9" i="37"/>
  <c r="E6" i="37"/>
  <c r="G20" i="28"/>
  <c r="H20" i="28"/>
  <c r="J20" i="28"/>
  <c r="R20" i="28"/>
  <c r="U20" i="28"/>
  <c r="X20" i="28"/>
  <c r="AA20" i="28"/>
  <c r="E20" i="28"/>
  <c r="E15" i="28"/>
  <c r="F15" i="28"/>
  <c r="G65" i="22"/>
  <c r="G51" i="22"/>
  <c r="G66" i="22"/>
  <c r="G57" i="22"/>
  <c r="G67" i="22"/>
  <c r="G68" i="22"/>
  <c r="G58" i="22"/>
  <c r="G2" i="22"/>
  <c r="G3" i="22"/>
  <c r="G4" i="22"/>
  <c r="G5" i="22"/>
  <c r="G6" i="22"/>
  <c r="G7" i="22"/>
  <c r="G8" i="22"/>
  <c r="G9" i="22"/>
  <c r="G10" i="22"/>
  <c r="G11" i="22"/>
  <c r="G12" i="22"/>
  <c r="G15" i="22"/>
  <c r="G16" i="22"/>
  <c r="G17" i="22"/>
  <c r="G18" i="22"/>
  <c r="G19" i="22"/>
  <c r="G13" i="22"/>
  <c r="P54" i="30"/>
  <c r="AC54" i="30"/>
  <c r="Z54" i="30"/>
  <c r="W54" i="30"/>
  <c r="T54" i="30"/>
  <c r="AI34" i="30"/>
  <c r="AP33" i="30"/>
  <c r="K53" i="30"/>
  <c r="D38" i="30"/>
  <c r="B52" i="30"/>
  <c r="B44" i="30"/>
  <c r="B43" i="30"/>
  <c r="B42" i="30"/>
  <c r="B41" i="30"/>
  <c r="B40" i="30"/>
  <c r="G435" i="24" l="1"/>
  <c r="T408" i="24"/>
  <c r="M426" i="24"/>
  <c r="M421" i="24"/>
  <c r="T412" i="24"/>
  <c r="M422" i="24"/>
  <c r="M381" i="24"/>
  <c r="T381" i="24" s="1"/>
  <c r="M395" i="24"/>
  <c r="J421" i="24"/>
  <c r="M359" i="24"/>
  <c r="M401" i="24"/>
  <c r="T401" i="24" s="1"/>
  <c r="M387" i="24"/>
  <c r="T387" i="24" s="1"/>
  <c r="M353" i="24"/>
  <c r="M289" i="24"/>
  <c r="M283" i="24"/>
  <c r="M275" i="24"/>
  <c r="M269" i="24"/>
  <c r="M45" i="24"/>
  <c r="T45" i="24" s="1"/>
  <c r="T420" i="24"/>
  <c r="T410" i="24"/>
  <c r="T413" i="24"/>
  <c r="T414" i="24"/>
  <c r="M306" i="24"/>
  <c r="M54" i="24"/>
  <c r="M301" i="24"/>
  <c r="T301" i="24" s="1"/>
  <c r="M49" i="24"/>
  <c r="T49" i="24" s="1"/>
  <c r="M300" i="24"/>
  <c r="M48" i="24"/>
  <c r="T48" i="24" s="1"/>
  <c r="M303" i="24"/>
  <c r="M51" i="24"/>
  <c r="T51" i="24" s="1"/>
  <c r="M299" i="24"/>
  <c r="M47" i="24"/>
  <c r="T47" i="24" s="1"/>
  <c r="M298" i="24"/>
  <c r="M46" i="24"/>
  <c r="T46" i="24" s="1"/>
  <c r="M302" i="24"/>
  <c r="T302" i="24" s="1"/>
  <c r="M50" i="24"/>
  <c r="T50" i="24" s="1"/>
  <c r="M296" i="24"/>
  <c r="M44" i="24"/>
  <c r="T384" i="24"/>
  <c r="T427" i="24"/>
  <c r="T423" i="24"/>
  <c r="T425" i="24"/>
  <c r="T424" i="24"/>
  <c r="T380" i="24"/>
  <c r="U52" i="30"/>
  <c r="X52" i="30"/>
  <c r="AC52" i="30"/>
  <c r="AD52" i="30" s="1"/>
  <c r="Z44" i="30"/>
  <c r="W44" i="30"/>
  <c r="AC43" i="30"/>
  <c r="AD43" i="30" s="1"/>
  <c r="W43" i="30"/>
  <c r="X43" i="30" s="1"/>
  <c r="Z43" i="30"/>
  <c r="AA43" i="30" s="1"/>
  <c r="T43" i="30"/>
  <c r="U43" i="30" s="1"/>
  <c r="AC42" i="30"/>
  <c r="T42" i="30"/>
  <c r="Z42" i="30"/>
  <c r="W42" i="30"/>
  <c r="W40" i="30"/>
  <c r="Z40" i="30"/>
  <c r="AC40" i="30"/>
  <c r="T40" i="30"/>
  <c r="AA48" i="30"/>
  <c r="AD48" i="30"/>
  <c r="AD46" i="30"/>
  <c r="X48" i="30"/>
  <c r="X46" i="30"/>
  <c r="U48" i="30"/>
  <c r="U46" i="30"/>
  <c r="AA46" i="30"/>
  <c r="J435" i="24" l="1"/>
  <c r="T426" i="24"/>
  <c r="M435" i="24"/>
  <c r="T422" i="24"/>
  <c r="T421" i="24"/>
  <c r="T44" i="24"/>
  <c r="AD53" i="30"/>
  <c r="X53" i="30"/>
  <c r="AA52" i="30"/>
  <c r="AA53" i="30" s="1"/>
  <c r="U53" i="30"/>
  <c r="T435" i="24" l="1"/>
  <c r="F405" i="24"/>
  <c r="H403" i="24" a="1"/>
  <c r="H403" i="24" s="1"/>
  <c r="S403" i="24" s="1" a="1"/>
  <c r="S403" i="24" s="1"/>
  <c r="F399" i="24"/>
  <c r="H396" i="24" a="1"/>
  <c r="H396" i="24" s="1"/>
  <c r="S396" i="24" s="1" a="1"/>
  <c r="S396" i="24" s="1"/>
  <c r="T396" i="24" s="1"/>
  <c r="H395" i="24" a="1"/>
  <c r="H395" i="24" s="1"/>
  <c r="S395" i="24" s="1" a="1"/>
  <c r="S395" i="24" s="1"/>
  <c r="T395" i="24" s="1"/>
  <c r="H394" i="24" a="1"/>
  <c r="H394" i="24" s="1"/>
  <c r="S394" i="24" s="1" a="1"/>
  <c r="S394" i="24" s="1"/>
  <c r="T394" i="24" s="1"/>
  <c r="C379" i="24"/>
  <c r="F379" i="24" s="1"/>
  <c r="C378" i="24"/>
  <c r="C377" i="24"/>
  <c r="C376" i="24"/>
  <c r="C375" i="24"/>
  <c r="C374" i="24"/>
  <c r="C373" i="24"/>
  <c r="C372" i="24"/>
  <c r="C371" i="24"/>
  <c r="C368" i="24"/>
  <c r="C367" i="24"/>
  <c r="C366" i="24"/>
  <c r="C365" i="24"/>
  <c r="F365" i="24" s="1"/>
  <c r="C364" i="24"/>
  <c r="C363" i="24"/>
  <c r="C362" i="24"/>
  <c r="C361" i="24"/>
  <c r="C360" i="24"/>
  <c r="C359" i="24"/>
  <c r="C358" i="24"/>
  <c r="C355" i="24"/>
  <c r="C354" i="24"/>
  <c r="C353" i="24"/>
  <c r="C352" i="24"/>
  <c r="C351" i="24"/>
  <c r="F351" i="24" s="1"/>
  <c r="C350" i="24"/>
  <c r="C349" i="24"/>
  <c r="C348" i="24"/>
  <c r="C347" i="24"/>
  <c r="C346" i="24"/>
  <c r="C345" i="24"/>
  <c r="C344" i="24"/>
  <c r="C341" i="24"/>
  <c r="C340" i="24"/>
  <c r="C339" i="24"/>
  <c r="C338" i="24"/>
  <c r="C337" i="24"/>
  <c r="F337" i="24" s="1"/>
  <c r="C336" i="24"/>
  <c r="C335" i="24"/>
  <c r="C334" i="24"/>
  <c r="C333" i="24"/>
  <c r="C332" i="24"/>
  <c r="C331" i="24"/>
  <c r="C330" i="24"/>
  <c r="C327" i="24"/>
  <c r="C326" i="24"/>
  <c r="C325" i="24"/>
  <c r="C324" i="24"/>
  <c r="C323" i="24"/>
  <c r="F323" i="24" s="1"/>
  <c r="C322" i="24"/>
  <c r="C321" i="24"/>
  <c r="C320" i="24"/>
  <c r="C319" i="24"/>
  <c r="C318" i="24"/>
  <c r="C317" i="24"/>
  <c r="C314" i="24"/>
  <c r="C313" i="24"/>
  <c r="C312" i="24"/>
  <c r="C311" i="24"/>
  <c r="C310" i="24"/>
  <c r="C309" i="24"/>
  <c r="F309" i="24" s="1"/>
  <c r="C308" i="24"/>
  <c r="C307" i="24"/>
  <c r="C306" i="24"/>
  <c r="C305" i="24"/>
  <c r="C304" i="24"/>
  <c r="C303" i="24"/>
  <c r="C300" i="24"/>
  <c r="C299" i="24"/>
  <c r="C298" i="24"/>
  <c r="C297" i="24"/>
  <c r="C296" i="24"/>
  <c r="C295" i="24"/>
  <c r="F295" i="24" s="1"/>
  <c r="C294" i="24"/>
  <c r="C293" i="24"/>
  <c r="C292" i="24"/>
  <c r="C291" i="24"/>
  <c r="C290" i="24"/>
  <c r="C289" i="24"/>
  <c r="C286" i="24"/>
  <c r="C285" i="24"/>
  <c r="C284" i="24"/>
  <c r="C283" i="24"/>
  <c r="C282" i="24"/>
  <c r="C281" i="24"/>
  <c r="F281" i="24" s="1"/>
  <c r="C280" i="24"/>
  <c r="C279" i="24"/>
  <c r="C278" i="24"/>
  <c r="C277" i="24"/>
  <c r="C276" i="24"/>
  <c r="C275" i="24"/>
  <c r="C274" i="24"/>
  <c r="C271" i="24"/>
  <c r="C270" i="24"/>
  <c r="C269" i="24"/>
  <c r="C268" i="24"/>
  <c r="C267" i="24"/>
  <c r="F267" i="24" s="1"/>
  <c r="C266" i="24"/>
  <c r="C265" i="24"/>
  <c r="C264" i="24"/>
  <c r="C263" i="24"/>
  <c r="C262" i="24"/>
  <c r="C261" i="24"/>
  <c r="C260" i="24"/>
  <c r="C257" i="24"/>
  <c r="C256" i="24"/>
  <c r="C255" i="24"/>
  <c r="C254" i="24"/>
  <c r="C253" i="24"/>
  <c r="F253" i="24" s="1"/>
  <c r="C252" i="24"/>
  <c r="C251" i="24"/>
  <c r="C250" i="24"/>
  <c r="C249" i="24"/>
  <c r="C248" i="24"/>
  <c r="C247" i="24"/>
  <c r="C246" i="24"/>
  <c r="C243" i="24"/>
  <c r="C242" i="24"/>
  <c r="C241" i="24"/>
  <c r="C240" i="24"/>
  <c r="C239" i="24"/>
  <c r="F239" i="24" s="1"/>
  <c r="C238" i="24"/>
  <c r="C237" i="24"/>
  <c r="C236" i="24"/>
  <c r="C235" i="24"/>
  <c r="C234" i="24"/>
  <c r="C233" i="24"/>
  <c r="C232" i="24"/>
  <c r="C229" i="24"/>
  <c r="C228" i="24"/>
  <c r="C227" i="24"/>
  <c r="C226" i="24"/>
  <c r="C225" i="24"/>
  <c r="F225" i="24" s="1"/>
  <c r="C224" i="24"/>
  <c r="C223" i="24"/>
  <c r="C222" i="24"/>
  <c r="C221" i="24"/>
  <c r="C220" i="24"/>
  <c r="C219" i="24"/>
  <c r="C218" i="24"/>
  <c r="C215" i="24"/>
  <c r="C214" i="24"/>
  <c r="C213" i="24"/>
  <c r="C212" i="24"/>
  <c r="C211" i="24"/>
  <c r="F211" i="24" s="1"/>
  <c r="C210" i="24"/>
  <c r="C209" i="24"/>
  <c r="C208" i="24"/>
  <c r="C207" i="24"/>
  <c r="C206" i="24"/>
  <c r="C205" i="24"/>
  <c r="C204" i="24"/>
  <c r="C201" i="24"/>
  <c r="C200" i="24"/>
  <c r="C199" i="24"/>
  <c r="C198" i="24"/>
  <c r="C197" i="24"/>
  <c r="F197" i="24" s="1"/>
  <c r="C196" i="24"/>
  <c r="C195" i="24"/>
  <c r="C194" i="24"/>
  <c r="C193" i="24"/>
  <c r="C192" i="24"/>
  <c r="C191" i="24"/>
  <c r="C190" i="24"/>
  <c r="C187" i="24"/>
  <c r="C186" i="24"/>
  <c r="C185" i="24"/>
  <c r="C184" i="24"/>
  <c r="C183" i="24"/>
  <c r="F183" i="24" s="1"/>
  <c r="C182" i="24"/>
  <c r="C181" i="24"/>
  <c r="C180" i="24"/>
  <c r="C179" i="24"/>
  <c r="C178" i="24"/>
  <c r="C177" i="24"/>
  <c r="C176" i="24"/>
  <c r="C175" i="24"/>
  <c r="C172" i="24"/>
  <c r="C171" i="24"/>
  <c r="C170" i="24"/>
  <c r="C169" i="24"/>
  <c r="F169" i="24" s="1"/>
  <c r="C168" i="24"/>
  <c r="C167" i="24"/>
  <c r="C166" i="24"/>
  <c r="C165" i="24"/>
  <c r="C164" i="24"/>
  <c r="C163" i="24"/>
  <c r="C162" i="24"/>
  <c r="C159" i="24"/>
  <c r="C158" i="24"/>
  <c r="C157" i="24"/>
  <c r="C156" i="24"/>
  <c r="C155" i="24"/>
  <c r="F155" i="24" s="1"/>
  <c r="C154" i="24"/>
  <c r="C153" i="24"/>
  <c r="C152" i="24"/>
  <c r="C151" i="24"/>
  <c r="C150" i="24"/>
  <c r="C149" i="24"/>
  <c r="C148" i="24"/>
  <c r="C145" i="24"/>
  <c r="C144" i="24"/>
  <c r="C143" i="24"/>
  <c r="C142" i="24"/>
  <c r="C141" i="24"/>
  <c r="F141" i="24" s="1"/>
  <c r="C140" i="24"/>
  <c r="C139" i="24"/>
  <c r="C138" i="24"/>
  <c r="C137" i="24"/>
  <c r="C136" i="24"/>
  <c r="C135" i="24"/>
  <c r="C132" i="24"/>
  <c r="C131" i="24"/>
  <c r="C130" i="24"/>
  <c r="C129" i="24"/>
  <c r="C128" i="24"/>
  <c r="C127" i="24"/>
  <c r="F127" i="24" s="1"/>
  <c r="C126" i="24"/>
  <c r="C125" i="24"/>
  <c r="C124" i="24"/>
  <c r="C123" i="24"/>
  <c r="C122" i="24"/>
  <c r="C121" i="24"/>
  <c r="C118" i="24"/>
  <c r="C117" i="24"/>
  <c r="C116" i="24"/>
  <c r="C115" i="24"/>
  <c r="C114" i="24"/>
  <c r="C113" i="24"/>
  <c r="F113" i="24" s="1"/>
  <c r="C112" i="24"/>
  <c r="C111" i="24"/>
  <c r="C110" i="24"/>
  <c r="C109" i="24"/>
  <c r="C108" i="24"/>
  <c r="C107" i="24"/>
  <c r="C106" i="24"/>
  <c r="C103" i="24"/>
  <c r="C102" i="24"/>
  <c r="C101" i="24"/>
  <c r="C100" i="24"/>
  <c r="C99" i="24"/>
  <c r="F99" i="24" s="1"/>
  <c r="C98" i="24"/>
  <c r="C97" i="24"/>
  <c r="C96" i="24"/>
  <c r="C95" i="24"/>
  <c r="C94" i="24"/>
  <c r="C93" i="24"/>
  <c r="C92" i="24"/>
  <c r="C89" i="24"/>
  <c r="C88" i="24"/>
  <c r="C87" i="24"/>
  <c r="C86" i="24"/>
  <c r="C85" i="24"/>
  <c r="F85" i="24" s="1"/>
  <c r="C84" i="24"/>
  <c r="C83" i="24"/>
  <c r="C82" i="24"/>
  <c r="C81" i="24"/>
  <c r="C80" i="24"/>
  <c r="C79" i="24"/>
  <c r="C78" i="24"/>
  <c r="C75" i="24"/>
  <c r="C74" i="24"/>
  <c r="C73" i="24"/>
  <c r="C72" i="24"/>
  <c r="C71" i="24"/>
  <c r="F71" i="24" s="1"/>
  <c r="C70" i="24"/>
  <c r="C69" i="24"/>
  <c r="C68" i="24"/>
  <c r="C67" i="24"/>
  <c r="C66" i="24"/>
  <c r="C65" i="24"/>
  <c r="C64" i="24"/>
  <c r="C61" i="24"/>
  <c r="C60" i="24"/>
  <c r="C59" i="24"/>
  <c r="C58" i="24"/>
  <c r="C57" i="24"/>
  <c r="F57" i="24" s="1"/>
  <c r="C56" i="24"/>
  <c r="C55" i="24"/>
  <c r="C54" i="24"/>
  <c r="C53" i="24"/>
  <c r="C52" i="24"/>
  <c r="C51" i="24"/>
  <c r="C50" i="24"/>
  <c r="C47" i="24"/>
  <c r="C46" i="24"/>
  <c r="C45" i="24"/>
  <c r="C44" i="24"/>
  <c r="C43" i="24"/>
  <c r="F43" i="24" s="1"/>
  <c r="C42" i="24"/>
  <c r="C41" i="24"/>
  <c r="C40" i="24"/>
  <c r="C39" i="24"/>
  <c r="C38" i="24"/>
  <c r="C37" i="24"/>
  <c r="C36" i="24"/>
  <c r="C33" i="24"/>
  <c r="C32" i="24"/>
  <c r="C31" i="24"/>
  <c r="C30" i="24"/>
  <c r="C15" i="24"/>
  <c r="F15" i="24" s="1"/>
  <c r="C14" i="24"/>
  <c r="H14" i="24" s="1" a="1"/>
  <c r="H14" i="24" s="1"/>
  <c r="S14" i="24" s="1" a="1"/>
  <c r="S14" i="24" s="1"/>
  <c r="C13" i="24"/>
  <c r="F13" i="24" s="1"/>
  <c r="C12" i="24"/>
  <c r="F12" i="24" s="1"/>
  <c r="C11" i="24"/>
  <c r="F11" i="24" s="1"/>
  <c r="C10" i="24"/>
  <c r="C9" i="24"/>
  <c r="C6" i="24"/>
  <c r="C5" i="24"/>
  <c r="C4" i="24"/>
  <c r="C3" i="24"/>
  <c r="C2" i="24"/>
  <c r="H2" i="24" s="1" a="1"/>
  <c r="H2" i="24" s="1"/>
  <c r="S2" i="24" s="1" a="1"/>
  <c r="S2" i="24" s="1"/>
  <c r="F10" i="24" l="1"/>
  <c r="H10" i="24" a="1"/>
  <c r="H10" i="24" s="1"/>
  <c r="S10" i="24" s="1" a="1"/>
  <c r="S10" i="24" s="1"/>
  <c r="F9" i="24"/>
  <c r="H9" i="24" a="1"/>
  <c r="H9" i="24" s="1"/>
  <c r="S9" i="24" s="1" a="1"/>
  <c r="S9" i="24" s="1"/>
  <c r="F6" i="24"/>
  <c r="H6" i="24" a="1"/>
  <c r="H6" i="24" s="1"/>
  <c r="S6" i="24" s="1" a="1"/>
  <c r="S6" i="24" s="1"/>
  <c r="F5" i="24"/>
  <c r="H5" i="24" a="1"/>
  <c r="H5" i="24" s="1"/>
  <c r="S5" i="24" s="1" a="1"/>
  <c r="S5" i="24" s="1"/>
  <c r="F4" i="24"/>
  <c r="H4" i="24" a="1"/>
  <c r="H4" i="24" s="1"/>
  <c r="S4" i="24" s="1" a="1"/>
  <c r="S4" i="24" s="1"/>
  <c r="F3" i="24"/>
  <c r="H3" i="24" a="1"/>
  <c r="H3" i="24" s="1"/>
  <c r="S3" i="24" s="1" a="1"/>
  <c r="S3" i="24" s="1"/>
  <c r="F378" i="24"/>
  <c r="H378" i="24" a="1"/>
  <c r="H378" i="24" s="1"/>
  <c r="S378" i="24" s="1" a="1"/>
  <c r="S378" i="24" s="1"/>
  <c r="F377" i="24"/>
  <c r="H377" i="24" a="1"/>
  <c r="H377" i="24" s="1"/>
  <c r="S377" i="24" s="1" a="1"/>
  <c r="S377" i="24" s="1"/>
  <c r="F376" i="24"/>
  <c r="H376" i="24" a="1"/>
  <c r="H376" i="24" s="1"/>
  <c r="S376" i="24" s="1" a="1"/>
  <c r="S376" i="24" s="1"/>
  <c r="F375" i="24"/>
  <c r="H375" i="24" a="1"/>
  <c r="H375" i="24" s="1"/>
  <c r="S375" i="24" s="1" a="1"/>
  <c r="S375" i="24" s="1"/>
  <c r="F374" i="24"/>
  <c r="H374" i="24" a="1"/>
  <c r="H374" i="24" s="1"/>
  <c r="S374" i="24" s="1" a="1"/>
  <c r="S374" i="24" s="1"/>
  <c r="F373" i="24"/>
  <c r="H373" i="24" a="1"/>
  <c r="H373" i="24" s="1"/>
  <c r="S373" i="24" s="1" a="1"/>
  <c r="S373" i="24" s="1"/>
  <c r="F372" i="24"/>
  <c r="H372" i="24" a="1"/>
  <c r="H372" i="24" s="1"/>
  <c r="S372" i="24" s="1" a="1"/>
  <c r="S372" i="24" s="1"/>
  <c r="H371" i="24" a="1"/>
  <c r="H371" i="24" s="1"/>
  <c r="S371" i="24" s="1" a="1"/>
  <c r="S371" i="24" s="1"/>
  <c r="F371" i="24"/>
  <c r="H368" i="24" a="1"/>
  <c r="H368" i="24" s="1"/>
  <c r="S368" i="24" s="1" a="1"/>
  <c r="S368" i="24" s="1"/>
  <c r="F368" i="24"/>
  <c r="H367" i="24" a="1"/>
  <c r="H367" i="24" s="1"/>
  <c r="S367" i="24" s="1" a="1"/>
  <c r="S367" i="24" s="1"/>
  <c r="F367" i="24"/>
  <c r="H366" i="24" a="1"/>
  <c r="H366" i="24" s="1"/>
  <c r="S366" i="24" s="1" a="1"/>
  <c r="S366" i="24" s="1"/>
  <c r="F366" i="24"/>
  <c r="F364" i="24"/>
  <c r="H364" i="24" a="1"/>
  <c r="H364" i="24" s="1"/>
  <c r="S364" i="24" s="1" a="1"/>
  <c r="S364" i="24" s="1"/>
  <c r="H363" i="24" a="1"/>
  <c r="H363" i="24" s="1"/>
  <c r="S363" i="24" s="1" a="1"/>
  <c r="S363" i="24" s="1"/>
  <c r="F363" i="24"/>
  <c r="H362" i="24" a="1"/>
  <c r="H362" i="24" s="1"/>
  <c r="S362" i="24" s="1" a="1"/>
  <c r="S362" i="24" s="1"/>
  <c r="F362" i="24"/>
  <c r="H361" i="24" a="1"/>
  <c r="H361" i="24" s="1"/>
  <c r="S361" i="24" s="1" a="1"/>
  <c r="S361" i="24" s="1"/>
  <c r="F361" i="24"/>
  <c r="F360" i="24"/>
  <c r="H360" i="24" a="1"/>
  <c r="H360" i="24" s="1"/>
  <c r="S360" i="24" s="1" a="1"/>
  <c r="S360" i="24" s="1"/>
  <c r="H359" i="24" a="1"/>
  <c r="H359" i="24" s="1"/>
  <c r="S359" i="24" s="1" a="1"/>
  <c r="S359" i="24" s="1"/>
  <c r="T359" i="24" s="1"/>
  <c r="F359" i="24"/>
  <c r="H358" i="24" a="1"/>
  <c r="H358" i="24" s="1"/>
  <c r="S358" i="24" s="1" a="1"/>
  <c r="S358" i="24" s="1"/>
  <c r="T358" i="24" s="1"/>
  <c r="F358" i="24"/>
  <c r="H355" i="24" a="1"/>
  <c r="H355" i="24" s="1"/>
  <c r="S355" i="24" s="1" a="1"/>
  <c r="S355" i="24" s="1"/>
  <c r="T355" i="24" s="1"/>
  <c r="F355" i="24"/>
  <c r="H354" i="24" a="1"/>
  <c r="H354" i="24" s="1"/>
  <c r="S354" i="24" s="1" a="1"/>
  <c r="S354" i="24" s="1"/>
  <c r="T354" i="24" s="1"/>
  <c r="F354" i="24"/>
  <c r="F353" i="24"/>
  <c r="H353" i="24" a="1"/>
  <c r="H353" i="24" s="1"/>
  <c r="S353" i="24" s="1" a="1"/>
  <c r="S353" i="24" s="1"/>
  <c r="T353" i="24" s="1"/>
  <c r="F352" i="24"/>
  <c r="H352" i="24" a="1"/>
  <c r="H352" i="24" s="1"/>
  <c r="S352" i="24" s="1" a="1"/>
  <c r="S352" i="24" s="1"/>
  <c r="T352" i="24" s="1"/>
  <c r="F350" i="24"/>
  <c r="H350" i="24" a="1"/>
  <c r="H350" i="24" s="1"/>
  <c r="S350" i="24" s="1" a="1"/>
  <c r="S350" i="24" s="1"/>
  <c r="F349" i="24"/>
  <c r="H349" i="24" a="1"/>
  <c r="H349" i="24" s="1"/>
  <c r="S349" i="24" s="1" a="1"/>
  <c r="S349" i="24" s="1"/>
  <c r="H348" i="24" a="1"/>
  <c r="H348" i="24" s="1"/>
  <c r="S348" i="24" s="1" a="1"/>
  <c r="S348" i="24" s="1"/>
  <c r="F348" i="24"/>
  <c r="F347" i="24"/>
  <c r="H347" i="24" a="1"/>
  <c r="H347" i="24" s="1"/>
  <c r="S347" i="24" s="1" a="1"/>
  <c r="S347" i="24" s="1"/>
  <c r="F346" i="24"/>
  <c r="H346" i="24" a="1"/>
  <c r="H346" i="24" s="1"/>
  <c r="S346" i="24" s="1" a="1"/>
  <c r="S346" i="24" s="1"/>
  <c r="F345" i="24"/>
  <c r="H345" i="24" a="1"/>
  <c r="H345" i="24" s="1"/>
  <c r="S345" i="24" s="1" a="1"/>
  <c r="S345" i="24" s="1"/>
  <c r="F344" i="24"/>
  <c r="H344" i="24" a="1"/>
  <c r="H344" i="24" s="1"/>
  <c r="S344" i="24" s="1" a="1"/>
  <c r="S344" i="24" s="1"/>
  <c r="F341" i="24"/>
  <c r="H341" i="24" a="1"/>
  <c r="H341" i="24" s="1"/>
  <c r="S341" i="24" s="1" a="1"/>
  <c r="S341" i="24" s="1"/>
  <c r="F340" i="24"/>
  <c r="H340" i="24" a="1"/>
  <c r="H340" i="24" s="1"/>
  <c r="S340" i="24" s="1" a="1"/>
  <c r="S340" i="24" s="1"/>
  <c r="H339" i="24" a="1"/>
  <c r="H339" i="24" s="1"/>
  <c r="S339" i="24" s="1" a="1"/>
  <c r="S339" i="24" s="1"/>
  <c r="F339" i="24"/>
  <c r="F338" i="24"/>
  <c r="H338" i="24" a="1"/>
  <c r="H338" i="24" s="1"/>
  <c r="S338" i="24" s="1" a="1"/>
  <c r="S338" i="24" s="1"/>
  <c r="F336" i="24"/>
  <c r="H336" i="24" a="1"/>
  <c r="H336" i="24" s="1"/>
  <c r="S336" i="24" s="1" a="1"/>
  <c r="S336" i="24" s="1"/>
  <c r="F335" i="24"/>
  <c r="H335" i="24" a="1"/>
  <c r="H335" i="24" s="1"/>
  <c r="S335" i="24" s="1" a="1"/>
  <c r="S335" i="24" s="1"/>
  <c r="F334" i="24"/>
  <c r="H334" i="24" a="1"/>
  <c r="H334" i="24" s="1"/>
  <c r="S334" i="24" s="1" a="1"/>
  <c r="S334" i="24" s="1"/>
  <c r="F333" i="24"/>
  <c r="H333" i="24" a="1"/>
  <c r="H333" i="24" s="1"/>
  <c r="S333" i="24" s="1" a="1"/>
  <c r="S333" i="24" s="1"/>
  <c r="F332" i="24"/>
  <c r="H332" i="24" a="1"/>
  <c r="H332" i="24" s="1"/>
  <c r="S332" i="24" s="1" a="1"/>
  <c r="S332" i="24" s="1"/>
  <c r="H331" i="24" a="1"/>
  <c r="H331" i="24" s="1"/>
  <c r="S331" i="24" s="1" a="1"/>
  <c r="S331" i="24" s="1"/>
  <c r="F331" i="24"/>
  <c r="H330" i="24" a="1"/>
  <c r="H330" i="24" s="1"/>
  <c r="S330" i="24" s="1" a="1"/>
  <c r="S330" i="24" s="1"/>
  <c r="F330" i="24"/>
  <c r="F327" i="24"/>
  <c r="H327" i="24" a="1"/>
  <c r="H327" i="24" s="1"/>
  <c r="S327" i="24" s="1" a="1"/>
  <c r="S327" i="24" s="1"/>
  <c r="H326" i="24" a="1"/>
  <c r="H326" i="24" s="1"/>
  <c r="S326" i="24" s="1" a="1"/>
  <c r="S326" i="24" s="1"/>
  <c r="F326" i="24"/>
  <c r="H325" i="24" a="1"/>
  <c r="H325" i="24" s="1"/>
  <c r="S325" i="24" s="1" a="1"/>
  <c r="S325" i="24" s="1"/>
  <c r="F325" i="24"/>
  <c r="H324" i="24" a="1"/>
  <c r="H324" i="24" s="1"/>
  <c r="S324" i="24" s="1" a="1"/>
  <c r="S324" i="24" s="1"/>
  <c r="F324" i="24"/>
  <c r="H322" i="24" a="1"/>
  <c r="H322" i="24" s="1"/>
  <c r="S322" i="24" s="1" a="1"/>
  <c r="S322" i="24" s="1"/>
  <c r="F322" i="24"/>
  <c r="H321" i="24" a="1"/>
  <c r="H321" i="24" s="1"/>
  <c r="S321" i="24" s="1" a="1"/>
  <c r="S321" i="24" s="1"/>
  <c r="F321" i="24"/>
  <c r="H320" i="24" a="1"/>
  <c r="H320" i="24" s="1"/>
  <c r="S320" i="24" s="1" a="1"/>
  <c r="S320" i="24" s="1"/>
  <c r="F320" i="24"/>
  <c r="F319" i="24"/>
  <c r="H319" i="24" a="1"/>
  <c r="H319" i="24" s="1"/>
  <c r="S319" i="24" s="1" a="1"/>
  <c r="S319" i="24" s="1"/>
  <c r="F318" i="24"/>
  <c r="H318" i="24" a="1"/>
  <c r="H318" i="24" s="1"/>
  <c r="S318" i="24" s="1" a="1"/>
  <c r="S318" i="24" s="1"/>
  <c r="H317" i="24" a="1"/>
  <c r="H317" i="24" s="1"/>
  <c r="S317" i="24" s="1" a="1"/>
  <c r="S317" i="24" s="1"/>
  <c r="F317" i="24"/>
  <c r="H314" i="24" a="1"/>
  <c r="H314" i="24" s="1"/>
  <c r="S314" i="24" s="1" a="1"/>
  <c r="S314" i="24" s="1"/>
  <c r="F314" i="24"/>
  <c r="H313" i="24" a="1"/>
  <c r="H313" i="24" s="1"/>
  <c r="S313" i="24" s="1" a="1"/>
  <c r="S313" i="24" s="1"/>
  <c r="F313" i="24"/>
  <c r="H312" i="24" a="1"/>
  <c r="H312" i="24" s="1"/>
  <c r="S312" i="24" s="1" a="1"/>
  <c r="S312" i="24" s="1"/>
  <c r="F312" i="24"/>
  <c r="H311" i="24" a="1"/>
  <c r="H311" i="24" s="1"/>
  <c r="S311" i="24" s="1" a="1"/>
  <c r="S311" i="24" s="1"/>
  <c r="F311" i="24"/>
  <c r="H310" i="24" a="1"/>
  <c r="H310" i="24" s="1"/>
  <c r="S310" i="24" s="1" a="1"/>
  <c r="S310" i="24" s="1"/>
  <c r="F310" i="24"/>
  <c r="H308" i="24" a="1"/>
  <c r="H308" i="24" s="1"/>
  <c r="S308" i="24" s="1" a="1"/>
  <c r="S308" i="24" s="1"/>
  <c r="F308" i="24"/>
  <c r="H307" i="24" a="1"/>
  <c r="H307" i="24" s="1"/>
  <c r="S307" i="24" s="1" a="1"/>
  <c r="S307" i="24" s="1"/>
  <c r="F307" i="24"/>
  <c r="F306" i="24"/>
  <c r="H306" i="24" a="1"/>
  <c r="H306" i="24" s="1"/>
  <c r="S306" i="24" s="1" a="1"/>
  <c r="S306" i="24" s="1"/>
  <c r="T306" i="24" s="1"/>
  <c r="H305" i="24" a="1"/>
  <c r="H305" i="24" s="1"/>
  <c r="S305" i="24" s="1" a="1"/>
  <c r="S305" i="24" s="1"/>
  <c r="T305" i="24" s="1"/>
  <c r="F305" i="24"/>
  <c r="H304" i="24" a="1"/>
  <c r="H304" i="24" s="1"/>
  <c r="S304" i="24" s="1" a="1"/>
  <c r="S304" i="24" s="1"/>
  <c r="F304" i="24"/>
  <c r="F303" i="24"/>
  <c r="H303" i="24" a="1"/>
  <c r="H303" i="24" s="1"/>
  <c r="S303" i="24" s="1" a="1"/>
  <c r="S303" i="24" s="1"/>
  <c r="T303" i="24" s="1"/>
  <c r="H300" i="24" a="1"/>
  <c r="H300" i="24" s="1"/>
  <c r="S300" i="24" s="1" a="1"/>
  <c r="S300" i="24" s="1"/>
  <c r="T300" i="24" s="1"/>
  <c r="F300" i="24"/>
  <c r="H299" i="24" a="1"/>
  <c r="H299" i="24" s="1"/>
  <c r="S299" i="24" s="1" a="1"/>
  <c r="S299" i="24" s="1"/>
  <c r="T299" i="24" s="1"/>
  <c r="F299" i="24"/>
  <c r="H298" i="24" a="1"/>
  <c r="H298" i="24" s="1"/>
  <c r="S298" i="24" s="1" a="1"/>
  <c r="S298" i="24" s="1"/>
  <c r="T298" i="24" s="1"/>
  <c r="F298" i="24"/>
  <c r="H297" i="24" a="1"/>
  <c r="H297" i="24" s="1"/>
  <c r="S297" i="24" s="1" a="1"/>
  <c r="S297" i="24" s="1"/>
  <c r="F297" i="24"/>
  <c r="F296" i="24"/>
  <c r="H296" i="24" a="1"/>
  <c r="H296" i="24" s="1"/>
  <c r="S296" i="24" s="1" a="1"/>
  <c r="S296" i="24" s="1"/>
  <c r="T296" i="24" s="1"/>
  <c r="F294" i="24"/>
  <c r="H294" i="24" a="1"/>
  <c r="H294" i="24" s="1"/>
  <c r="S294" i="24" s="1" a="1"/>
  <c r="S294" i="24" s="1"/>
  <c r="H293" i="24" a="1"/>
  <c r="H293" i="24" s="1"/>
  <c r="S293" i="24" s="1" a="1"/>
  <c r="S293" i="24" s="1"/>
  <c r="F293" i="24"/>
  <c r="H292" i="24" a="1"/>
  <c r="H292" i="24" s="1"/>
  <c r="S292" i="24" s="1" a="1"/>
  <c r="S292" i="24" s="1"/>
  <c r="F292" i="24"/>
  <c r="H291" i="24" a="1"/>
  <c r="H291" i="24" s="1"/>
  <c r="S291" i="24" s="1" a="1"/>
  <c r="S291" i="24" s="1"/>
  <c r="F291" i="24"/>
  <c r="H290" i="24" a="1"/>
  <c r="H290" i="24" s="1"/>
  <c r="S290" i="24" s="1" a="1"/>
  <c r="S290" i="24" s="1"/>
  <c r="F290" i="24"/>
  <c r="H289" i="24" a="1"/>
  <c r="H289" i="24" s="1"/>
  <c r="S289" i="24" s="1" a="1"/>
  <c r="S289" i="24" s="1"/>
  <c r="T289" i="24" s="1"/>
  <c r="F289" i="24"/>
  <c r="F286" i="24"/>
  <c r="H286" i="24" a="1"/>
  <c r="H286" i="24" s="1"/>
  <c r="S286" i="24" s="1" a="1"/>
  <c r="S286" i="24" s="1"/>
  <c r="T286" i="24" s="1"/>
  <c r="F285" i="24"/>
  <c r="H285" i="24" a="1"/>
  <c r="H285" i="24" s="1"/>
  <c r="S285" i="24" s="1" a="1"/>
  <c r="S285" i="24" s="1"/>
  <c r="T285" i="24" s="1"/>
  <c r="F284" i="24"/>
  <c r="H284" i="24" a="1"/>
  <c r="H284" i="24" s="1"/>
  <c r="S284" i="24" s="1" a="1"/>
  <c r="S284" i="24" s="1"/>
  <c r="T284" i="24" s="1"/>
  <c r="F283" i="24"/>
  <c r="H283" i="24" a="1"/>
  <c r="H283" i="24" s="1"/>
  <c r="S283" i="24" s="1" a="1"/>
  <c r="S283" i="24" s="1"/>
  <c r="T283" i="24" s="1"/>
  <c r="H282" i="24" a="1"/>
  <c r="H282" i="24" s="1"/>
  <c r="S282" i="24" s="1" a="1"/>
  <c r="S282" i="24" s="1"/>
  <c r="T282" i="24" s="1"/>
  <c r="F282" i="24"/>
  <c r="H280" i="24" a="1"/>
  <c r="H280" i="24" s="1"/>
  <c r="S280" i="24" s="1" a="1"/>
  <c r="S280" i="24" s="1"/>
  <c r="F280" i="24"/>
  <c r="F279" i="24"/>
  <c r="H279" i="24" a="1"/>
  <c r="H279" i="24" s="1"/>
  <c r="S279" i="24" s="1" a="1"/>
  <c r="S279" i="24" s="1"/>
  <c r="F278" i="24"/>
  <c r="H278" i="24" a="1"/>
  <c r="H278" i="24" s="1"/>
  <c r="S278" i="24" s="1" a="1"/>
  <c r="S278" i="24" s="1"/>
  <c r="F277" i="24"/>
  <c r="H277" i="24" a="1"/>
  <c r="H277" i="24" s="1"/>
  <c r="S277" i="24" s="1" a="1"/>
  <c r="S277" i="24" s="1"/>
  <c r="F276" i="24"/>
  <c r="H276" i="24" a="1"/>
  <c r="H276" i="24" s="1"/>
  <c r="S276" i="24" s="1" a="1"/>
  <c r="S276" i="24" s="1"/>
  <c r="H275" i="24" a="1"/>
  <c r="H275" i="24" s="1"/>
  <c r="S275" i="24" s="1" a="1"/>
  <c r="S275" i="24" s="1"/>
  <c r="T275" i="24" s="1"/>
  <c r="F275" i="24"/>
  <c r="H274" i="24" a="1"/>
  <c r="H274" i="24" s="1"/>
  <c r="S274" i="24" s="1" a="1"/>
  <c r="S274" i="24" s="1"/>
  <c r="T274" i="24" s="1"/>
  <c r="F274" i="24"/>
  <c r="H271" i="24" a="1"/>
  <c r="H271" i="24" s="1"/>
  <c r="S271" i="24" s="1" a="1"/>
  <c r="S271" i="24" s="1"/>
  <c r="T271" i="24" s="1"/>
  <c r="F271" i="24"/>
  <c r="H270" i="24" a="1"/>
  <c r="H270" i="24" s="1"/>
  <c r="S270" i="24" s="1" a="1"/>
  <c r="S270" i="24" s="1"/>
  <c r="T270" i="24" s="1"/>
  <c r="F270" i="24"/>
  <c r="H269" i="24" a="1"/>
  <c r="H269" i="24" s="1"/>
  <c r="F269" i="24"/>
  <c r="H268" i="24" a="1"/>
  <c r="H268" i="24" s="1"/>
  <c r="S268" i="24" s="1" a="1"/>
  <c r="S268" i="24" s="1"/>
  <c r="T268" i="24" s="1"/>
  <c r="F268" i="24"/>
  <c r="H266" i="24" a="1"/>
  <c r="H266" i="24" s="1"/>
  <c r="S266" i="24" s="1" a="1"/>
  <c r="S266" i="24" s="1"/>
  <c r="F266" i="24"/>
  <c r="F265" i="24"/>
  <c r="H265" i="24" a="1"/>
  <c r="H265" i="24" s="1"/>
  <c r="S265" i="24" s="1" a="1"/>
  <c r="S265" i="24" s="1"/>
  <c r="H264" i="24" a="1"/>
  <c r="H264" i="24" s="1"/>
  <c r="S264" i="24" s="1" a="1"/>
  <c r="S264" i="24" s="1"/>
  <c r="F264" i="24"/>
  <c r="F263" i="24"/>
  <c r="H263" i="24" a="1"/>
  <c r="H263" i="24" s="1"/>
  <c r="S263" i="24" s="1" a="1"/>
  <c r="S263" i="24" s="1"/>
  <c r="H262" i="24" a="1"/>
  <c r="H262" i="24" s="1"/>
  <c r="S262" i="24" s="1" a="1"/>
  <c r="S262" i="24" s="1"/>
  <c r="F262" i="24"/>
  <c r="H261" i="24" a="1"/>
  <c r="H261" i="24" s="1"/>
  <c r="S261" i="24" s="1" a="1"/>
  <c r="S261" i="24" s="1"/>
  <c r="F261" i="24"/>
  <c r="H260" i="24" a="1"/>
  <c r="H260" i="24" s="1"/>
  <c r="F260" i="24"/>
  <c r="H257" i="24" a="1"/>
  <c r="H257" i="24" s="1"/>
  <c r="S257" i="24" s="1" a="1"/>
  <c r="S257" i="24" s="1"/>
  <c r="F257" i="24"/>
  <c r="F256" i="24"/>
  <c r="H256" i="24" a="1"/>
  <c r="H256" i="24" s="1"/>
  <c r="S256" i="24" s="1" a="1"/>
  <c r="S256" i="24" s="1"/>
  <c r="H255" i="24" a="1"/>
  <c r="H255" i="24" s="1"/>
  <c r="S255" i="24" s="1" a="1"/>
  <c r="S255" i="24" s="1"/>
  <c r="F255" i="24"/>
  <c r="H254" i="24" a="1"/>
  <c r="H254" i="24" s="1"/>
  <c r="S254" i="24" s="1" a="1"/>
  <c r="S254" i="24" s="1"/>
  <c r="F254" i="24"/>
  <c r="H252" i="24" a="1"/>
  <c r="H252" i="24" s="1"/>
  <c r="S252" i="24" s="1" a="1"/>
  <c r="S252" i="24" s="1"/>
  <c r="F252" i="24"/>
  <c r="H251" i="24" a="1"/>
  <c r="H251" i="24" s="1"/>
  <c r="S251" i="24" s="1" a="1"/>
  <c r="S251" i="24" s="1"/>
  <c r="F251" i="24"/>
  <c r="H250" i="24" a="1"/>
  <c r="H250" i="24" s="1"/>
  <c r="S250" i="24" s="1" a="1"/>
  <c r="S250" i="24" s="1"/>
  <c r="F250" i="24"/>
  <c r="H249" i="24" a="1"/>
  <c r="H249" i="24" s="1"/>
  <c r="S249" i="24" s="1" a="1"/>
  <c r="S249" i="24" s="1"/>
  <c r="F249" i="24"/>
  <c r="H248" i="24" a="1"/>
  <c r="H248" i="24" s="1"/>
  <c r="S248" i="24" s="1" a="1"/>
  <c r="S248" i="24" s="1"/>
  <c r="F248" i="24"/>
  <c r="H247" i="24" a="1"/>
  <c r="H247" i="24" s="1"/>
  <c r="S247" i="24" s="1" a="1"/>
  <c r="S247" i="24" s="1"/>
  <c r="F247" i="24"/>
  <c r="H246" i="24" a="1"/>
  <c r="H246" i="24" s="1"/>
  <c r="S246" i="24" s="1" a="1"/>
  <c r="S246" i="24" s="1"/>
  <c r="F246" i="24"/>
  <c r="H243" i="24" a="1"/>
  <c r="H243" i="24" s="1"/>
  <c r="S243" i="24" s="1" a="1"/>
  <c r="S243" i="24" s="1"/>
  <c r="F243" i="24"/>
  <c r="F242" i="24"/>
  <c r="H242" i="24" a="1"/>
  <c r="H242" i="24" s="1"/>
  <c r="S242" i="24" s="1" a="1"/>
  <c r="S242" i="24" s="1"/>
  <c r="F241" i="24"/>
  <c r="H241" i="24" a="1"/>
  <c r="H241" i="24" s="1"/>
  <c r="S241" i="24" s="1" a="1"/>
  <c r="S241" i="24" s="1"/>
  <c r="H240" i="24" a="1"/>
  <c r="H240" i="24" s="1"/>
  <c r="S240" i="24" s="1" a="1"/>
  <c r="S240" i="24" s="1"/>
  <c r="F240" i="24"/>
  <c r="H238" i="24" a="1"/>
  <c r="H238" i="24" s="1"/>
  <c r="S238" i="24" s="1" a="1"/>
  <c r="S238" i="24" s="1"/>
  <c r="F238" i="24"/>
  <c r="H237" i="24" a="1"/>
  <c r="H237" i="24" s="1"/>
  <c r="S237" i="24" s="1" a="1"/>
  <c r="S237" i="24" s="1"/>
  <c r="F237" i="24"/>
  <c r="H236" i="24" a="1"/>
  <c r="H236" i="24" s="1"/>
  <c r="S236" i="24" s="1" a="1"/>
  <c r="S236" i="24" s="1"/>
  <c r="F236" i="24"/>
  <c r="H235" i="24" a="1"/>
  <c r="H235" i="24" s="1"/>
  <c r="S235" i="24" s="1" a="1"/>
  <c r="S235" i="24" s="1"/>
  <c r="F235" i="24"/>
  <c r="H234" i="24" a="1"/>
  <c r="H234" i="24" s="1"/>
  <c r="S234" i="24" s="1" a="1"/>
  <c r="S234" i="24" s="1"/>
  <c r="F234" i="24"/>
  <c r="F233" i="24"/>
  <c r="H233" i="24" a="1"/>
  <c r="H233" i="24" s="1"/>
  <c r="S233" i="24" s="1" a="1"/>
  <c r="S233" i="24" s="1"/>
  <c r="H232" i="24" a="1"/>
  <c r="H232" i="24" s="1"/>
  <c r="S232" i="24" s="1" a="1"/>
  <c r="S232" i="24" s="1"/>
  <c r="F232" i="24"/>
  <c r="H229" i="24" a="1"/>
  <c r="H229" i="24" s="1"/>
  <c r="S229" i="24" s="1" a="1"/>
  <c r="S229" i="24" s="1"/>
  <c r="F229" i="24"/>
  <c r="H228" i="24" a="1"/>
  <c r="H228" i="24" s="1"/>
  <c r="S228" i="24" s="1" a="1"/>
  <c r="S228" i="24" s="1"/>
  <c r="F228" i="24"/>
  <c r="F227" i="24"/>
  <c r="H227" i="24" a="1"/>
  <c r="H227" i="24" s="1"/>
  <c r="S227" i="24" s="1" a="1"/>
  <c r="S227" i="24" s="1"/>
  <c r="H226" i="24" a="1"/>
  <c r="H226" i="24" s="1"/>
  <c r="S226" i="24" s="1" a="1"/>
  <c r="S226" i="24" s="1"/>
  <c r="F226" i="24"/>
  <c r="H224" i="24" a="1"/>
  <c r="H224" i="24" s="1"/>
  <c r="S224" i="24" s="1" a="1"/>
  <c r="S224" i="24" s="1"/>
  <c r="F224" i="24"/>
  <c r="H223" i="24" a="1"/>
  <c r="H223" i="24" s="1"/>
  <c r="S223" i="24" s="1" a="1"/>
  <c r="S223" i="24" s="1"/>
  <c r="F223" i="24"/>
  <c r="F222" i="24"/>
  <c r="H222" i="24" a="1"/>
  <c r="H222" i="24" s="1"/>
  <c r="S222" i="24" s="1" a="1"/>
  <c r="S222" i="24" s="1"/>
  <c r="H221" i="24" a="1"/>
  <c r="H221" i="24" s="1"/>
  <c r="S221" i="24" s="1" a="1"/>
  <c r="S221" i="24" s="1"/>
  <c r="F221" i="24"/>
  <c r="F220" i="24"/>
  <c r="H220" i="24" a="1"/>
  <c r="H220" i="24" s="1"/>
  <c r="S220" i="24" s="1" a="1"/>
  <c r="S220" i="24" s="1"/>
  <c r="H219" i="24" a="1"/>
  <c r="H219" i="24" s="1"/>
  <c r="S219" i="24" s="1" a="1"/>
  <c r="S219" i="24" s="1"/>
  <c r="F219" i="24"/>
  <c r="H218" i="24" a="1"/>
  <c r="H218" i="24" s="1"/>
  <c r="S218" i="24" s="1" a="1"/>
  <c r="S218" i="24" s="1"/>
  <c r="F218" i="24"/>
  <c r="F215" i="24"/>
  <c r="H215" i="24" a="1"/>
  <c r="H215" i="24" s="1"/>
  <c r="S215" i="24" s="1" a="1"/>
  <c r="S215" i="24" s="1"/>
  <c r="F214" i="24"/>
  <c r="H214" i="24" a="1"/>
  <c r="H214" i="24" s="1"/>
  <c r="S214" i="24" s="1" a="1"/>
  <c r="S214" i="24" s="1"/>
  <c r="F213" i="24"/>
  <c r="H213" i="24" a="1"/>
  <c r="H213" i="24" s="1"/>
  <c r="S213" i="24" s="1" a="1"/>
  <c r="S213" i="24" s="1"/>
  <c r="H212" i="24" a="1"/>
  <c r="H212" i="24" s="1"/>
  <c r="S212" i="24" s="1" a="1"/>
  <c r="S212" i="24" s="1"/>
  <c r="F212" i="24"/>
  <c r="F210" i="24"/>
  <c r="H210" i="24" a="1"/>
  <c r="H210" i="24" s="1"/>
  <c r="S210" i="24" s="1" a="1"/>
  <c r="S210" i="24" s="1"/>
  <c r="H209" i="24" a="1"/>
  <c r="H209" i="24" s="1"/>
  <c r="S209" i="24" s="1" a="1"/>
  <c r="S209" i="24" s="1"/>
  <c r="F209" i="24"/>
  <c r="H208" i="24" a="1"/>
  <c r="H208" i="24" s="1"/>
  <c r="S208" i="24" s="1" a="1"/>
  <c r="S208" i="24" s="1"/>
  <c r="F208" i="24"/>
  <c r="F207" i="24"/>
  <c r="H207" i="24" a="1"/>
  <c r="H207" i="24" s="1"/>
  <c r="S207" i="24" s="1" a="1"/>
  <c r="S207" i="24" s="1"/>
  <c r="H206" i="24" a="1"/>
  <c r="H206" i="24" s="1"/>
  <c r="S206" i="24" s="1" a="1"/>
  <c r="S206" i="24" s="1"/>
  <c r="F206" i="24"/>
  <c r="H205" i="24" a="1"/>
  <c r="H205" i="24" s="1"/>
  <c r="S205" i="24" s="1" a="1"/>
  <c r="S205" i="24" s="1"/>
  <c r="F205" i="24"/>
  <c r="F204" i="24"/>
  <c r="H204" i="24" a="1"/>
  <c r="H204" i="24" s="1"/>
  <c r="S204" i="24" s="1" a="1"/>
  <c r="S204" i="24" s="1"/>
  <c r="H201" i="24" a="1"/>
  <c r="H201" i="24" s="1"/>
  <c r="S201" i="24" s="1" a="1"/>
  <c r="S201" i="24" s="1"/>
  <c r="F201" i="24"/>
  <c r="H200" i="24" a="1"/>
  <c r="H200" i="24" s="1"/>
  <c r="S200" i="24" s="1" a="1"/>
  <c r="S200" i="24" s="1"/>
  <c r="F200" i="24"/>
  <c r="H199" i="24" a="1"/>
  <c r="H199" i="24" s="1"/>
  <c r="S199" i="24" s="1" a="1"/>
  <c r="S199" i="24" s="1"/>
  <c r="F199" i="24"/>
  <c r="H198" i="24" a="1"/>
  <c r="H198" i="24" s="1"/>
  <c r="S198" i="24" s="1" a="1"/>
  <c r="S198" i="24" s="1"/>
  <c r="F198" i="24"/>
  <c r="F196" i="24"/>
  <c r="H196" i="24" a="1"/>
  <c r="H196" i="24" s="1"/>
  <c r="S196" i="24" s="1" a="1"/>
  <c r="S196" i="24" s="1"/>
  <c r="F195" i="24"/>
  <c r="H195" i="24" a="1"/>
  <c r="H195" i="24" s="1"/>
  <c r="S195" i="24" s="1" a="1"/>
  <c r="S195" i="24" s="1"/>
  <c r="F194" i="24"/>
  <c r="H194" i="24" a="1"/>
  <c r="H194" i="24" s="1"/>
  <c r="S194" i="24" s="1" a="1"/>
  <c r="S194" i="24" s="1"/>
  <c r="H193" i="24" a="1"/>
  <c r="H193" i="24" s="1"/>
  <c r="S193" i="24" s="1" a="1"/>
  <c r="S193" i="24" s="1"/>
  <c r="F193" i="24"/>
  <c r="H192" i="24" a="1"/>
  <c r="H192" i="24" s="1"/>
  <c r="S192" i="24" s="1" a="1"/>
  <c r="S192" i="24" s="1"/>
  <c r="F192" i="24"/>
  <c r="H191" i="24" a="1"/>
  <c r="H191" i="24" s="1"/>
  <c r="S191" i="24" s="1" a="1"/>
  <c r="S191" i="24" s="1"/>
  <c r="F191" i="24"/>
  <c r="H190" i="24" a="1"/>
  <c r="H190" i="24" s="1"/>
  <c r="S190" i="24" s="1" a="1"/>
  <c r="S190" i="24" s="1"/>
  <c r="F190" i="24"/>
  <c r="H187" i="24" a="1"/>
  <c r="H187" i="24" s="1"/>
  <c r="S187" i="24" s="1" a="1"/>
  <c r="S187" i="24" s="1"/>
  <c r="F187" i="24"/>
  <c r="H186" i="24" a="1"/>
  <c r="H186" i="24" s="1"/>
  <c r="S186" i="24" s="1" a="1"/>
  <c r="S186" i="24" s="1"/>
  <c r="F186" i="24"/>
  <c r="H185" i="24" a="1"/>
  <c r="H185" i="24" s="1"/>
  <c r="S185" i="24" s="1" a="1"/>
  <c r="S185" i="24" s="1"/>
  <c r="F185" i="24"/>
  <c r="H184" i="24" a="1"/>
  <c r="H184" i="24" s="1"/>
  <c r="S184" i="24" s="1" a="1"/>
  <c r="S184" i="24" s="1"/>
  <c r="F184" i="24"/>
  <c r="H182" i="24" a="1"/>
  <c r="H182" i="24" s="1"/>
  <c r="S182" i="24" s="1" a="1"/>
  <c r="S182" i="24" s="1"/>
  <c r="F182" i="24"/>
  <c r="F181" i="24"/>
  <c r="H181" i="24" a="1"/>
  <c r="H181" i="24" s="1"/>
  <c r="S181" i="24" s="1" a="1"/>
  <c r="S181" i="24" s="1"/>
  <c r="H180" i="24" a="1"/>
  <c r="H180" i="24" s="1"/>
  <c r="S180" i="24" s="1" a="1"/>
  <c r="S180" i="24" s="1"/>
  <c r="F180" i="24"/>
  <c r="H179" i="24" a="1"/>
  <c r="H179" i="24" s="1"/>
  <c r="S179" i="24" s="1" a="1"/>
  <c r="S179" i="24" s="1"/>
  <c r="F179" i="24"/>
  <c r="H178" i="24" a="1"/>
  <c r="H178" i="24" s="1"/>
  <c r="S178" i="24" s="1" a="1"/>
  <c r="S178" i="24" s="1"/>
  <c r="F178" i="24"/>
  <c r="H177" i="24" a="1"/>
  <c r="H177" i="24" s="1"/>
  <c r="S177" i="24" s="1" a="1"/>
  <c r="S177" i="24" s="1"/>
  <c r="F177" i="24"/>
  <c r="H176" i="24" a="1"/>
  <c r="H176" i="24" s="1"/>
  <c r="S176" i="24" s="1" a="1"/>
  <c r="S176" i="24" s="1"/>
  <c r="F176" i="24"/>
  <c r="H175" i="24" a="1"/>
  <c r="H175" i="24" s="1"/>
  <c r="S175" i="24" s="1" a="1"/>
  <c r="S175" i="24" s="1"/>
  <c r="F175" i="24"/>
  <c r="H172" i="24" a="1"/>
  <c r="H172" i="24" s="1"/>
  <c r="S172" i="24" s="1" a="1"/>
  <c r="S172" i="24" s="1"/>
  <c r="F172" i="24"/>
  <c r="H171" i="24" a="1"/>
  <c r="H171" i="24" s="1"/>
  <c r="S171" i="24" s="1" a="1"/>
  <c r="S171" i="24" s="1"/>
  <c r="F171" i="24"/>
  <c r="F170" i="24"/>
  <c r="H170" i="24" a="1"/>
  <c r="H170" i="24" s="1"/>
  <c r="S170" i="24" s="1" a="1"/>
  <c r="S170" i="24" s="1"/>
  <c r="H168" i="24" a="1"/>
  <c r="H168" i="24" s="1"/>
  <c r="S168" i="24" s="1" a="1"/>
  <c r="S168" i="24" s="1"/>
  <c r="F168" i="24"/>
  <c r="F167" i="24"/>
  <c r="H167" i="24" a="1"/>
  <c r="H167" i="24" s="1"/>
  <c r="S167" i="24" s="1" a="1"/>
  <c r="S167" i="24" s="1"/>
  <c r="F166" i="24"/>
  <c r="H166" i="24" a="1"/>
  <c r="H166" i="24" s="1"/>
  <c r="S166" i="24" s="1" a="1"/>
  <c r="S166" i="24" s="1"/>
  <c r="F165" i="24"/>
  <c r="H165" i="24" a="1"/>
  <c r="H165" i="24" s="1"/>
  <c r="S165" i="24" s="1" a="1"/>
  <c r="S165" i="24" s="1"/>
  <c r="F164" i="24"/>
  <c r="H164" i="24" a="1"/>
  <c r="H164" i="24" s="1"/>
  <c r="S164" i="24" s="1" a="1"/>
  <c r="S164" i="24" s="1"/>
  <c r="F163" i="24"/>
  <c r="H163" i="24" a="1"/>
  <c r="H163" i="24" s="1"/>
  <c r="S163" i="24" s="1" a="1"/>
  <c r="S163" i="24" s="1"/>
  <c r="F162" i="24"/>
  <c r="H162" i="24" a="1"/>
  <c r="H162" i="24" s="1"/>
  <c r="S162" i="24" s="1" a="1"/>
  <c r="S162" i="24" s="1"/>
  <c r="F159" i="24"/>
  <c r="H159" i="24" a="1"/>
  <c r="H159" i="24" s="1"/>
  <c r="S159" i="24" s="1" a="1"/>
  <c r="S159" i="24" s="1"/>
  <c r="H158" i="24" a="1"/>
  <c r="H158" i="24" s="1"/>
  <c r="S158" i="24" s="1" a="1"/>
  <c r="S158" i="24" s="1"/>
  <c r="F158" i="24"/>
  <c r="F157" i="24"/>
  <c r="H157" i="24" a="1"/>
  <c r="H157" i="24" s="1"/>
  <c r="S157" i="24" s="1" a="1"/>
  <c r="S157" i="24" s="1"/>
  <c r="F156" i="24"/>
  <c r="H156" i="24" a="1"/>
  <c r="H156" i="24" s="1"/>
  <c r="S156" i="24" s="1" a="1"/>
  <c r="S156" i="24" s="1"/>
  <c r="F154" i="24"/>
  <c r="H154" i="24" a="1"/>
  <c r="H154" i="24" s="1"/>
  <c r="S154" i="24" s="1" a="1"/>
  <c r="S154" i="24" s="1"/>
  <c r="F153" i="24"/>
  <c r="H153" i="24" a="1"/>
  <c r="H153" i="24" s="1"/>
  <c r="S153" i="24" s="1" a="1"/>
  <c r="S153" i="24" s="1"/>
  <c r="F152" i="24"/>
  <c r="H152" i="24" a="1"/>
  <c r="H152" i="24" s="1"/>
  <c r="S152" i="24" s="1" a="1"/>
  <c r="S152" i="24" s="1"/>
  <c r="F151" i="24"/>
  <c r="H151" i="24" a="1"/>
  <c r="H151" i="24" s="1"/>
  <c r="S151" i="24" s="1" a="1"/>
  <c r="S151" i="24" s="1"/>
  <c r="F150" i="24"/>
  <c r="H150" i="24" a="1"/>
  <c r="H150" i="24" s="1"/>
  <c r="S150" i="24" s="1" a="1"/>
  <c r="S150" i="24" s="1"/>
  <c r="F149" i="24"/>
  <c r="H149" i="24" a="1"/>
  <c r="H149" i="24" s="1"/>
  <c r="S149" i="24" s="1" a="1"/>
  <c r="S149" i="24" s="1"/>
  <c r="H148" i="24" a="1"/>
  <c r="H148" i="24" s="1"/>
  <c r="S148" i="24" s="1" a="1"/>
  <c r="S148" i="24" s="1"/>
  <c r="F148" i="24"/>
  <c r="F145" i="24"/>
  <c r="H145" i="24" a="1"/>
  <c r="H145" i="24" s="1"/>
  <c r="S145" i="24" s="1" a="1"/>
  <c r="S145" i="24" s="1"/>
  <c r="F144" i="24"/>
  <c r="H144" i="24" a="1"/>
  <c r="H144" i="24" s="1"/>
  <c r="S144" i="24" s="1" a="1"/>
  <c r="S144" i="24" s="1"/>
  <c r="F143" i="24"/>
  <c r="H143" i="24" a="1"/>
  <c r="H143" i="24" s="1"/>
  <c r="S143" i="24" s="1" a="1"/>
  <c r="S143" i="24" s="1"/>
  <c r="F142" i="24"/>
  <c r="H142" i="24" a="1"/>
  <c r="H142" i="24" s="1"/>
  <c r="S142" i="24" s="1" a="1"/>
  <c r="S142" i="24" s="1"/>
  <c r="H140" i="24" a="1"/>
  <c r="H140" i="24" s="1"/>
  <c r="S140" i="24" s="1" a="1"/>
  <c r="S140" i="24" s="1"/>
  <c r="F140" i="24"/>
  <c r="F139" i="24"/>
  <c r="H139" i="24" a="1"/>
  <c r="H139" i="24" s="1"/>
  <c r="S139" i="24" s="1" a="1"/>
  <c r="S139" i="24" s="1"/>
  <c r="F138" i="24"/>
  <c r="H138" i="24" a="1"/>
  <c r="H138" i="24" s="1"/>
  <c r="S138" i="24" s="1" a="1"/>
  <c r="S138" i="24" s="1"/>
  <c r="H137" i="24" a="1"/>
  <c r="H137" i="24" s="1"/>
  <c r="S137" i="24" s="1" a="1"/>
  <c r="S137" i="24" s="1"/>
  <c r="F137" i="24"/>
  <c r="F136" i="24"/>
  <c r="H136" i="24" a="1"/>
  <c r="H136" i="24" s="1"/>
  <c r="S136" i="24" s="1" a="1"/>
  <c r="S136" i="24" s="1"/>
  <c r="H135" i="24" a="1"/>
  <c r="H135" i="24" s="1"/>
  <c r="S135" i="24" s="1" a="1"/>
  <c r="S135" i="24" s="1"/>
  <c r="F135" i="24"/>
  <c r="H132" i="24" a="1"/>
  <c r="H132" i="24" s="1"/>
  <c r="S132" i="24" s="1" a="1"/>
  <c r="S132" i="24" s="1"/>
  <c r="F132" i="24"/>
  <c r="H131" i="24" a="1"/>
  <c r="H131" i="24" s="1"/>
  <c r="S131" i="24" s="1" a="1"/>
  <c r="S131" i="24" s="1"/>
  <c r="F131" i="24"/>
  <c r="H130" i="24" a="1"/>
  <c r="H130" i="24" s="1"/>
  <c r="S130" i="24" s="1" a="1"/>
  <c r="S130" i="24" s="1"/>
  <c r="F130" i="24"/>
  <c r="H129" i="24" a="1"/>
  <c r="H129" i="24" s="1"/>
  <c r="S129" i="24" s="1" a="1"/>
  <c r="S129" i="24" s="1"/>
  <c r="F129" i="24"/>
  <c r="H128" i="24" a="1"/>
  <c r="H128" i="24" s="1"/>
  <c r="S128" i="24" s="1" a="1"/>
  <c r="S128" i="24" s="1"/>
  <c r="F128" i="24"/>
  <c r="H126" i="24" a="1"/>
  <c r="H126" i="24" s="1"/>
  <c r="S126" i="24" s="1" a="1"/>
  <c r="S126" i="24" s="1"/>
  <c r="F126" i="24"/>
  <c r="F125" i="24"/>
  <c r="H125" i="24" a="1"/>
  <c r="H125" i="24" s="1"/>
  <c r="S125" i="24" s="1" a="1"/>
  <c r="S125" i="24" s="1"/>
  <c r="F124" i="24"/>
  <c r="H124" i="24" a="1"/>
  <c r="H124" i="24" s="1"/>
  <c r="S124" i="24" s="1" a="1"/>
  <c r="S124" i="24" s="1"/>
  <c r="F123" i="24"/>
  <c r="H123" i="24" a="1"/>
  <c r="H123" i="24" s="1"/>
  <c r="S123" i="24" s="1" a="1"/>
  <c r="S123" i="24" s="1"/>
  <c r="H122" i="24" a="1"/>
  <c r="H122" i="24" s="1"/>
  <c r="S122" i="24" s="1" a="1"/>
  <c r="S122" i="24" s="1"/>
  <c r="F122" i="24"/>
  <c r="H121" i="24" a="1"/>
  <c r="H121" i="24" s="1"/>
  <c r="S121" i="24" s="1" a="1"/>
  <c r="S121" i="24" s="1"/>
  <c r="F121" i="24"/>
  <c r="H118" i="24" a="1"/>
  <c r="H118" i="24" s="1"/>
  <c r="S118" i="24" s="1" a="1"/>
  <c r="S118" i="24" s="1"/>
  <c r="F118" i="24"/>
  <c r="H117" i="24" a="1"/>
  <c r="H117" i="24" s="1"/>
  <c r="S117" i="24" s="1" a="1"/>
  <c r="S117" i="24" s="1"/>
  <c r="F117" i="24"/>
  <c r="F116" i="24"/>
  <c r="H116" i="24" a="1"/>
  <c r="H116" i="24" s="1"/>
  <c r="S116" i="24" s="1" a="1"/>
  <c r="S116" i="24" s="1"/>
  <c r="H115" i="24" a="1"/>
  <c r="H115" i="24" s="1"/>
  <c r="S115" i="24" s="1" a="1"/>
  <c r="S115" i="24" s="1"/>
  <c r="F115" i="24"/>
  <c r="H114" i="24" a="1"/>
  <c r="H114" i="24" s="1"/>
  <c r="S114" i="24" s="1" a="1"/>
  <c r="S114" i="24" s="1"/>
  <c r="F114" i="24"/>
  <c r="F112" i="24"/>
  <c r="H112" i="24" a="1"/>
  <c r="H112" i="24" s="1"/>
  <c r="S112" i="24" s="1" a="1"/>
  <c r="S112" i="24" s="1"/>
  <c r="F111" i="24"/>
  <c r="H111" i="24" a="1"/>
  <c r="H111" i="24" s="1"/>
  <c r="S111" i="24" s="1" a="1"/>
  <c r="S111" i="24" s="1"/>
  <c r="F110" i="24"/>
  <c r="H110" i="24" a="1"/>
  <c r="H110" i="24" s="1"/>
  <c r="S110" i="24" s="1" a="1"/>
  <c r="S110" i="24" s="1"/>
  <c r="H109" i="24" a="1"/>
  <c r="H109" i="24" s="1"/>
  <c r="S109" i="24" s="1" a="1"/>
  <c r="S109" i="24" s="1"/>
  <c r="F109" i="24"/>
  <c r="H108" i="24" a="1"/>
  <c r="H108" i="24" s="1"/>
  <c r="S108" i="24" s="1" a="1"/>
  <c r="S108" i="24" s="1"/>
  <c r="F108" i="24"/>
  <c r="H107" i="24" a="1"/>
  <c r="H107" i="24" s="1"/>
  <c r="S107" i="24" s="1" a="1"/>
  <c r="S107" i="24" s="1"/>
  <c r="F107" i="24"/>
  <c r="H106" i="24" a="1"/>
  <c r="H106" i="24" s="1"/>
  <c r="S106" i="24" s="1" a="1"/>
  <c r="S106" i="24" s="1"/>
  <c r="F106" i="24"/>
  <c r="F103" i="24"/>
  <c r="H103" i="24" a="1"/>
  <c r="H103" i="24" s="1"/>
  <c r="S103" i="24" s="1" a="1"/>
  <c r="S103" i="24" s="1"/>
  <c r="F102" i="24"/>
  <c r="H102" i="24" a="1"/>
  <c r="H102" i="24" s="1"/>
  <c r="S102" i="24" s="1" a="1"/>
  <c r="S102" i="24" s="1"/>
  <c r="H101" i="24" a="1"/>
  <c r="H101" i="24" s="1"/>
  <c r="S101" i="24" s="1" a="1"/>
  <c r="S101" i="24" s="1"/>
  <c r="F101" i="24"/>
  <c r="F100" i="24"/>
  <c r="H100" i="24" a="1"/>
  <c r="H100" i="24" s="1"/>
  <c r="S100" i="24" s="1" a="1"/>
  <c r="S100" i="24" s="1"/>
  <c r="H98" i="24" a="1"/>
  <c r="H98" i="24" s="1"/>
  <c r="S98" i="24" s="1" a="1"/>
  <c r="S98" i="24" s="1"/>
  <c r="F98" i="24"/>
  <c r="F97" i="24"/>
  <c r="H97" i="24" a="1"/>
  <c r="H97" i="24" s="1"/>
  <c r="S97" i="24" s="1" a="1"/>
  <c r="S97" i="24" s="1"/>
  <c r="H96" i="24" a="1"/>
  <c r="H96" i="24" s="1"/>
  <c r="S96" i="24" s="1" a="1"/>
  <c r="S96" i="24" s="1"/>
  <c r="F96" i="24"/>
  <c r="F95" i="24"/>
  <c r="H95" i="24" a="1"/>
  <c r="H95" i="24" s="1"/>
  <c r="S95" i="24" s="1" a="1"/>
  <c r="S95" i="24" s="1"/>
  <c r="H94" i="24" a="1"/>
  <c r="H94" i="24" s="1"/>
  <c r="S94" i="24" s="1" a="1"/>
  <c r="S94" i="24" s="1"/>
  <c r="F94" i="24"/>
  <c r="F93" i="24"/>
  <c r="H93" i="24" a="1"/>
  <c r="H93" i="24" s="1"/>
  <c r="S93" i="24" s="1" a="1"/>
  <c r="S93" i="24" s="1"/>
  <c r="H92" i="24" a="1"/>
  <c r="H92" i="24" s="1"/>
  <c r="S92" i="24" s="1" a="1"/>
  <c r="S92" i="24" s="1"/>
  <c r="F92" i="24"/>
  <c r="H89" i="24" a="1"/>
  <c r="H89" i="24" s="1"/>
  <c r="S89" i="24" s="1" a="1"/>
  <c r="S89" i="24" s="1"/>
  <c r="F89" i="24"/>
  <c r="H88" i="24" a="1"/>
  <c r="H88" i="24" s="1"/>
  <c r="S88" i="24" s="1" a="1"/>
  <c r="S88" i="24" s="1"/>
  <c r="F88" i="24"/>
  <c r="H87" i="24" a="1"/>
  <c r="H87" i="24" s="1"/>
  <c r="S87" i="24" s="1" a="1"/>
  <c r="S87" i="24" s="1"/>
  <c r="F87" i="24"/>
  <c r="H86" i="24" a="1"/>
  <c r="H86" i="24" s="1"/>
  <c r="S86" i="24" s="1" a="1"/>
  <c r="S86" i="24" s="1"/>
  <c r="F86" i="24"/>
  <c r="H84" i="24" a="1"/>
  <c r="H84" i="24" s="1"/>
  <c r="S84" i="24" s="1" a="1"/>
  <c r="S84" i="24" s="1"/>
  <c r="F84" i="24"/>
  <c r="H83" i="24" a="1"/>
  <c r="H83" i="24" s="1"/>
  <c r="S83" i="24" s="1" a="1"/>
  <c r="S83" i="24" s="1"/>
  <c r="F83" i="24"/>
  <c r="H82" i="24" a="1"/>
  <c r="H82" i="24" s="1"/>
  <c r="S82" i="24" s="1" a="1"/>
  <c r="S82" i="24" s="1"/>
  <c r="F82" i="24"/>
  <c r="H81" i="24" a="1"/>
  <c r="H81" i="24" s="1"/>
  <c r="S81" i="24" s="1" a="1"/>
  <c r="S81" i="24" s="1"/>
  <c r="F81" i="24"/>
  <c r="H80" i="24" a="1"/>
  <c r="H80" i="24" s="1"/>
  <c r="S80" i="24" s="1" a="1"/>
  <c r="S80" i="24" s="1"/>
  <c r="F80" i="24"/>
  <c r="H79" i="24" a="1"/>
  <c r="H79" i="24" s="1"/>
  <c r="S79" i="24" s="1" a="1"/>
  <c r="S79" i="24" s="1"/>
  <c r="F79" i="24"/>
  <c r="H78" i="24" a="1"/>
  <c r="H78" i="24" s="1"/>
  <c r="S78" i="24" s="1" a="1"/>
  <c r="S78" i="24" s="1"/>
  <c r="F78" i="24"/>
  <c r="F75" i="24"/>
  <c r="H75" i="24" a="1"/>
  <c r="H75" i="24" s="1"/>
  <c r="S75" i="24" s="1" a="1"/>
  <c r="S75" i="24" s="1"/>
  <c r="F74" i="24"/>
  <c r="H74" i="24" a="1"/>
  <c r="H74" i="24" s="1"/>
  <c r="S74" i="24" s="1" a="1"/>
  <c r="S74" i="24" s="1"/>
  <c r="F73" i="24"/>
  <c r="H73" i="24" a="1"/>
  <c r="H73" i="24" s="1"/>
  <c r="S73" i="24" s="1" a="1"/>
  <c r="S73" i="24" s="1"/>
  <c r="F72" i="24"/>
  <c r="H72" i="24" a="1"/>
  <c r="H72" i="24" s="1"/>
  <c r="S72" i="24" s="1" a="1"/>
  <c r="S72" i="24" s="1"/>
  <c r="F70" i="24"/>
  <c r="H70" i="24" a="1"/>
  <c r="H70" i="24" s="1"/>
  <c r="S70" i="24" s="1" a="1"/>
  <c r="S70" i="24" s="1"/>
  <c r="F69" i="24"/>
  <c r="H69" i="24" a="1"/>
  <c r="H69" i="24" s="1"/>
  <c r="S69" i="24" s="1" a="1"/>
  <c r="S69" i="24" s="1"/>
  <c r="H68" i="24" a="1"/>
  <c r="H68" i="24" s="1"/>
  <c r="S68" i="24" s="1" a="1"/>
  <c r="S68" i="24" s="1"/>
  <c r="F68" i="24"/>
  <c r="H67" i="24" a="1"/>
  <c r="H67" i="24" s="1"/>
  <c r="S67" i="24" s="1" a="1"/>
  <c r="S67" i="24" s="1"/>
  <c r="F67" i="24"/>
  <c r="H66" i="24" a="1"/>
  <c r="H66" i="24" s="1"/>
  <c r="S66" i="24" s="1" a="1"/>
  <c r="S66" i="24" s="1"/>
  <c r="F66" i="24"/>
  <c r="H65" i="24" a="1"/>
  <c r="H65" i="24" s="1"/>
  <c r="S65" i="24" s="1" a="1"/>
  <c r="S65" i="24" s="1"/>
  <c r="F65" i="24"/>
  <c r="H64" i="24" a="1"/>
  <c r="H64" i="24" s="1"/>
  <c r="S64" i="24" s="1" a="1"/>
  <c r="S64" i="24" s="1"/>
  <c r="F64" i="24"/>
  <c r="H61" i="24" a="1"/>
  <c r="H61" i="24" s="1"/>
  <c r="S61" i="24" s="1" a="1"/>
  <c r="S61" i="24" s="1"/>
  <c r="F61" i="24"/>
  <c r="H60" i="24" a="1"/>
  <c r="H60" i="24" s="1"/>
  <c r="S60" i="24" s="1" a="1"/>
  <c r="S60" i="24" s="1"/>
  <c r="F60" i="24"/>
  <c r="F59" i="24"/>
  <c r="H59" i="24" a="1"/>
  <c r="H59" i="24" s="1"/>
  <c r="S59" i="24" s="1" a="1"/>
  <c r="S59" i="24" s="1"/>
  <c r="H58" i="24" a="1"/>
  <c r="H58" i="24" s="1"/>
  <c r="S58" i="24" s="1" a="1"/>
  <c r="S58" i="24" s="1"/>
  <c r="F58" i="24"/>
  <c r="H56" i="24" a="1"/>
  <c r="H56" i="24" s="1"/>
  <c r="S56" i="24" s="1" a="1"/>
  <c r="S56" i="24" s="1"/>
  <c r="F56" i="24"/>
  <c r="H55" i="24" a="1"/>
  <c r="H55" i="24" s="1"/>
  <c r="S55" i="24" s="1" a="1"/>
  <c r="S55" i="24" s="1"/>
  <c r="F55" i="24"/>
  <c r="H54" i="24" a="1"/>
  <c r="H54" i="24" s="1"/>
  <c r="S54" i="24" s="1" a="1"/>
  <c r="S54" i="24" s="1"/>
  <c r="T54" i="24" s="1"/>
  <c r="F54" i="24"/>
  <c r="F53" i="24"/>
  <c r="H53" i="24" a="1"/>
  <c r="H53" i="24" s="1"/>
  <c r="S53" i="24" s="1" a="1"/>
  <c r="S53" i="24" s="1"/>
  <c r="T53" i="24" s="1"/>
  <c r="F52" i="24"/>
  <c r="H52" i="24" a="1"/>
  <c r="H52" i="24" s="1"/>
  <c r="S52" i="24" s="1" a="1"/>
  <c r="S52" i="24" s="1"/>
  <c r="F51" i="24"/>
  <c r="H51" i="24" a="1"/>
  <c r="H51" i="24" s="1"/>
  <c r="S51" i="24" s="1" a="1"/>
  <c r="S51" i="24" s="1"/>
  <c r="F50" i="24"/>
  <c r="H50" i="24" a="1"/>
  <c r="H50" i="24" s="1"/>
  <c r="S50" i="24" s="1" a="1"/>
  <c r="S50" i="24" s="1"/>
  <c r="H47" i="24" a="1"/>
  <c r="H47" i="24" s="1"/>
  <c r="S47" i="24" s="1" a="1"/>
  <c r="S47" i="24" s="1"/>
  <c r="F47" i="24"/>
  <c r="H46" i="24" a="1"/>
  <c r="H46" i="24" s="1"/>
  <c r="S46" i="24" s="1" a="1"/>
  <c r="S46" i="24" s="1"/>
  <c r="F46" i="24"/>
  <c r="F45" i="24"/>
  <c r="H45" i="24" a="1"/>
  <c r="H45" i="24" s="1"/>
  <c r="S45" i="24" s="1" a="1"/>
  <c r="S45" i="24" s="1"/>
  <c r="H44" i="24" a="1"/>
  <c r="H44" i="24" s="1"/>
  <c r="S44" i="24" s="1" a="1"/>
  <c r="S44" i="24" s="1"/>
  <c r="F44" i="24"/>
  <c r="F42" i="24"/>
  <c r="H42" i="24" a="1"/>
  <c r="H42" i="24" s="1"/>
  <c r="S42" i="24" s="1" a="1"/>
  <c r="S42" i="24" s="1"/>
  <c r="H41" i="24" a="1"/>
  <c r="H41" i="24" s="1"/>
  <c r="S41" i="24" s="1" a="1"/>
  <c r="S41" i="24" s="1"/>
  <c r="F41" i="24"/>
  <c r="F40" i="24"/>
  <c r="H40" i="24" a="1"/>
  <c r="H40" i="24" s="1"/>
  <c r="S40" i="24" s="1" a="1"/>
  <c r="S40" i="24" s="1"/>
  <c r="H39" i="24" a="1"/>
  <c r="H39" i="24" s="1"/>
  <c r="S39" i="24" s="1" a="1"/>
  <c r="S39" i="24" s="1"/>
  <c r="F39" i="24"/>
  <c r="H38" i="24" a="1"/>
  <c r="H38" i="24" s="1"/>
  <c r="S38" i="24" s="1" a="1"/>
  <c r="S38" i="24" s="1"/>
  <c r="F38" i="24"/>
  <c r="H37" i="24" a="1"/>
  <c r="H37" i="24" s="1"/>
  <c r="S37" i="24" s="1" a="1"/>
  <c r="S37" i="24" s="1"/>
  <c r="F37" i="24"/>
  <c r="F36" i="24"/>
  <c r="H36" i="24" a="1"/>
  <c r="H36" i="24" s="1"/>
  <c r="S36" i="24" s="1" a="1"/>
  <c r="S36" i="24" s="1"/>
  <c r="F33" i="24"/>
  <c r="H33" i="24" a="1"/>
  <c r="H33" i="24" s="1"/>
  <c r="S33" i="24" s="1" a="1"/>
  <c r="S33" i="24" s="1"/>
  <c r="H32" i="24" a="1"/>
  <c r="H32" i="24" s="1"/>
  <c r="S32" i="24" s="1" a="1"/>
  <c r="S32" i="24" s="1"/>
  <c r="F32" i="24"/>
  <c r="F31" i="24"/>
  <c r="H31" i="24" a="1"/>
  <c r="H31" i="24" s="1"/>
  <c r="S31" i="24" s="1" a="1"/>
  <c r="S31" i="24" s="1"/>
  <c r="F30" i="24"/>
  <c r="H30" i="24" a="1"/>
  <c r="H30" i="24" s="1"/>
  <c r="S30" i="24" s="1" a="1"/>
  <c r="S30" i="24" s="1"/>
  <c r="H11" i="24" a="1"/>
  <c r="H11" i="24" s="1"/>
  <c r="S11" i="24" s="1" a="1"/>
  <c r="S11" i="24" s="1"/>
  <c r="F401" i="24"/>
  <c r="H13" i="24" a="1"/>
  <c r="H13" i="24" s="1"/>
  <c r="S13" i="24" s="1" a="1"/>
  <c r="S13" i="24" s="1"/>
  <c r="F395" i="24"/>
  <c r="F403" i="24"/>
  <c r="F397" i="24"/>
  <c r="F406" i="24"/>
  <c r="F394" i="24"/>
  <c r="F396" i="24"/>
  <c r="F398" i="24"/>
  <c r="F400" i="24"/>
  <c r="F402" i="24"/>
  <c r="F404" i="24"/>
  <c r="H12" i="24" a="1"/>
  <c r="H12" i="24" s="1"/>
  <c r="S12" i="24" s="1" a="1"/>
  <c r="S12" i="24" s="1"/>
  <c r="F2" i="24"/>
  <c r="F14" i="24"/>
  <c r="C29" i="24"/>
  <c r="F29" i="24" s="1"/>
  <c r="C28" i="24"/>
  <c r="C27" i="24"/>
  <c r="C26" i="24"/>
  <c r="C25" i="24"/>
  <c r="C24" i="24"/>
  <c r="C23" i="24"/>
  <c r="C22" i="24"/>
  <c r="C19" i="24"/>
  <c r="C18" i="24"/>
  <c r="C17" i="24"/>
  <c r="C16" i="24"/>
  <c r="F65" i="22"/>
  <c r="F51" i="22"/>
  <c r="F66" i="22"/>
  <c r="F57" i="22"/>
  <c r="F67" i="22"/>
  <c r="F68" i="22"/>
  <c r="F58" i="22"/>
  <c r="F2" i="22"/>
  <c r="H2" i="27"/>
  <c r="C17" i="28"/>
  <c r="C18" i="28"/>
  <c r="J28" i="10"/>
  <c r="O28" i="10"/>
  <c r="T28" i="10"/>
  <c r="Y28" i="10"/>
  <c r="AD28" i="10"/>
  <c r="Z15" i="28"/>
  <c r="AA15" i="28"/>
  <c r="F13" i="22"/>
  <c r="I7" i="30"/>
  <c r="F19" i="22"/>
  <c r="L48" i="22" l="1"/>
  <c r="L49" i="22"/>
  <c r="L50" i="22"/>
  <c r="L47" i="22"/>
  <c r="W48" i="22"/>
  <c r="W49" i="22"/>
  <c r="W50" i="22"/>
  <c r="W47" i="22"/>
  <c r="Z47" i="22"/>
  <c r="Z48" i="22"/>
  <c r="Z49" i="22"/>
  <c r="Z50" i="22"/>
  <c r="J38" i="22" a="1"/>
  <c r="J38" i="22" s="1"/>
  <c r="J56" i="22" s="1"/>
  <c r="J39" i="22" a="1"/>
  <c r="J39" i="22" s="1"/>
  <c r="J44" i="22" a="1"/>
  <c r="J44" i="22" s="1"/>
  <c r="J45" i="22" a="1"/>
  <c r="J45" i="22" s="1"/>
  <c r="J43" i="22" a="1"/>
  <c r="J43" i="22" s="1"/>
  <c r="J42" i="22" a="1"/>
  <c r="J42" i="22" s="1"/>
  <c r="J41" i="22" a="1"/>
  <c r="J41" i="22" s="1"/>
  <c r="J46" i="22" a="1"/>
  <c r="J46" i="22" s="1"/>
  <c r="G10" i="24" s="1" a="1"/>
  <c r="G10" i="24" s="1"/>
  <c r="J40" i="22" a="1"/>
  <c r="J40" i="22" s="1"/>
  <c r="U39" i="22" a="1"/>
  <c r="U39" i="22" s="1"/>
  <c r="U40" i="22" a="1"/>
  <c r="U40" i="22" s="1"/>
  <c r="U41" i="22" a="1"/>
  <c r="U41" i="22" s="1"/>
  <c r="U42" i="22" a="1"/>
  <c r="U42" i="22" s="1"/>
  <c r="U43" i="22" a="1"/>
  <c r="U43" i="22" s="1"/>
  <c r="U44" i="22" a="1"/>
  <c r="U44" i="22" s="1"/>
  <c r="U38" i="22" a="1"/>
  <c r="U38" i="22" s="1"/>
  <c r="U45" i="22" a="1"/>
  <c r="U45" i="22" s="1"/>
  <c r="U46" i="22" a="1"/>
  <c r="U46" i="22" s="1"/>
  <c r="G80" i="24" s="1" a="1"/>
  <c r="G80" i="24" s="1"/>
  <c r="AA44" i="22" a="1"/>
  <c r="AA44" i="22" s="1"/>
  <c r="AA46" i="22" a="1"/>
  <c r="AA46" i="22" s="1"/>
  <c r="G332" i="24" s="1" a="1"/>
  <c r="G332" i="24" s="1"/>
  <c r="AA45" i="22" a="1"/>
  <c r="AA45" i="22" s="1"/>
  <c r="AA42" i="22" a="1"/>
  <c r="AA42" i="22" s="1"/>
  <c r="AA41" i="22" a="1"/>
  <c r="AA41" i="22" s="1"/>
  <c r="AA40" i="22" a="1"/>
  <c r="AA40" i="22" s="1"/>
  <c r="AA39" i="22" a="1"/>
  <c r="AA39" i="22" s="1"/>
  <c r="AA38" i="22" a="1"/>
  <c r="AA38" i="22" s="1"/>
  <c r="AA43" i="22" a="1"/>
  <c r="AA43" i="22" s="1"/>
  <c r="S269" i="24" a="1"/>
  <c r="S269" i="24" s="1"/>
  <c r="T269" i="24" s="1"/>
  <c r="S260" i="24" a="1"/>
  <c r="S260" i="24" s="1"/>
  <c r="G343" i="24" a="1"/>
  <c r="G343" i="24" s="1"/>
  <c r="G344" i="24" a="1"/>
  <c r="G344" i="24" s="1"/>
  <c r="G341" i="24" a="1"/>
  <c r="G341" i="24" s="1"/>
  <c r="G340" i="24" a="1"/>
  <c r="G340" i="24" s="1"/>
  <c r="G359" i="24" a="1"/>
  <c r="G359" i="24" s="1"/>
  <c r="G357" i="24" a="1"/>
  <c r="G357" i="24" s="1"/>
  <c r="G400" i="24" a="1"/>
  <c r="G400" i="24" s="1"/>
  <c r="J400" i="24" s="1"/>
  <c r="G399" i="24" a="1"/>
  <c r="G399" i="24" s="1"/>
  <c r="J399" i="24" s="1"/>
  <c r="G397" i="24" a="1"/>
  <c r="G397" i="24" s="1"/>
  <c r="J397" i="24" s="1"/>
  <c r="H407" i="24"/>
  <c r="S407" i="24" s="1" a="1"/>
  <c r="S407" i="24" s="1"/>
  <c r="H379" i="24"/>
  <c r="S379" i="24" s="1" a="1"/>
  <c r="S379" i="24" s="1"/>
  <c r="H365" i="24"/>
  <c r="S365" i="24" s="1" a="1"/>
  <c r="S365" i="24" s="1"/>
  <c r="H351" i="24"/>
  <c r="S351" i="24" s="1" a="1"/>
  <c r="S351" i="24" s="1"/>
  <c r="H337" i="24"/>
  <c r="S337" i="24" s="1" a="1"/>
  <c r="S337" i="24" s="1"/>
  <c r="H323" i="24"/>
  <c r="S323" i="24" s="1" a="1"/>
  <c r="S323" i="24" s="1"/>
  <c r="H309" i="24"/>
  <c r="S309" i="24" s="1" a="1"/>
  <c r="S309" i="24" s="1"/>
  <c r="H295" i="24"/>
  <c r="S295" i="24" s="1" a="1"/>
  <c r="S295" i="24" s="1"/>
  <c r="H281" i="24"/>
  <c r="S281" i="24" s="1" a="1"/>
  <c r="S281" i="24" s="1"/>
  <c r="H267" i="24"/>
  <c r="S267" i="24" s="1" a="1"/>
  <c r="S267" i="24" s="1"/>
  <c r="H253" i="24"/>
  <c r="S253" i="24" s="1" a="1"/>
  <c r="S253" i="24" s="1"/>
  <c r="H239" i="24"/>
  <c r="S239" i="24" s="1" a="1"/>
  <c r="S239" i="24" s="1"/>
  <c r="H225" i="24"/>
  <c r="S225" i="24" s="1" a="1"/>
  <c r="S225" i="24" s="1"/>
  <c r="H211" i="24"/>
  <c r="S211" i="24" s="1" a="1"/>
  <c r="S211" i="24" s="1"/>
  <c r="H197" i="24"/>
  <c r="S197" i="24" s="1" a="1"/>
  <c r="S197" i="24" s="1"/>
  <c r="H183" i="24"/>
  <c r="S183" i="24" s="1" a="1"/>
  <c r="S183" i="24" s="1"/>
  <c r="H169" i="24"/>
  <c r="S169" i="24" s="1" a="1"/>
  <c r="S169" i="24" s="1"/>
  <c r="H155" i="24"/>
  <c r="S155" i="24" s="1" a="1"/>
  <c r="S155" i="24" s="1"/>
  <c r="H141" i="24"/>
  <c r="S141" i="24" s="1" a="1"/>
  <c r="S141" i="24" s="1"/>
  <c r="H127" i="24"/>
  <c r="S127" i="24" s="1" a="1"/>
  <c r="S127" i="24" s="1"/>
  <c r="H113" i="24"/>
  <c r="S113" i="24" s="1" a="1"/>
  <c r="S113" i="24" s="1"/>
  <c r="H99" i="24"/>
  <c r="S99" i="24" s="1" a="1"/>
  <c r="S99" i="24" s="1"/>
  <c r="H85" i="24"/>
  <c r="S85" i="24" s="1" a="1"/>
  <c r="S85" i="24" s="1"/>
  <c r="H71" i="24"/>
  <c r="S71" i="24" s="1" a="1"/>
  <c r="S71" i="24" s="1"/>
  <c r="H57" i="24"/>
  <c r="S57" i="24" s="1" a="1"/>
  <c r="S57" i="24" s="1"/>
  <c r="H43" i="24"/>
  <c r="S43" i="24" s="1" a="1"/>
  <c r="S43" i="24" s="1"/>
  <c r="H28" i="24" a="1"/>
  <c r="H28" i="24" s="1"/>
  <c r="S28" i="24" s="1" a="1"/>
  <c r="S28" i="24" s="1"/>
  <c r="F28" i="24"/>
  <c r="H27" i="24" a="1"/>
  <c r="H27" i="24" s="1"/>
  <c r="S27" i="24" s="1" a="1"/>
  <c r="S27" i="24" s="1"/>
  <c r="F27" i="24"/>
  <c r="H26" i="24" a="1"/>
  <c r="H26" i="24" s="1"/>
  <c r="S26" i="24" s="1" a="1"/>
  <c r="S26" i="24" s="1"/>
  <c r="F26" i="24"/>
  <c r="H25" i="24" a="1"/>
  <c r="H25" i="24" s="1"/>
  <c r="S25" i="24" s="1" a="1"/>
  <c r="S25" i="24" s="1"/>
  <c r="F25" i="24"/>
  <c r="H24" i="24" a="1"/>
  <c r="H24" i="24" s="1"/>
  <c r="S24" i="24" s="1" a="1"/>
  <c r="S24" i="24" s="1"/>
  <c r="F24" i="24"/>
  <c r="H23" i="24" a="1"/>
  <c r="H23" i="24" s="1"/>
  <c r="S23" i="24" s="1" a="1"/>
  <c r="S23" i="24" s="1"/>
  <c r="F23" i="24"/>
  <c r="H22" i="24" a="1"/>
  <c r="H22" i="24" s="1"/>
  <c r="S22" i="24" s="1" a="1"/>
  <c r="S22" i="24" s="1"/>
  <c r="F22" i="24"/>
  <c r="H19" i="24" a="1"/>
  <c r="H19" i="24" s="1"/>
  <c r="S19" i="24" s="1" a="1"/>
  <c r="S19" i="24" s="1"/>
  <c r="F19" i="24"/>
  <c r="H18" i="24" a="1"/>
  <c r="H18" i="24" s="1"/>
  <c r="S18" i="24" s="1" a="1"/>
  <c r="S18" i="24" s="1"/>
  <c r="F18" i="24"/>
  <c r="H17" i="24" a="1"/>
  <c r="H17" i="24" s="1"/>
  <c r="S17" i="24" s="1" a="1"/>
  <c r="S17" i="24" s="1"/>
  <c r="F17" i="24"/>
  <c r="H16" i="24" a="1"/>
  <c r="H16" i="24" s="1"/>
  <c r="S16" i="24" s="1" a="1"/>
  <c r="S16" i="24" s="1"/>
  <c r="F16" i="24"/>
  <c r="U34" i="22"/>
  <c r="M34" i="22"/>
  <c r="H15" i="24"/>
  <c r="S15" i="24" s="1" a="1"/>
  <c r="S15" i="24" s="1"/>
  <c r="J34" i="22"/>
  <c r="X33" i="22"/>
  <c r="X34" i="22"/>
  <c r="V34" i="22"/>
  <c r="L34" i="22"/>
  <c r="S34" i="22"/>
  <c r="K34" i="22"/>
  <c r="T34" i="22"/>
  <c r="Z34" i="22"/>
  <c r="R34" i="22"/>
  <c r="O34" i="22"/>
  <c r="W34" i="22"/>
  <c r="P34" i="22"/>
  <c r="N34" i="22"/>
  <c r="Y34" i="22"/>
  <c r="Q34" i="22"/>
  <c r="Y33" i="22"/>
  <c r="W33" i="22"/>
  <c r="M33" i="22"/>
  <c r="N33" i="22"/>
  <c r="Z33" i="22"/>
  <c r="P33" i="22"/>
  <c r="J33" i="22"/>
  <c r="U33" i="22"/>
  <c r="R33" i="22"/>
  <c r="V33" i="22"/>
  <c r="S33" i="22"/>
  <c r="K33" i="22"/>
  <c r="T33" i="22"/>
  <c r="L33" i="22"/>
  <c r="Q33" i="22"/>
  <c r="O33" i="22"/>
  <c r="X29" i="10"/>
  <c r="L24" i="27"/>
  <c r="L23" i="27"/>
  <c r="L22" i="27"/>
  <c r="G5" i="24" l="1" a="1"/>
  <c r="G5" i="24" s="1"/>
  <c r="G7" i="24" a="1"/>
  <c r="G7" i="24" s="1"/>
  <c r="J64" i="22"/>
  <c r="M10" i="24" s="1"/>
  <c r="T10" i="24" s="1"/>
  <c r="J63" i="22"/>
  <c r="J59" i="22"/>
  <c r="M5" i="24" s="1"/>
  <c r="T5" i="24" s="1"/>
  <c r="J62" i="22"/>
  <c r="M7" i="24" s="1"/>
  <c r="T7" i="24" s="1"/>
  <c r="J60" i="22"/>
  <c r="M4" i="24" s="1"/>
  <c r="T4" i="24" s="1"/>
  <c r="J61" i="22"/>
  <c r="M6" i="24" s="1"/>
  <c r="T6" i="24" s="1"/>
  <c r="U56" i="22"/>
  <c r="M78" i="24" s="1"/>
  <c r="T78" i="24" s="1"/>
  <c r="U61" i="22"/>
  <c r="M76" i="24" s="1"/>
  <c r="T76" i="24" s="1"/>
  <c r="U57" i="22"/>
  <c r="U64" i="22"/>
  <c r="M80" i="24" s="1"/>
  <c r="T80" i="24" s="1"/>
  <c r="U62" i="22"/>
  <c r="M77" i="24" s="1"/>
  <c r="T77" i="24" s="1"/>
  <c r="U58" i="22"/>
  <c r="M72" i="24" s="1"/>
  <c r="U60" i="22"/>
  <c r="M74" i="24" s="1"/>
  <c r="T74" i="24" s="1"/>
  <c r="AA60" i="22"/>
  <c r="M326" i="24" s="1"/>
  <c r="T326" i="24" s="1"/>
  <c r="AA61" i="22"/>
  <c r="M328" i="24" s="1"/>
  <c r="T328" i="24" s="1"/>
  <c r="AA57" i="22"/>
  <c r="AA62" i="22"/>
  <c r="M329" i="24" s="1"/>
  <c r="T329" i="24" s="1"/>
  <c r="G329" i="24" a="1"/>
  <c r="G329" i="24" s="1"/>
  <c r="G328" i="24" a="1"/>
  <c r="G328" i="24" s="1"/>
  <c r="G327" i="24" a="1"/>
  <c r="G327" i="24" s="1"/>
  <c r="G326" i="24" a="1"/>
  <c r="G326" i="24" s="1"/>
  <c r="U63" i="22"/>
  <c r="M73" i="24" s="1"/>
  <c r="T73" i="24" s="1"/>
  <c r="U59" i="22"/>
  <c r="M75" i="24" s="1"/>
  <c r="T75" i="24" s="1"/>
  <c r="AA58" i="22"/>
  <c r="M324" i="24" s="1"/>
  <c r="AA59" i="22"/>
  <c r="M327" i="24" s="1"/>
  <c r="T327" i="24" s="1"/>
  <c r="AA64" i="22"/>
  <c r="M332" i="24" s="1"/>
  <c r="T332" i="24" s="1"/>
  <c r="AA56" i="22"/>
  <c r="M330" i="24" s="1"/>
  <c r="T330" i="24" s="1"/>
  <c r="AA63" i="22"/>
  <c r="M325" i="24" s="1"/>
  <c r="T325" i="24" s="1"/>
  <c r="AC68" i="22"/>
  <c r="M392" i="24" s="1"/>
  <c r="T392" i="24" s="1"/>
  <c r="AC67" i="22"/>
  <c r="M391" i="24" s="1"/>
  <c r="T391" i="24" s="1"/>
  <c r="AD66" i="22"/>
  <c r="M278" i="24" s="1"/>
  <c r="T278" i="24" s="1"/>
  <c r="AD67" i="22"/>
  <c r="M279" i="24" s="1"/>
  <c r="T279" i="24" s="1"/>
  <c r="AD68" i="22"/>
  <c r="M280" i="24" s="1"/>
  <c r="T280" i="24" s="1"/>
  <c r="AD65" i="22"/>
  <c r="M277" i="24" s="1"/>
  <c r="AC66" i="22"/>
  <c r="M390" i="24" s="1"/>
  <c r="T390" i="24" s="1"/>
  <c r="AC65" i="22"/>
  <c r="M389" i="24" s="1"/>
  <c r="L65" i="22"/>
  <c r="M67" i="24" s="1"/>
  <c r="T67" i="24" s="1"/>
  <c r="M67" i="22"/>
  <c r="M97" i="24" s="1"/>
  <c r="T97" i="24" s="1"/>
  <c r="M68" i="22"/>
  <c r="M98" i="24" s="1"/>
  <c r="T98" i="24" s="1"/>
  <c r="M66" i="22"/>
  <c r="M96" i="24" s="1"/>
  <c r="T96" i="24" s="1"/>
  <c r="M65" i="22"/>
  <c r="M95" i="24" s="1"/>
  <c r="T95" i="24" s="1"/>
  <c r="N67" i="22"/>
  <c r="M111" i="24" s="1"/>
  <c r="T111" i="24" s="1"/>
  <c r="N68" i="22"/>
  <c r="M112" i="24" s="1"/>
  <c r="T112" i="24" s="1"/>
  <c r="R68" i="22"/>
  <c r="M168" i="24" s="1"/>
  <c r="T168" i="24" s="1"/>
  <c r="R65" i="22"/>
  <c r="M165" i="24" s="1"/>
  <c r="T165" i="24" s="1"/>
  <c r="R66" i="22"/>
  <c r="M166" i="24" s="1"/>
  <c r="T166" i="24" s="1"/>
  <c r="S66" i="22"/>
  <c r="M180" i="24" s="1"/>
  <c r="T180" i="24" s="1"/>
  <c r="S65" i="22"/>
  <c r="M179" i="24" s="1"/>
  <c r="T179" i="24" s="1"/>
  <c r="S67" i="22"/>
  <c r="M181" i="24" s="1"/>
  <c r="T181" i="24" s="1"/>
  <c r="S68" i="22"/>
  <c r="M182" i="24" s="1"/>
  <c r="T182" i="24" s="1"/>
  <c r="T66" i="22"/>
  <c r="M194" i="24" s="1"/>
  <c r="T194" i="24" s="1"/>
  <c r="T65" i="22"/>
  <c r="M193" i="24" s="1"/>
  <c r="T193" i="24" s="1"/>
  <c r="Z66" i="22"/>
  <c r="Z65" i="22"/>
  <c r="Z68" i="22"/>
  <c r="Z67" i="22"/>
  <c r="J58" i="22"/>
  <c r="M2" i="24" s="1"/>
  <c r="T2" i="24" s="1"/>
  <c r="G2" i="24" a="1"/>
  <c r="G2" i="24" s="1"/>
  <c r="G25" i="24" a="1"/>
  <c r="G25" i="24" s="1"/>
  <c r="G69" i="24" a="1"/>
  <c r="G69" i="24" s="1"/>
  <c r="G70" i="24" a="1"/>
  <c r="G70" i="24" s="1"/>
  <c r="G180" i="24" a="1"/>
  <c r="G180" i="24" s="1"/>
  <c r="G179" i="24" a="1"/>
  <c r="G179" i="24" s="1"/>
  <c r="G77" i="24" a="1"/>
  <c r="G77" i="24" s="1"/>
  <c r="G75" i="24" a="1"/>
  <c r="G75" i="24" s="1"/>
  <c r="G79" i="24" a="1"/>
  <c r="G79" i="24" s="1"/>
  <c r="G294" i="24" a="1"/>
  <c r="G294" i="24" s="1"/>
  <c r="AE68" i="22"/>
  <c r="M294" i="24" s="1"/>
  <c r="T294" i="24" s="1"/>
  <c r="G293" i="24" a="1"/>
  <c r="G293" i="24" s="1"/>
  <c r="AE67" i="22"/>
  <c r="M293" i="24" s="1"/>
  <c r="T293" i="24" s="1"/>
  <c r="G292" i="24" a="1"/>
  <c r="G292" i="24" s="1"/>
  <c r="AE66" i="22"/>
  <c r="M292" i="24" s="1"/>
  <c r="T292" i="24" s="1"/>
  <c r="G291" i="24" a="1"/>
  <c r="G291" i="24" s="1"/>
  <c r="G295" i="24" s="1"/>
  <c r="AE65" i="22"/>
  <c r="M291" i="24" s="1"/>
  <c r="G308" i="24" a="1"/>
  <c r="G308" i="24" s="1"/>
  <c r="AF68" i="22"/>
  <c r="G307" i="24" a="1"/>
  <c r="G307" i="24" s="1"/>
  <c r="G309" i="24" s="1"/>
  <c r="AF67" i="22"/>
  <c r="G336" i="24" a="1"/>
  <c r="G336" i="24" s="1"/>
  <c r="AA68" i="22"/>
  <c r="M336" i="24" s="1"/>
  <c r="T336" i="24" s="1"/>
  <c r="G333" i="24" a="1"/>
  <c r="G333" i="24" s="1"/>
  <c r="AA65" i="22"/>
  <c r="M333" i="24" s="1"/>
  <c r="T333" i="24" s="1"/>
  <c r="G334" i="24" a="1"/>
  <c r="G334" i="24" s="1"/>
  <c r="AA66" i="22"/>
  <c r="M334" i="24" s="1"/>
  <c r="T334" i="24" s="1"/>
  <c r="G335" i="24" a="1"/>
  <c r="G335" i="24" s="1"/>
  <c r="AA67" i="22"/>
  <c r="M335" i="24" s="1"/>
  <c r="T335" i="24" s="1"/>
  <c r="G347" i="24" a="1"/>
  <c r="G347" i="24" s="1"/>
  <c r="AB65" i="22"/>
  <c r="M361" i="24" s="1"/>
  <c r="G350" i="24" a="1"/>
  <c r="G350" i="24" s="1"/>
  <c r="AB68" i="22"/>
  <c r="M364" i="24" s="1"/>
  <c r="T364" i="24" s="1"/>
  <c r="G349" i="24" a="1"/>
  <c r="G349" i="24" s="1"/>
  <c r="AB67" i="22"/>
  <c r="M363" i="24" s="1"/>
  <c r="T363" i="24" s="1"/>
  <c r="G348" i="24" a="1"/>
  <c r="G348" i="24" s="1"/>
  <c r="AB66" i="22"/>
  <c r="M362" i="24" s="1"/>
  <c r="T362" i="24" s="1"/>
  <c r="G12" i="24" a="1"/>
  <c r="G12" i="24" s="1"/>
  <c r="J66" i="22"/>
  <c r="M12" i="24" s="1"/>
  <c r="T12" i="24" s="1"/>
  <c r="G13" i="24" a="1"/>
  <c r="G13" i="24" s="1"/>
  <c r="J67" i="22"/>
  <c r="M13" i="24" s="1"/>
  <c r="T13" i="24" s="1"/>
  <c r="G14" i="24" a="1"/>
  <c r="G14" i="24" s="1"/>
  <c r="J68" i="22"/>
  <c r="M14" i="24" s="1"/>
  <c r="T14" i="24" s="1"/>
  <c r="G53" i="24" a="1"/>
  <c r="G53" i="24" s="1"/>
  <c r="K65" i="22"/>
  <c r="M25" i="24" s="1"/>
  <c r="T25" i="24" s="1"/>
  <c r="G55" i="24" a="1"/>
  <c r="G55" i="24" s="1"/>
  <c r="K67" i="22"/>
  <c r="M27" i="24" s="1"/>
  <c r="T27" i="24" s="1"/>
  <c r="G54" i="24" a="1"/>
  <c r="G54" i="24" s="1"/>
  <c r="K66" i="22"/>
  <c r="M26" i="24" s="1"/>
  <c r="T26" i="24" s="1"/>
  <c r="G56" i="24" a="1"/>
  <c r="G56" i="24" s="1"/>
  <c r="K68" i="22"/>
  <c r="M28" i="24" s="1"/>
  <c r="T28" i="24" s="1"/>
  <c r="G27" i="24" a="1"/>
  <c r="G27" i="24" s="1"/>
  <c r="L67" i="22"/>
  <c r="M69" i="24" s="1"/>
  <c r="T69" i="24" s="1"/>
  <c r="G28" i="24" a="1"/>
  <c r="G28" i="24" s="1"/>
  <c r="L68" i="22"/>
  <c r="M70" i="24" s="1"/>
  <c r="T70" i="24" s="1"/>
  <c r="G26" i="24" a="1"/>
  <c r="G26" i="24" s="1"/>
  <c r="L66" i="22"/>
  <c r="M68" i="24" s="1"/>
  <c r="T68" i="24" s="1"/>
  <c r="G96" i="24" a="1"/>
  <c r="G96" i="24" s="1"/>
  <c r="N66" i="22"/>
  <c r="M110" i="24" s="1"/>
  <c r="T110" i="24" s="1"/>
  <c r="G95" i="24" a="1"/>
  <c r="G95" i="24" s="1"/>
  <c r="N65" i="22"/>
  <c r="M109" i="24" s="1"/>
  <c r="T109" i="24" s="1"/>
  <c r="G111" i="24" a="1"/>
  <c r="G111" i="24" s="1"/>
  <c r="O67" i="22"/>
  <c r="M125" i="24" s="1"/>
  <c r="T125" i="24" s="1"/>
  <c r="G112" i="24" a="1"/>
  <c r="G112" i="24" s="1"/>
  <c r="O68" i="22"/>
  <c r="M126" i="24" s="1"/>
  <c r="T126" i="24" s="1"/>
  <c r="G110" i="24" a="1"/>
  <c r="G110" i="24" s="1"/>
  <c r="O66" i="22"/>
  <c r="M124" i="24" s="1"/>
  <c r="T124" i="24" s="1"/>
  <c r="G109" i="24" a="1"/>
  <c r="G109" i="24" s="1"/>
  <c r="O65" i="22"/>
  <c r="M123" i="24" s="1"/>
  <c r="T123" i="24" s="1"/>
  <c r="G124" i="24" a="1"/>
  <c r="G124" i="24" s="1"/>
  <c r="P66" i="22"/>
  <c r="M138" i="24" s="1"/>
  <c r="T138" i="24" s="1"/>
  <c r="G123" i="24" a="1"/>
  <c r="G123" i="24" s="1"/>
  <c r="P65" i="22"/>
  <c r="M137" i="24" s="1"/>
  <c r="T137" i="24" s="1"/>
  <c r="G126" i="24" a="1"/>
  <c r="G126" i="24" s="1"/>
  <c r="P68" i="22"/>
  <c r="M140" i="24" s="1"/>
  <c r="T140" i="24" s="1"/>
  <c r="G125" i="24" a="1"/>
  <c r="G125" i="24" s="1"/>
  <c r="P67" i="22"/>
  <c r="M139" i="24" s="1"/>
  <c r="T139" i="24" s="1"/>
  <c r="G139" i="24" a="1"/>
  <c r="G139" i="24" s="1"/>
  <c r="Q67" i="22"/>
  <c r="M153" i="24" s="1"/>
  <c r="T153" i="24" s="1"/>
  <c r="G138" i="24" a="1"/>
  <c r="G138" i="24" s="1"/>
  <c r="Q66" i="22"/>
  <c r="M152" i="24" s="1"/>
  <c r="T152" i="24" s="1"/>
  <c r="G137" i="24" a="1"/>
  <c r="G137" i="24" s="1"/>
  <c r="Q65" i="22"/>
  <c r="M151" i="24" s="1"/>
  <c r="T151" i="24" s="1"/>
  <c r="G140" i="24" a="1"/>
  <c r="G140" i="24" s="1"/>
  <c r="Q68" i="22"/>
  <c r="M154" i="24" s="1"/>
  <c r="T154" i="24" s="1"/>
  <c r="G153" i="24" a="1"/>
  <c r="G153" i="24" s="1"/>
  <c r="R67" i="22"/>
  <c r="M167" i="24" s="1"/>
  <c r="T167" i="24" s="1"/>
  <c r="G182" i="24" a="1"/>
  <c r="G182" i="24" s="1"/>
  <c r="T68" i="22"/>
  <c r="M196" i="24" s="1"/>
  <c r="T196" i="24" s="1"/>
  <c r="G181" i="24" a="1"/>
  <c r="G181" i="24" s="1"/>
  <c r="T67" i="22"/>
  <c r="M195" i="24" s="1"/>
  <c r="T195" i="24" s="1"/>
  <c r="G195" i="24" a="1"/>
  <c r="G195" i="24" s="1"/>
  <c r="U67" i="22"/>
  <c r="M83" i="24" s="1"/>
  <c r="T83" i="24" s="1"/>
  <c r="G196" i="24" a="1"/>
  <c r="G196" i="24" s="1"/>
  <c r="U68" i="22"/>
  <c r="M84" i="24" s="1"/>
  <c r="T84" i="24" s="1"/>
  <c r="G193" i="24" a="1"/>
  <c r="G193" i="24" s="1"/>
  <c r="U65" i="22"/>
  <c r="M81" i="24" s="1"/>
  <c r="T81" i="24" s="1"/>
  <c r="G194" i="24" a="1"/>
  <c r="G194" i="24" s="1"/>
  <c r="U66" i="22"/>
  <c r="M82" i="24" s="1"/>
  <c r="T82" i="24" s="1"/>
  <c r="G83" i="24" a="1"/>
  <c r="G83" i="24" s="1"/>
  <c r="V67" i="22"/>
  <c r="M405" i="24" s="1"/>
  <c r="T405" i="24" s="1"/>
  <c r="G82" i="24" a="1"/>
  <c r="G82" i="24" s="1"/>
  <c r="V66" i="22"/>
  <c r="M404" i="24" s="1"/>
  <c r="T404" i="24" s="1"/>
  <c r="G81" i="24" a="1"/>
  <c r="G81" i="24" s="1"/>
  <c r="V65" i="22"/>
  <c r="M403" i="24" s="1"/>
  <c r="G84" i="24" a="1"/>
  <c r="G84" i="24" s="1"/>
  <c r="V68" i="22"/>
  <c r="M406" i="24" s="1"/>
  <c r="T406" i="24" s="1"/>
  <c r="G209" i="24" a="1"/>
  <c r="G209" i="24" s="1"/>
  <c r="W67" i="22"/>
  <c r="M209" i="24" s="1"/>
  <c r="T209" i="24" s="1"/>
  <c r="G210" i="24" a="1"/>
  <c r="G210" i="24" s="1"/>
  <c r="W68" i="22"/>
  <c r="M210" i="24" s="1"/>
  <c r="T210" i="24" s="1"/>
  <c r="G207" i="24" a="1"/>
  <c r="G207" i="24" s="1"/>
  <c r="W65" i="22"/>
  <c r="M207" i="24" s="1"/>
  <c r="T207" i="24" s="1"/>
  <c r="G208" i="24" a="1"/>
  <c r="G208" i="24" s="1"/>
  <c r="W66" i="22"/>
  <c r="M208" i="24" s="1"/>
  <c r="T208" i="24" s="1"/>
  <c r="G222" i="24" a="1"/>
  <c r="G222" i="24" s="1"/>
  <c r="X66" i="22"/>
  <c r="M222" i="24" s="1"/>
  <c r="T222" i="24" s="1"/>
  <c r="G223" i="24" a="1"/>
  <c r="G223" i="24" s="1"/>
  <c r="X67" i="22"/>
  <c r="M223" i="24" s="1"/>
  <c r="T223" i="24" s="1"/>
  <c r="G221" i="24" a="1"/>
  <c r="G221" i="24" s="1"/>
  <c r="X65" i="22"/>
  <c r="M221" i="24" s="1"/>
  <c r="T221" i="24" s="1"/>
  <c r="G224" i="24" a="1"/>
  <c r="G224" i="24" s="1"/>
  <c r="X68" i="22"/>
  <c r="M224" i="24" s="1"/>
  <c r="T224" i="24" s="1"/>
  <c r="G252" i="24" a="1"/>
  <c r="G252" i="24" s="1"/>
  <c r="Y68" i="22"/>
  <c r="M252" i="24" s="1"/>
  <c r="T252" i="24" s="1"/>
  <c r="G249" i="24" a="1"/>
  <c r="G249" i="24" s="1"/>
  <c r="Y65" i="22"/>
  <c r="M249" i="24" s="1"/>
  <c r="T249" i="24" s="1"/>
  <c r="G251" i="24" a="1"/>
  <c r="G251" i="24" s="1"/>
  <c r="Y67" i="22"/>
  <c r="M251" i="24" s="1"/>
  <c r="T251" i="24" s="1"/>
  <c r="G250" i="24" a="1"/>
  <c r="G250" i="24" s="1"/>
  <c r="Y66" i="22"/>
  <c r="M250" i="24" s="1"/>
  <c r="T250" i="24" s="1"/>
  <c r="G166" i="24" a="1"/>
  <c r="G166" i="24" s="1"/>
  <c r="G165" i="24" a="1"/>
  <c r="G165" i="24" s="1"/>
  <c r="G168" i="24" a="1"/>
  <c r="G168" i="24" s="1"/>
  <c r="G364" i="24" a="1"/>
  <c r="G364" i="24" s="1"/>
  <c r="G363" i="24" a="1"/>
  <c r="G363" i="24" s="1"/>
  <c r="G362" i="24" a="1"/>
  <c r="G362" i="24" s="1"/>
  <c r="G361" i="24" a="1"/>
  <c r="G361" i="24" s="1"/>
  <c r="G68" i="24" a="1"/>
  <c r="G68" i="24" s="1"/>
  <c r="G67" i="24" a="1"/>
  <c r="G67" i="24" s="1"/>
  <c r="G97" i="24" a="1"/>
  <c r="G97" i="24" s="1"/>
  <c r="G98" i="24" a="1"/>
  <c r="G98" i="24" s="1"/>
  <c r="G403" i="24" a="1"/>
  <c r="G403" i="24" s="1"/>
  <c r="G406" i="24" a="1"/>
  <c r="G406" i="24" s="1"/>
  <c r="J406" i="24" s="1"/>
  <c r="G404" i="24" a="1"/>
  <c r="G404" i="24" s="1"/>
  <c r="J404" i="24" s="1"/>
  <c r="G154" i="24" a="1"/>
  <c r="G154" i="24" s="1"/>
  <c r="G151" i="24" a="1"/>
  <c r="G151" i="24" s="1"/>
  <c r="G152" i="24" a="1"/>
  <c r="G152" i="24" s="1"/>
  <c r="G167" i="24" a="1"/>
  <c r="G167" i="24" s="1"/>
  <c r="G405" i="24" a="1"/>
  <c r="G405" i="24" s="1"/>
  <c r="J405" i="24" s="1"/>
  <c r="G376" i="24" a="1"/>
  <c r="G376" i="24" s="1"/>
  <c r="G278" i="24" a="1"/>
  <c r="G278" i="24" s="1"/>
  <c r="G377" i="24" a="1"/>
  <c r="G377" i="24" s="1"/>
  <c r="G279" i="24" a="1"/>
  <c r="G279" i="24" s="1"/>
  <c r="G378" i="24" a="1"/>
  <c r="G378" i="24" s="1"/>
  <c r="G280" i="24" a="1"/>
  <c r="G280" i="24" s="1"/>
  <c r="G375" i="24" a="1"/>
  <c r="G375" i="24" s="1"/>
  <c r="G277" i="24" a="1"/>
  <c r="G277" i="24" s="1"/>
  <c r="G4" i="24" a="1"/>
  <c r="G4" i="24" s="1"/>
  <c r="AD5" i="10"/>
  <c r="E34" i="10"/>
  <c r="J5" i="10"/>
  <c r="Y5" i="10"/>
  <c r="T5" i="10"/>
  <c r="O5" i="10"/>
  <c r="E5" i="10"/>
  <c r="G74" i="24" a="1"/>
  <c r="G74" i="24" s="1"/>
  <c r="G72" i="24" a="1"/>
  <c r="G72" i="24" s="1"/>
  <c r="G76" i="24" a="1"/>
  <c r="G76" i="24" s="1"/>
  <c r="G396" i="24" a="1"/>
  <c r="G396" i="24" s="1"/>
  <c r="J396" i="24" s="1"/>
  <c r="G342" i="24" a="1"/>
  <c r="G342" i="24" s="1"/>
  <c r="G338" i="24" a="1"/>
  <c r="G338" i="24" s="1"/>
  <c r="G398" i="24" a="1"/>
  <c r="G398" i="24" s="1"/>
  <c r="J398" i="24" s="1"/>
  <c r="G394" i="24" a="1"/>
  <c r="G394" i="24" s="1"/>
  <c r="G6" i="24" a="1"/>
  <c r="G6" i="24" s="1"/>
  <c r="G78" i="24" a="1"/>
  <c r="G78" i="24" s="1"/>
  <c r="J78" i="24" s="1"/>
  <c r="G73" i="24" a="1"/>
  <c r="G73" i="24" s="1"/>
  <c r="G330" i="24" a="1"/>
  <c r="G330" i="24" s="1"/>
  <c r="J330" i="24" s="1"/>
  <c r="G324" i="24" a="1"/>
  <c r="G324" i="24" s="1"/>
  <c r="G325" i="24" a="1"/>
  <c r="G325" i="24" s="1"/>
  <c r="J325" i="24" s="1"/>
  <c r="G331" i="24" a="1"/>
  <c r="G331" i="24" s="1"/>
  <c r="J331" i="24" s="1"/>
  <c r="G339" i="24" a="1"/>
  <c r="G339" i="24" s="1"/>
  <c r="G345" i="24" a="1"/>
  <c r="G345" i="24" s="1"/>
  <c r="J345" i="24" s="1"/>
  <c r="G395" i="24" a="1"/>
  <c r="G395" i="24" s="1"/>
  <c r="J395" i="24" s="1"/>
  <c r="G401" i="24" a="1"/>
  <c r="G401" i="24" s="1"/>
  <c r="J401" i="24" s="1"/>
  <c r="G3" i="24" a="1"/>
  <c r="G3" i="24" s="1"/>
  <c r="G264" i="24" a="1"/>
  <c r="G264" i="24" s="1"/>
  <c r="J264" i="24" s="1"/>
  <c r="G40" i="24" a="1"/>
  <c r="G40" i="24" s="1"/>
  <c r="J40" i="24" s="1"/>
  <c r="G263" i="24" a="1"/>
  <c r="G263" i="24" s="1"/>
  <c r="J263" i="24" s="1"/>
  <c r="G39" i="24" a="1"/>
  <c r="G39" i="24" s="1"/>
  <c r="G266" i="24" a="1"/>
  <c r="G266" i="24" s="1"/>
  <c r="J266" i="24" s="1"/>
  <c r="G42" i="24" a="1"/>
  <c r="G42" i="24" s="1"/>
  <c r="J42" i="24" s="1"/>
  <c r="G265" i="24" a="1"/>
  <c r="G265" i="24" s="1"/>
  <c r="J265" i="24" s="1"/>
  <c r="G41" i="24" a="1"/>
  <c r="G41" i="24" s="1"/>
  <c r="J41" i="24" s="1"/>
  <c r="G389" i="24" a="1"/>
  <c r="G389" i="24" s="1"/>
  <c r="J389" i="24" s="1"/>
  <c r="G235" i="24" a="1"/>
  <c r="G235" i="24" s="1"/>
  <c r="J235" i="24" s="1"/>
  <c r="G392" i="24" a="1"/>
  <c r="G392" i="24" s="1"/>
  <c r="J392" i="24" s="1"/>
  <c r="G238" i="24" a="1"/>
  <c r="G238" i="24" s="1"/>
  <c r="J238" i="24" s="1"/>
  <c r="G237" i="24" a="1"/>
  <c r="G237" i="24" s="1"/>
  <c r="J237" i="24" s="1"/>
  <c r="G391" i="24" a="1"/>
  <c r="G391" i="24" s="1"/>
  <c r="J391" i="24" s="1"/>
  <c r="G236" i="24" a="1"/>
  <c r="G236" i="24" s="1"/>
  <c r="J236" i="24" s="1"/>
  <c r="G390" i="24" a="1"/>
  <c r="G390" i="24" s="1"/>
  <c r="J390" i="24" s="1"/>
  <c r="J388" i="24"/>
  <c r="J374" i="24"/>
  <c r="J360" i="24"/>
  <c r="J359" i="24"/>
  <c r="J357" i="24"/>
  <c r="J346" i="24"/>
  <c r="J344" i="24"/>
  <c r="J343" i="24"/>
  <c r="J341" i="24"/>
  <c r="J340" i="24"/>
  <c r="J332" i="24"/>
  <c r="J322" i="24"/>
  <c r="J321" i="24"/>
  <c r="J320" i="24"/>
  <c r="J319" i="24"/>
  <c r="J318" i="24"/>
  <c r="J317" i="24"/>
  <c r="J316" i="24"/>
  <c r="J315" i="24"/>
  <c r="J314" i="24"/>
  <c r="J313" i="24"/>
  <c r="J312" i="24"/>
  <c r="J311" i="24"/>
  <c r="J306" i="24"/>
  <c r="J305" i="24"/>
  <c r="J304" i="24"/>
  <c r="J303" i="24"/>
  <c r="J302" i="24"/>
  <c r="J301" i="24"/>
  <c r="J300" i="24"/>
  <c r="J299" i="24"/>
  <c r="J298" i="24"/>
  <c r="J297" i="24"/>
  <c r="J290" i="24"/>
  <c r="J289" i="24"/>
  <c r="J288" i="24"/>
  <c r="J287" i="24"/>
  <c r="J286" i="24"/>
  <c r="J285" i="24"/>
  <c r="J284" i="24"/>
  <c r="J283" i="24"/>
  <c r="J276" i="24"/>
  <c r="J275" i="24"/>
  <c r="J274" i="24"/>
  <c r="J273" i="24"/>
  <c r="J272" i="24"/>
  <c r="J271" i="24"/>
  <c r="J270" i="24"/>
  <c r="J269" i="24"/>
  <c r="J234" i="24"/>
  <c r="J80" i="24"/>
  <c r="J52" i="24"/>
  <c r="X5" i="10"/>
  <c r="H29" i="24"/>
  <c r="S29" i="24" s="1" a="1"/>
  <c r="S29" i="24" s="1"/>
  <c r="O7" i="10"/>
  <c r="E7" i="10"/>
  <c r="O20" i="10"/>
  <c r="AD19" i="10"/>
  <c r="Y19" i="10"/>
  <c r="E20" i="10"/>
  <c r="T26" i="10"/>
  <c r="T16" i="10"/>
  <c r="J15" i="10"/>
  <c r="T15" i="10"/>
  <c r="T7" i="10"/>
  <c r="E21" i="10"/>
  <c r="T17" i="10"/>
  <c r="J17" i="10"/>
  <c r="O8" i="10"/>
  <c r="Y8" i="10"/>
  <c r="E8" i="10"/>
  <c r="AD8" i="10"/>
  <c r="E35" i="10"/>
  <c r="AD7" i="10"/>
  <c r="Y7" i="10"/>
  <c r="X17" i="10"/>
  <c r="T20" i="10"/>
  <c r="AH27" i="10"/>
  <c r="AH26" i="10"/>
  <c r="AH25" i="10"/>
  <c r="AH24" i="10"/>
  <c r="AH23" i="10"/>
  <c r="AH22" i="10"/>
  <c r="AI20" i="10"/>
  <c r="AI19" i="10"/>
  <c r="AI18" i="10"/>
  <c r="AI17" i="10"/>
  <c r="AI16" i="10"/>
  <c r="AI15" i="10"/>
  <c r="AI14" i="10"/>
  <c r="AI13" i="10"/>
  <c r="AI12" i="10"/>
  <c r="AD16" i="10"/>
  <c r="Y16" i="10"/>
  <c r="O16" i="10"/>
  <c r="E16" i="10"/>
  <c r="AD15" i="10"/>
  <c r="Y15" i="10"/>
  <c r="O15" i="10"/>
  <c r="E15" i="10"/>
  <c r="AD14" i="10"/>
  <c r="Y14" i="10"/>
  <c r="O14" i="10"/>
  <c r="E14" i="10"/>
  <c r="AD13" i="10"/>
  <c r="Y13" i="10"/>
  <c r="O13" i="10"/>
  <c r="E13" i="10"/>
  <c r="E11" i="10"/>
  <c r="AD10" i="10"/>
  <c r="AD12" i="10"/>
  <c r="Y12" i="10"/>
  <c r="O12" i="10"/>
  <c r="E12" i="10"/>
  <c r="AD11" i="10"/>
  <c r="Y11" i="10"/>
  <c r="AH12" i="10"/>
  <c r="AH13" i="10"/>
  <c r="AH14" i="10"/>
  <c r="AH15" i="10"/>
  <c r="AH16" i="10"/>
  <c r="AH17" i="10"/>
  <c r="T13" i="10"/>
  <c r="AH18" i="10"/>
  <c r="AH19" i="10"/>
  <c r="AH20" i="10"/>
  <c r="AH21" i="10"/>
  <c r="AI22" i="10"/>
  <c r="AI23" i="10"/>
  <c r="AI24" i="10"/>
  <c r="O11" i="10"/>
  <c r="E38" i="10"/>
  <c r="Y10" i="10"/>
  <c r="T10" i="10"/>
  <c r="O10" i="10"/>
  <c r="E10" i="10"/>
  <c r="AD9" i="10"/>
  <c r="Y9" i="10"/>
  <c r="O9" i="10"/>
  <c r="E9" i="10"/>
  <c r="AD17" i="10"/>
  <c r="Y17" i="10"/>
  <c r="O17" i="10"/>
  <c r="E17" i="10"/>
  <c r="E36" i="10"/>
  <c r="T8" i="10"/>
  <c r="J8" i="10"/>
  <c r="T6" i="10"/>
  <c r="J6" i="10"/>
  <c r="AI25" i="10"/>
  <c r="AI26" i="10"/>
  <c r="AD22" i="10"/>
  <c r="X23" i="10"/>
  <c r="AI21" i="10"/>
  <c r="AI6" i="10"/>
  <c r="X25" i="10"/>
  <c r="T21" i="10"/>
  <c r="E41" i="10"/>
  <c r="E6" i="10"/>
  <c r="AD20" i="10"/>
  <c r="Y22" i="10"/>
  <c r="AH7" i="10"/>
  <c r="AH5" i="10"/>
  <c r="Y20" i="10"/>
  <c r="AD18" i="10"/>
  <c r="AI5" i="10"/>
  <c r="AH6" i="10"/>
  <c r="AI7" i="10"/>
  <c r="AI8" i="10"/>
  <c r="AI9" i="10"/>
  <c r="AI10" i="10"/>
  <c r="AI11" i="10"/>
  <c r="AH11" i="10"/>
  <c r="AH10" i="10"/>
  <c r="AH9" i="10"/>
  <c r="AH8" i="10"/>
  <c r="E43" i="10"/>
  <c r="Y18" i="10"/>
  <c r="T18" i="10"/>
  <c r="O18" i="10"/>
  <c r="J18" i="10"/>
  <c r="T19" i="10"/>
  <c r="O19" i="10"/>
  <c r="J21" i="10"/>
  <c r="J19" i="10"/>
  <c r="J16" i="10"/>
  <c r="D37" i="10"/>
  <c r="D39" i="10"/>
  <c r="J24" i="10"/>
  <c r="J13" i="10"/>
  <c r="O21" i="10"/>
  <c r="E40" i="10"/>
  <c r="J12" i="10"/>
  <c r="T12" i="10"/>
  <c r="J22" i="10"/>
  <c r="E39" i="10"/>
  <c r="J23" i="10"/>
  <c r="O22" i="10"/>
  <c r="E22" i="10"/>
  <c r="E19" i="10"/>
  <c r="J11" i="10"/>
  <c r="AD21" i="10"/>
  <c r="T11" i="10"/>
  <c r="T14" i="10"/>
  <c r="AD23" i="10"/>
  <c r="Y23" i="10"/>
  <c r="O23" i="10"/>
  <c r="E23" i="10"/>
  <c r="AI27" i="10"/>
  <c r="O27" i="10"/>
  <c r="E27" i="10"/>
  <c r="AD26" i="10"/>
  <c r="Y26" i="10"/>
  <c r="O26" i="10"/>
  <c r="E26" i="10"/>
  <c r="AD25" i="10"/>
  <c r="Y25" i="10"/>
  <c r="O25" i="10"/>
  <c r="E25" i="10"/>
  <c r="AD24" i="10"/>
  <c r="Y24" i="10"/>
  <c r="O24" i="10"/>
  <c r="E24" i="10"/>
  <c r="J20" i="10"/>
  <c r="E18" i="10"/>
  <c r="J26" i="10"/>
  <c r="J25" i="10"/>
  <c r="T25" i="10"/>
  <c r="T27" i="10"/>
  <c r="J7" i="10"/>
  <c r="J14" i="10"/>
  <c r="AD27" i="10"/>
  <c r="Y27" i="10"/>
  <c r="T22" i="10"/>
  <c r="J9" i="10"/>
  <c r="AD6" i="10"/>
  <c r="E42" i="10"/>
  <c r="T24" i="10"/>
  <c r="O6" i="10"/>
  <c r="Y6" i="10"/>
  <c r="J10" i="10"/>
  <c r="T23" i="10"/>
  <c r="J27" i="10"/>
  <c r="Y21" i="10"/>
  <c r="T9" i="10"/>
  <c r="E37" i="10"/>
  <c r="D40" i="10"/>
  <c r="Y15" i="28"/>
  <c r="F17" i="22"/>
  <c r="F18" i="22"/>
  <c r="I22" i="27"/>
  <c r="I23" i="27"/>
  <c r="C16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T15" i="28"/>
  <c r="U15" i="28"/>
  <c r="V15" i="28"/>
  <c r="W15" i="28"/>
  <c r="X15" i="28"/>
  <c r="F15" i="22"/>
  <c r="F16" i="22"/>
  <c r="K34" i="27"/>
  <c r="J34" i="27"/>
  <c r="K18" i="27"/>
  <c r="J18" i="27"/>
  <c r="I24" i="27"/>
  <c r="I25" i="27"/>
  <c r="I26" i="27"/>
  <c r="I27" i="27"/>
  <c r="I28" i="27"/>
  <c r="I29" i="27"/>
  <c r="I30" i="27"/>
  <c r="I31" i="27"/>
  <c r="I32" i="27"/>
  <c r="I33" i="27"/>
  <c r="E23" i="27"/>
  <c r="E24" i="27"/>
  <c r="E25" i="27"/>
  <c r="E26" i="27"/>
  <c r="E27" i="27"/>
  <c r="E28" i="27"/>
  <c r="E29" i="27"/>
  <c r="E30" i="27"/>
  <c r="E31" i="27"/>
  <c r="E32" i="27"/>
  <c r="E33" i="27"/>
  <c r="E22" i="27"/>
  <c r="H34" i="27"/>
  <c r="G34" i="27"/>
  <c r="F34" i="27"/>
  <c r="D34" i="27"/>
  <c r="C34" i="27"/>
  <c r="AN8" i="27"/>
  <c r="AO8" i="27"/>
  <c r="AN9" i="27"/>
  <c r="AO9" i="27"/>
  <c r="AN10" i="27"/>
  <c r="AO10" i="27"/>
  <c r="X5" i="27" a="1"/>
  <c r="X5" i="27" s="1"/>
  <c r="M331" i="24" l="1"/>
  <c r="T331" i="24" s="1"/>
  <c r="M79" i="24"/>
  <c r="T79" i="24" s="1"/>
  <c r="M308" i="24"/>
  <c r="T308" i="24" s="1"/>
  <c r="M56" i="24"/>
  <c r="T56" i="24" s="1"/>
  <c r="M307" i="24"/>
  <c r="M55" i="24"/>
  <c r="J7" i="24"/>
  <c r="Y40" i="22" a="1"/>
  <c r="Y40" i="22" s="1"/>
  <c r="Y46" i="22" a="1"/>
  <c r="Y46" i="22" s="1"/>
  <c r="G248" i="24" s="1" a="1"/>
  <c r="G248" i="24" s="1"/>
  <c r="J248" i="24" s="1"/>
  <c r="Y38" i="22" a="1"/>
  <c r="Y38" i="22" s="1"/>
  <c r="Y45" i="22" a="1"/>
  <c r="Y45" i="22" s="1"/>
  <c r="Y44" i="22" a="1"/>
  <c r="Y44" i="22" s="1"/>
  <c r="Y43" i="22" a="1"/>
  <c r="Y43" i="22" s="1"/>
  <c r="Y39" i="22" a="1"/>
  <c r="Y39" i="22" s="1"/>
  <c r="Y42" i="22" a="1"/>
  <c r="Y42" i="22" s="1"/>
  <c r="Y41" i="22" a="1"/>
  <c r="Y41" i="22" s="1"/>
  <c r="Z46" i="22" a="1"/>
  <c r="Z46" i="22" s="1"/>
  <c r="Z39" i="22" a="1"/>
  <c r="Z39" i="22" s="1"/>
  <c r="Z40" i="22" a="1"/>
  <c r="Z40" i="22" s="1"/>
  <c r="Z45" i="22" a="1"/>
  <c r="Z45" i="22" s="1"/>
  <c r="Z38" i="22" a="1"/>
  <c r="Z38" i="22" s="1"/>
  <c r="Z44" i="22" a="1"/>
  <c r="Z44" i="22" s="1"/>
  <c r="Z62" i="22" s="1"/>
  <c r="Z41" i="22" a="1"/>
  <c r="Z41" i="22" s="1"/>
  <c r="Z43" i="22" a="1"/>
  <c r="Z43" i="22" s="1"/>
  <c r="Z42" i="22" a="1"/>
  <c r="Z42" i="22" s="1"/>
  <c r="W38" i="22" a="1"/>
  <c r="W38" i="22" s="1"/>
  <c r="W43" i="22" a="1"/>
  <c r="W43" i="22" s="1"/>
  <c r="W42" i="22" a="1"/>
  <c r="W42" i="22" s="1"/>
  <c r="W44" i="22" a="1"/>
  <c r="W44" i="22" s="1"/>
  <c r="W39" i="22" a="1"/>
  <c r="W39" i="22" s="1"/>
  <c r="W40" i="22" a="1"/>
  <c r="W40" i="22" s="1"/>
  <c r="W45" i="22" a="1"/>
  <c r="W45" i="22" s="1"/>
  <c r="W41" i="22" a="1"/>
  <c r="W41" i="22" s="1"/>
  <c r="W46" i="22" a="1"/>
  <c r="W46" i="22" s="1"/>
  <c r="G206" i="24" s="1" a="1"/>
  <c r="G206" i="24" s="1"/>
  <c r="J206" i="24" s="1"/>
  <c r="X42" i="22" a="1"/>
  <c r="X42" i="22" s="1"/>
  <c r="X43" i="22" a="1"/>
  <c r="X43" i="22" s="1"/>
  <c r="X39" i="22" a="1"/>
  <c r="X39" i="22" s="1"/>
  <c r="X44" i="22" a="1"/>
  <c r="X44" i="22" s="1"/>
  <c r="X45" i="22" a="1"/>
  <c r="X45" i="22" s="1"/>
  <c r="X41" i="22" a="1"/>
  <c r="X41" i="22" s="1"/>
  <c r="X46" i="22" a="1"/>
  <c r="X46" i="22" s="1"/>
  <c r="G220" i="24" s="1" a="1"/>
  <c r="G220" i="24" s="1"/>
  <c r="J220" i="24" s="1"/>
  <c r="X38" i="22" a="1"/>
  <c r="X38" i="22" s="1"/>
  <c r="X40" i="22" a="1"/>
  <c r="X40" i="22" s="1"/>
  <c r="J329" i="24"/>
  <c r="J327" i="24"/>
  <c r="J326" i="24"/>
  <c r="T72" i="24"/>
  <c r="T324" i="24"/>
  <c r="T277" i="24"/>
  <c r="M281" i="24"/>
  <c r="T281" i="24" s="1"/>
  <c r="M393" i="24"/>
  <c r="T393" i="24" s="1"/>
  <c r="T389" i="24"/>
  <c r="M264" i="24"/>
  <c r="T264" i="24" s="1"/>
  <c r="M39" i="24"/>
  <c r="T39" i="24" s="1"/>
  <c r="M263" i="24"/>
  <c r="T263" i="24" s="1"/>
  <c r="M266" i="24"/>
  <c r="T266" i="24" s="1"/>
  <c r="M42" i="24"/>
  <c r="T42" i="24" s="1"/>
  <c r="M41" i="24"/>
  <c r="T41" i="24" s="1"/>
  <c r="M265" i="24"/>
  <c r="T265" i="24" s="1"/>
  <c r="M40" i="24"/>
  <c r="T40" i="24" s="1"/>
  <c r="J14" i="24"/>
  <c r="J13" i="24"/>
  <c r="J12" i="24"/>
  <c r="J194" i="24"/>
  <c r="J153" i="24"/>
  <c r="J139" i="24"/>
  <c r="J350" i="24"/>
  <c r="J349" i="24"/>
  <c r="J348" i="24"/>
  <c r="J347" i="24"/>
  <c r="J336" i="24"/>
  <c r="J335" i="24"/>
  <c r="J334" i="24"/>
  <c r="J333" i="24"/>
  <c r="J308" i="24"/>
  <c r="J307" i="24"/>
  <c r="J196" i="24"/>
  <c r="J193" i="24"/>
  <c r="J294" i="24"/>
  <c r="J293" i="24"/>
  <c r="J292" i="24"/>
  <c r="J291" i="24"/>
  <c r="J252" i="24"/>
  <c r="J251" i="24"/>
  <c r="J250" i="24"/>
  <c r="J249" i="24"/>
  <c r="J223" i="24"/>
  <c r="J221" i="24"/>
  <c r="J210" i="24"/>
  <c r="J209" i="24"/>
  <c r="J208" i="24"/>
  <c r="J207" i="24"/>
  <c r="J195" i="24"/>
  <c r="J138" i="24"/>
  <c r="J137" i="24"/>
  <c r="J224" i="24"/>
  <c r="J222" i="24"/>
  <c r="J140" i="24"/>
  <c r="J182" i="24"/>
  <c r="J181" i="24"/>
  <c r="J180" i="24"/>
  <c r="J179" i="24"/>
  <c r="J126" i="24"/>
  <c r="J125" i="24"/>
  <c r="J124" i="24"/>
  <c r="J123" i="24"/>
  <c r="J112" i="24"/>
  <c r="J111" i="24"/>
  <c r="J110" i="24"/>
  <c r="J96" i="24"/>
  <c r="J95" i="24"/>
  <c r="J84" i="24"/>
  <c r="J83" i="24"/>
  <c r="J82" i="24"/>
  <c r="J81" i="24"/>
  <c r="J79" i="24"/>
  <c r="J77" i="24"/>
  <c r="J75" i="24"/>
  <c r="J70" i="24"/>
  <c r="J69" i="24"/>
  <c r="J56" i="24"/>
  <c r="J55" i="24"/>
  <c r="J54" i="24"/>
  <c r="J53" i="24"/>
  <c r="J28" i="24"/>
  <c r="J27" i="24"/>
  <c r="J26" i="24"/>
  <c r="T291" i="24"/>
  <c r="M295" i="24"/>
  <c r="T295" i="24" s="1"/>
  <c r="M365" i="24"/>
  <c r="T365" i="24" s="1"/>
  <c r="T361" i="24"/>
  <c r="T403" i="24"/>
  <c r="M407" i="24"/>
  <c r="T407" i="24" s="1"/>
  <c r="J364" i="24"/>
  <c r="J363" i="24"/>
  <c r="J362" i="24"/>
  <c r="J361" i="24"/>
  <c r="J166" i="24"/>
  <c r="J165" i="24"/>
  <c r="J168" i="24"/>
  <c r="J98" i="24"/>
  <c r="J97" i="24"/>
  <c r="G281" i="24"/>
  <c r="J378" i="24"/>
  <c r="J377" i="24"/>
  <c r="J376" i="24"/>
  <c r="J154" i="24"/>
  <c r="J403" i="24"/>
  <c r="J280" i="24"/>
  <c r="J279" i="24"/>
  <c r="J278" i="24"/>
  <c r="J152" i="24"/>
  <c r="J151" i="24"/>
  <c r="J167" i="24"/>
  <c r="J68" i="24"/>
  <c r="J277" i="24"/>
  <c r="J74" i="24"/>
  <c r="J342" i="24"/>
  <c r="J76" i="24"/>
  <c r="G407" i="24"/>
  <c r="J407" i="24" s="1"/>
  <c r="G337" i="24"/>
  <c r="J73" i="24"/>
  <c r="G85" i="24"/>
  <c r="G351" i="24"/>
  <c r="J339" i="24"/>
  <c r="J39" i="24"/>
  <c r="D41" i="10"/>
  <c r="G369" i="24" a="1"/>
  <c r="G369" i="24" s="1"/>
  <c r="J369" i="24" s="1"/>
  <c r="G373" i="24" a="1"/>
  <c r="G373" i="24" s="1"/>
  <c r="J373" i="24" s="1"/>
  <c r="G371" i="24" a="1"/>
  <c r="G371" i="24" s="1"/>
  <c r="J371" i="24" s="1"/>
  <c r="G354" i="24" a="1"/>
  <c r="G354" i="24" s="1"/>
  <c r="J354" i="24" s="1"/>
  <c r="G358" i="24" a="1"/>
  <c r="G358" i="24" s="1"/>
  <c r="J358" i="24" s="1"/>
  <c r="G352" i="24" a="1"/>
  <c r="G352" i="24" s="1"/>
  <c r="J352" i="24" s="1"/>
  <c r="G356" i="24" a="1"/>
  <c r="G356" i="24" s="1"/>
  <c r="G355" i="24" a="1"/>
  <c r="G355" i="24" s="1"/>
  <c r="J355" i="24" s="1"/>
  <c r="G353" i="24" a="1"/>
  <c r="G353" i="24" s="1"/>
  <c r="J353" i="24" s="1"/>
  <c r="J328" i="24"/>
  <c r="X24" i="10"/>
  <c r="J25" i="24"/>
  <c r="D35" i="10"/>
  <c r="J338" i="24"/>
  <c r="J324" i="24"/>
  <c r="J310" i="24"/>
  <c r="J323" i="24"/>
  <c r="J296" i="24"/>
  <c r="J309" i="24"/>
  <c r="J282" i="24"/>
  <c r="J295" i="24"/>
  <c r="J268" i="24"/>
  <c r="J394" i="24"/>
  <c r="J72" i="24"/>
  <c r="D34" i="10"/>
  <c r="J375" i="24"/>
  <c r="D43" i="10"/>
  <c r="J109" i="24"/>
  <c r="D38" i="10"/>
  <c r="J67" i="24"/>
  <c r="D36" i="10"/>
  <c r="D42" i="10"/>
  <c r="D5" i="10"/>
  <c r="N5" i="10"/>
  <c r="C10" i="28"/>
  <c r="E44" i="10"/>
  <c r="C7" i="28"/>
  <c r="E28" i="10"/>
  <c r="C6" i="28"/>
  <c r="AF34" i="30"/>
  <c r="AP8" i="27"/>
  <c r="C9" i="28"/>
  <c r="C8" i="28"/>
  <c r="W34" i="30"/>
  <c r="D28" i="10"/>
  <c r="AC34" i="30"/>
  <c r="AP10" i="27"/>
  <c r="D15" i="28"/>
  <c r="AP9" i="27"/>
  <c r="I34" i="27"/>
  <c r="AQ9" i="27"/>
  <c r="E34" i="27"/>
  <c r="AQ10" i="27"/>
  <c r="AQ8" i="27"/>
  <c r="J7" i="30"/>
  <c r="G38" i="24" l="1" a="1"/>
  <c r="G38" i="24" s="1"/>
  <c r="J38" i="24" s="1"/>
  <c r="G262" i="24" a="1"/>
  <c r="G262" i="24" s="1"/>
  <c r="J262" i="24" s="1"/>
  <c r="M337" i="24"/>
  <c r="T337" i="24" s="1"/>
  <c r="M85" i="24"/>
  <c r="T85" i="24" s="1"/>
  <c r="M309" i="24"/>
  <c r="T309" i="24" s="1"/>
  <c r="T307" i="24"/>
  <c r="M57" i="24"/>
  <c r="T57" i="24" s="1"/>
  <c r="T55" i="24"/>
  <c r="W64" i="22"/>
  <c r="M206" i="24" s="1"/>
  <c r="T206" i="24" s="1"/>
  <c r="X64" i="22"/>
  <c r="M220" i="24" s="1"/>
  <c r="T220" i="24" s="1"/>
  <c r="X63" i="22"/>
  <c r="X61" i="22"/>
  <c r="M216" i="24" s="1"/>
  <c r="T216" i="24" s="1"/>
  <c r="X57" i="22"/>
  <c r="X58" i="22"/>
  <c r="M212" i="24" s="1"/>
  <c r="X56" i="22"/>
  <c r="M218" i="24" s="1"/>
  <c r="T218" i="24" s="1"/>
  <c r="X60" i="22"/>
  <c r="M214" i="24" s="1"/>
  <c r="T214" i="24" s="1"/>
  <c r="W59" i="22"/>
  <c r="M201" i="24" s="1"/>
  <c r="T201" i="24" s="1"/>
  <c r="W63" i="22"/>
  <c r="X59" i="22"/>
  <c r="M215" i="24" s="1"/>
  <c r="T215" i="24" s="1"/>
  <c r="X62" i="22"/>
  <c r="M217" i="24" s="1"/>
  <c r="T217" i="24" s="1"/>
  <c r="G219" i="24" a="1"/>
  <c r="G219" i="24" s="1"/>
  <c r="J219" i="24" s="1"/>
  <c r="G217" i="24" a="1"/>
  <c r="G217" i="24" s="1"/>
  <c r="J217" i="24" s="1"/>
  <c r="G215" i="24" a="1"/>
  <c r="G215" i="24" s="1"/>
  <c r="J215" i="24" s="1"/>
  <c r="Y62" i="22"/>
  <c r="M245" i="24" s="1"/>
  <c r="T245" i="24" s="1"/>
  <c r="Y61" i="22"/>
  <c r="M244" i="24" s="1"/>
  <c r="T244" i="24" s="1"/>
  <c r="Y59" i="22"/>
  <c r="M243" i="24" s="1"/>
  <c r="T243" i="24" s="1"/>
  <c r="Y58" i="22"/>
  <c r="M240" i="24" s="1"/>
  <c r="Y63" i="22"/>
  <c r="Y60" i="22"/>
  <c r="M242" i="24" s="1"/>
  <c r="T242" i="24" s="1"/>
  <c r="Y64" i="22"/>
  <c r="M248" i="24" s="1"/>
  <c r="T248" i="24" s="1"/>
  <c r="Y57" i="22"/>
  <c r="Y56" i="22"/>
  <c r="M246" i="24" s="1"/>
  <c r="T246" i="24" s="1"/>
  <c r="Z61" i="22"/>
  <c r="Z64" i="22"/>
  <c r="Z63" i="22"/>
  <c r="Z58" i="22"/>
  <c r="Z56" i="22"/>
  <c r="Z59" i="22"/>
  <c r="Z60" i="22"/>
  <c r="Z57" i="22"/>
  <c r="W60" i="22"/>
  <c r="M200" i="24" s="1"/>
  <c r="T200" i="24" s="1"/>
  <c r="W61" i="22"/>
  <c r="M202" i="24" s="1"/>
  <c r="T202" i="24" s="1"/>
  <c r="W56" i="22"/>
  <c r="M204" i="24" s="1"/>
  <c r="T204" i="24" s="1"/>
  <c r="W57" i="22"/>
  <c r="W58" i="22"/>
  <c r="M198" i="24" s="1"/>
  <c r="W62" i="22"/>
  <c r="M203" i="24" s="1"/>
  <c r="T203" i="24" s="1"/>
  <c r="J281" i="24"/>
  <c r="G203" i="24" a="1"/>
  <c r="G203" i="24" s="1"/>
  <c r="J203" i="24" s="1"/>
  <c r="G243" i="24" a="1"/>
  <c r="G243" i="24" s="1"/>
  <c r="J243" i="24" s="1"/>
  <c r="G245" i="24" a="1"/>
  <c r="G245" i="24" s="1"/>
  <c r="J245" i="24" s="1"/>
  <c r="G201" i="24" a="1"/>
  <c r="G201" i="24" s="1"/>
  <c r="J201" i="24" s="1"/>
  <c r="G370" i="24" a="1"/>
  <c r="G370" i="24" s="1"/>
  <c r="G198" i="24" a="1"/>
  <c r="G198" i="24" s="1"/>
  <c r="G216" i="24" a="1"/>
  <c r="G216" i="24" s="1"/>
  <c r="G366" i="24" a="1"/>
  <c r="G366" i="24" s="1"/>
  <c r="G212" i="24" a="1"/>
  <c r="G212" i="24" s="1"/>
  <c r="G244" i="24" a="1"/>
  <c r="G244" i="24" s="1"/>
  <c r="J351" i="24"/>
  <c r="J337" i="24"/>
  <c r="J85" i="24"/>
  <c r="G246" i="24" a="1"/>
  <c r="G246" i="24" s="1"/>
  <c r="J246" i="24" s="1"/>
  <c r="G242" i="24" a="1"/>
  <c r="G242" i="24" s="1"/>
  <c r="J242" i="24" s="1"/>
  <c r="G202" i="24" a="1"/>
  <c r="G202" i="24" s="1"/>
  <c r="J202" i="24" s="1"/>
  <c r="G368" i="24" a="1"/>
  <c r="G368" i="24" s="1"/>
  <c r="G367" i="24" a="1"/>
  <c r="G367" i="24" s="1"/>
  <c r="G372" i="24" a="1"/>
  <c r="G372" i="24" s="1"/>
  <c r="J372" i="24" s="1"/>
  <c r="G240" i="24" a="1"/>
  <c r="G240" i="24" s="1"/>
  <c r="G204" i="24" a="1"/>
  <c r="G204" i="24" s="1"/>
  <c r="J204" i="24" s="1"/>
  <c r="G200" i="24" a="1"/>
  <c r="G200" i="24" s="1"/>
  <c r="G218" i="24" a="1"/>
  <c r="G218" i="24" s="1"/>
  <c r="J218" i="24" s="1"/>
  <c r="G213" i="24" a="1"/>
  <c r="G213" i="24" s="1"/>
  <c r="G214" i="24" a="1"/>
  <c r="G214" i="24" s="1"/>
  <c r="G387" i="24" a="1"/>
  <c r="G387" i="24" s="1"/>
  <c r="J387" i="24" s="1"/>
  <c r="G233" i="24" a="1"/>
  <c r="G233" i="24" s="1"/>
  <c r="J233" i="24" s="1"/>
  <c r="G231" i="24" a="1"/>
  <c r="G231" i="24" s="1"/>
  <c r="J231" i="24" s="1"/>
  <c r="G385" i="24" a="1"/>
  <c r="G385" i="24" s="1"/>
  <c r="J385" i="24" s="1"/>
  <c r="G241" i="24" a="1"/>
  <c r="G241" i="24" s="1"/>
  <c r="J241" i="24" s="1"/>
  <c r="G247" i="24" a="1"/>
  <c r="G247" i="24" s="1"/>
  <c r="J247" i="24" s="1"/>
  <c r="G35" i="24" a="1"/>
  <c r="G35" i="24" s="1"/>
  <c r="J35" i="24" s="1"/>
  <c r="G259" i="24" a="1"/>
  <c r="G259" i="24" s="1"/>
  <c r="J259" i="24" s="1"/>
  <c r="G261" i="24" a="1"/>
  <c r="G261" i="24" s="1"/>
  <c r="J261" i="24" s="1"/>
  <c r="G37" i="24" a="1"/>
  <c r="G37" i="24" s="1"/>
  <c r="J37" i="24" s="1"/>
  <c r="G199" i="24" a="1"/>
  <c r="G199" i="24" s="1"/>
  <c r="J199" i="24" s="1"/>
  <c r="G205" i="24" a="1"/>
  <c r="G205" i="24" s="1"/>
  <c r="J205" i="24" s="1"/>
  <c r="G383" i="24" a="1"/>
  <c r="G383" i="24" s="1"/>
  <c r="J383" i="24" s="1"/>
  <c r="G229" i="24" a="1"/>
  <c r="G229" i="24" s="1"/>
  <c r="J229" i="24" s="1"/>
  <c r="G382" i="24" a="1"/>
  <c r="G382" i="24" s="1"/>
  <c r="J382" i="24" s="1"/>
  <c r="G228" i="24" a="1"/>
  <c r="G228" i="24" s="1"/>
  <c r="J228" i="24" s="1"/>
  <c r="G381" i="24" a="1"/>
  <c r="G381" i="24" s="1"/>
  <c r="J381" i="24" s="1"/>
  <c r="G227" i="24" a="1"/>
  <c r="G227" i="24" s="1"/>
  <c r="J227" i="24" s="1"/>
  <c r="G386" i="24" a="1"/>
  <c r="G386" i="24" s="1"/>
  <c r="J386" i="24" s="1"/>
  <c r="G232" i="24" a="1"/>
  <c r="G232" i="24" s="1"/>
  <c r="J232" i="24" s="1"/>
  <c r="G230" i="24" a="1"/>
  <c r="G230" i="24" s="1"/>
  <c r="G384" i="24" a="1"/>
  <c r="G384" i="24" s="1"/>
  <c r="J384" i="24" s="1"/>
  <c r="G380" i="24" a="1"/>
  <c r="G380" i="24" s="1"/>
  <c r="G226" i="24" a="1"/>
  <c r="G226" i="24" s="1"/>
  <c r="X26" i="10"/>
  <c r="J356" i="24"/>
  <c r="G365" i="24"/>
  <c r="J365" i="24" s="1"/>
  <c r="G30" i="24" a="1"/>
  <c r="G30" i="24" s="1"/>
  <c r="G254" i="24" a="1"/>
  <c r="G254" i="24" s="1"/>
  <c r="G260" i="24" a="1"/>
  <c r="G260" i="24" s="1"/>
  <c r="J260" i="24" s="1"/>
  <c r="G36" i="24" a="1"/>
  <c r="G36" i="24" s="1"/>
  <c r="J36" i="24" s="1"/>
  <c r="G257" i="24" a="1"/>
  <c r="G257" i="24" s="1"/>
  <c r="J257" i="24" s="1"/>
  <c r="G33" i="24" a="1"/>
  <c r="G33" i="24" s="1"/>
  <c r="J33" i="24" s="1"/>
  <c r="G34" i="24" a="1"/>
  <c r="G34" i="24" s="1"/>
  <c r="G258" i="24" a="1"/>
  <c r="G258" i="24" s="1"/>
  <c r="J258" i="24" s="1"/>
  <c r="G32" i="24" a="1"/>
  <c r="G32" i="24" s="1"/>
  <c r="J32" i="24" s="1"/>
  <c r="G256" i="24" a="1"/>
  <c r="G256" i="24" s="1"/>
  <c r="J256" i="24" s="1"/>
  <c r="G255" i="24" a="1"/>
  <c r="G255" i="24" s="1"/>
  <c r="J255" i="24" s="1"/>
  <c r="G31" i="24" a="1"/>
  <c r="G31" i="24" s="1"/>
  <c r="J31" i="24" s="1"/>
  <c r="J6" i="24"/>
  <c r="J3" i="24"/>
  <c r="I5" i="10"/>
  <c r="J10" i="24"/>
  <c r="AC5" i="10"/>
  <c r="O29" i="10"/>
  <c r="J29" i="10"/>
  <c r="T29" i="10"/>
  <c r="F3" i="22"/>
  <c r="F4" i="22"/>
  <c r="F5" i="22"/>
  <c r="F6" i="22"/>
  <c r="F7" i="22"/>
  <c r="F8" i="22"/>
  <c r="F9" i="22"/>
  <c r="F10" i="22"/>
  <c r="F11" i="22"/>
  <c r="F12" i="22"/>
  <c r="M219" i="24" l="1"/>
  <c r="T219" i="24" s="1"/>
  <c r="M247" i="24"/>
  <c r="T247" i="24" s="1"/>
  <c r="M241" i="24"/>
  <c r="T241" i="24" s="1"/>
  <c r="M38" i="24"/>
  <c r="T38" i="24" s="1"/>
  <c r="M262" i="24"/>
  <c r="T262" i="24" s="1"/>
  <c r="M205" i="24"/>
  <c r="T205" i="24" s="1"/>
  <c r="M213" i="24"/>
  <c r="T213" i="24" s="1"/>
  <c r="M199" i="24"/>
  <c r="T199" i="24" s="1"/>
  <c r="M31" i="24"/>
  <c r="T31" i="24" s="1"/>
  <c r="M255" i="24"/>
  <c r="T255" i="24" s="1"/>
  <c r="K42" i="22" a="1"/>
  <c r="K42" i="22" s="1"/>
  <c r="K43" i="22" a="1"/>
  <c r="K43" i="22" s="1"/>
  <c r="K41" i="22" a="1"/>
  <c r="K41" i="22" s="1"/>
  <c r="K46" i="22" a="1"/>
  <c r="K46" i="22" s="1"/>
  <c r="G24" i="24" s="1" a="1"/>
  <c r="G24" i="24" s="1"/>
  <c r="J24" i="24" s="1"/>
  <c r="K39" i="22" a="1"/>
  <c r="K39" i="22" s="1"/>
  <c r="K44" i="22" a="1"/>
  <c r="K44" i="22" s="1"/>
  <c r="K38" i="22" a="1"/>
  <c r="K38" i="22" s="1"/>
  <c r="K40" i="22" a="1"/>
  <c r="K40" i="22" s="1"/>
  <c r="K45" i="22" a="1"/>
  <c r="K45" i="22" s="1"/>
  <c r="L45" i="22" a="1"/>
  <c r="L45" i="22" s="1"/>
  <c r="L38" i="22" a="1"/>
  <c r="L38" i="22" s="1"/>
  <c r="L42" i="22" a="1"/>
  <c r="L42" i="22" s="1"/>
  <c r="L43" i="22" a="1"/>
  <c r="L43" i="22" s="1"/>
  <c r="L41" i="22" a="1"/>
  <c r="L41" i="22" s="1"/>
  <c r="L46" i="22" a="1"/>
  <c r="L46" i="22" s="1"/>
  <c r="G66" i="24" s="1" a="1"/>
  <c r="G66" i="24" s="1"/>
  <c r="J66" i="24" s="1"/>
  <c r="L39" i="22" a="1"/>
  <c r="L39" i="22" s="1"/>
  <c r="L44" i="22" a="1"/>
  <c r="L44" i="22" s="1"/>
  <c r="L40" i="22" a="1"/>
  <c r="L40" i="22" s="1"/>
  <c r="M40" i="22" a="1"/>
  <c r="M40" i="22" s="1"/>
  <c r="M44" i="22" a="1"/>
  <c r="M44" i="22" s="1"/>
  <c r="M42" i="22" a="1"/>
  <c r="M42" i="22" s="1"/>
  <c r="M38" i="22" a="1"/>
  <c r="M38" i="22" s="1"/>
  <c r="M43" i="22" a="1"/>
  <c r="M43" i="22" s="1"/>
  <c r="M41" i="22" a="1"/>
  <c r="M41" i="22" s="1"/>
  <c r="M46" i="22" a="1"/>
  <c r="M46" i="22" s="1"/>
  <c r="G94" i="24" s="1" a="1"/>
  <c r="G94" i="24" s="1"/>
  <c r="J94" i="24" s="1"/>
  <c r="M39" i="22" a="1"/>
  <c r="M39" i="22" s="1"/>
  <c r="M45" i="22" a="1"/>
  <c r="M45" i="22" s="1"/>
  <c r="N44" i="22" a="1"/>
  <c r="N44" i="22" s="1"/>
  <c r="N39" i="22" a="1"/>
  <c r="N39" i="22" s="1"/>
  <c r="N46" i="22" a="1"/>
  <c r="N46" i="22" s="1"/>
  <c r="G108" i="24" s="1" a="1"/>
  <c r="G108" i="24" s="1"/>
  <c r="J108" i="24" s="1"/>
  <c r="N40" i="22" a="1"/>
  <c r="N40" i="22" s="1"/>
  <c r="N41" i="22" a="1"/>
  <c r="N41" i="22" s="1"/>
  <c r="N43" i="22" a="1"/>
  <c r="N43" i="22" s="1"/>
  <c r="N38" i="22" a="1"/>
  <c r="N38" i="22" s="1"/>
  <c r="N45" i="22" a="1"/>
  <c r="N45" i="22" s="1"/>
  <c r="N42" i="22" a="1"/>
  <c r="N42" i="22" s="1"/>
  <c r="O44" i="22" a="1"/>
  <c r="O44" i="22" s="1"/>
  <c r="O40" i="22" a="1"/>
  <c r="O40" i="22" s="1"/>
  <c r="O41" i="22" a="1"/>
  <c r="O41" i="22" s="1"/>
  <c r="O43" i="22" a="1"/>
  <c r="O43" i="22" s="1"/>
  <c r="O39" i="22" a="1"/>
  <c r="O39" i="22" s="1"/>
  <c r="O46" i="22" a="1"/>
  <c r="O46" i="22" s="1"/>
  <c r="G122" i="24" s="1" a="1"/>
  <c r="G122" i="24" s="1"/>
  <c r="J122" i="24" s="1"/>
  <c r="O38" i="22" a="1"/>
  <c r="O38" i="22" s="1"/>
  <c r="O45" i="22" a="1"/>
  <c r="O45" i="22" s="1"/>
  <c r="O42" i="22" a="1"/>
  <c r="O42" i="22" s="1"/>
  <c r="P42" i="22" a="1"/>
  <c r="P42" i="22" s="1"/>
  <c r="P39" i="22" a="1"/>
  <c r="P39" i="22" s="1"/>
  <c r="P45" i="22" a="1"/>
  <c r="P45" i="22" s="1"/>
  <c r="P46" i="22" a="1"/>
  <c r="P46" i="22" s="1"/>
  <c r="G136" i="24" s="1" a="1"/>
  <c r="G136" i="24" s="1"/>
  <c r="J136" i="24" s="1"/>
  <c r="P38" i="22" a="1"/>
  <c r="P38" i="22" s="1"/>
  <c r="P41" i="22" a="1"/>
  <c r="P41" i="22" s="1"/>
  <c r="P43" i="22" a="1"/>
  <c r="P43" i="22" s="1"/>
  <c r="P44" i="22" a="1"/>
  <c r="P44" i="22" s="1"/>
  <c r="P40" i="22" a="1"/>
  <c r="P40" i="22" s="1"/>
  <c r="Q40" i="22" a="1"/>
  <c r="Q40" i="22" s="1"/>
  <c r="Q46" i="22" a="1"/>
  <c r="Q46" i="22" s="1"/>
  <c r="G150" i="24" s="1" a="1"/>
  <c r="G150" i="24" s="1"/>
  <c r="J150" i="24" s="1"/>
  <c r="Q42" i="22" a="1"/>
  <c r="Q42" i="22" s="1"/>
  <c r="Q41" i="22" a="1"/>
  <c r="Q41" i="22" s="1"/>
  <c r="Q43" i="22" a="1"/>
  <c r="Q43" i="22" s="1"/>
  <c r="Q44" i="22" a="1"/>
  <c r="Q44" i="22" s="1"/>
  <c r="Q38" i="22" a="1"/>
  <c r="Q38" i="22" s="1"/>
  <c r="Q39" i="22" a="1"/>
  <c r="Q39" i="22" s="1"/>
  <c r="Q45" i="22" a="1"/>
  <c r="Q45" i="22" s="1"/>
  <c r="R38" i="22" a="1"/>
  <c r="R38" i="22" s="1"/>
  <c r="R40" i="22" a="1"/>
  <c r="R40" i="22" s="1"/>
  <c r="R45" i="22" a="1"/>
  <c r="R45" i="22" s="1"/>
  <c r="R43" i="22" a="1"/>
  <c r="R43" i="22" s="1"/>
  <c r="R44" i="22" a="1"/>
  <c r="R44" i="22" s="1"/>
  <c r="R41" i="22" a="1"/>
  <c r="R41" i="22" s="1"/>
  <c r="R46" i="22" a="1"/>
  <c r="R46" i="22" s="1"/>
  <c r="G164" i="24" s="1" a="1"/>
  <c r="G164" i="24" s="1"/>
  <c r="J164" i="24" s="1"/>
  <c r="R42" i="22" a="1"/>
  <c r="R42" i="22" s="1"/>
  <c r="R39" i="22" a="1"/>
  <c r="R39" i="22" s="1"/>
  <c r="S44" i="22" a="1"/>
  <c r="S44" i="22" s="1"/>
  <c r="S39" i="22" a="1"/>
  <c r="S39" i="22" s="1"/>
  <c r="S40" i="22" a="1"/>
  <c r="S40" i="22" s="1"/>
  <c r="S45" i="22" a="1"/>
  <c r="S45" i="22" s="1"/>
  <c r="S38" i="22" a="1"/>
  <c r="S38" i="22" s="1"/>
  <c r="S43" i="22" a="1"/>
  <c r="S43" i="22" s="1"/>
  <c r="S41" i="22" a="1"/>
  <c r="S41" i="22" s="1"/>
  <c r="S42" i="22" a="1"/>
  <c r="S42" i="22" s="1"/>
  <c r="S46" i="22" a="1"/>
  <c r="S46" i="22" s="1"/>
  <c r="G178" i="24" s="1" a="1"/>
  <c r="G178" i="24" s="1"/>
  <c r="J178" i="24" s="1"/>
  <c r="T39" i="22" a="1"/>
  <c r="T39" i="22" s="1"/>
  <c r="T44" i="22" a="1"/>
  <c r="T44" i="22" s="1"/>
  <c r="T40" i="22" a="1"/>
  <c r="T40" i="22" s="1"/>
  <c r="T45" i="22" a="1"/>
  <c r="T45" i="22" s="1"/>
  <c r="T38" i="22" a="1"/>
  <c r="T38" i="22" s="1"/>
  <c r="T43" i="22" a="1"/>
  <c r="T43" i="22" s="1"/>
  <c r="T41" i="22" a="1"/>
  <c r="T41" i="22" s="1"/>
  <c r="T42" i="22" a="1"/>
  <c r="T42" i="22" s="1"/>
  <c r="T46" i="22" a="1"/>
  <c r="T46" i="22" s="1"/>
  <c r="G192" i="24" s="1" a="1"/>
  <c r="G192" i="24" s="1"/>
  <c r="J192" i="24" s="1"/>
  <c r="T212" i="24"/>
  <c r="T198" i="24"/>
  <c r="T240" i="24"/>
  <c r="M35" i="24"/>
  <c r="T35" i="24" s="1"/>
  <c r="M259" i="24"/>
  <c r="T259" i="24" s="1"/>
  <c r="M34" i="24"/>
  <c r="T34" i="24" s="1"/>
  <c r="M258" i="24"/>
  <c r="T258" i="24" s="1"/>
  <c r="M30" i="24"/>
  <c r="M254" i="24"/>
  <c r="M36" i="24"/>
  <c r="T36" i="24" s="1"/>
  <c r="M260" i="24"/>
  <c r="T260" i="24" s="1"/>
  <c r="M33" i="24"/>
  <c r="T33" i="24" s="1"/>
  <c r="M257" i="24"/>
  <c r="T257" i="24" s="1"/>
  <c r="M32" i="24"/>
  <c r="T32" i="24" s="1"/>
  <c r="M256" i="24"/>
  <c r="T256" i="24" s="1"/>
  <c r="M37" i="24"/>
  <c r="T37" i="24" s="1"/>
  <c r="M261" i="24"/>
  <c r="T261" i="24" s="1"/>
  <c r="J370" i="24"/>
  <c r="J198" i="24"/>
  <c r="X20" i="10"/>
  <c r="J216" i="24"/>
  <c r="J212" i="24"/>
  <c r="J366" i="24"/>
  <c r="J244" i="24"/>
  <c r="J368" i="24"/>
  <c r="X27" i="10"/>
  <c r="J367" i="24"/>
  <c r="G379" i="24"/>
  <c r="J379" i="24" s="1"/>
  <c r="J200" i="24"/>
  <c r="G211" i="24"/>
  <c r="J211" i="24" s="1"/>
  <c r="X18" i="10"/>
  <c r="J214" i="24"/>
  <c r="X19" i="10"/>
  <c r="J240" i="24"/>
  <c r="G253" i="24"/>
  <c r="J253" i="24" s="1"/>
  <c r="J213" i="24"/>
  <c r="G225" i="24"/>
  <c r="J225" i="24" s="1"/>
  <c r="X22" i="10"/>
  <c r="J230" i="24"/>
  <c r="J380" i="24"/>
  <c r="G393" i="24"/>
  <c r="J393" i="24" s="1"/>
  <c r="J226" i="24"/>
  <c r="G239" i="24"/>
  <c r="J239" i="24" s="1"/>
  <c r="J30" i="24"/>
  <c r="G43" i="24"/>
  <c r="J43" i="24" s="1"/>
  <c r="J254" i="24"/>
  <c r="G267" i="24"/>
  <c r="J267" i="24" s="1"/>
  <c r="X21" i="10"/>
  <c r="J34" i="24"/>
  <c r="G47" i="24" a="1"/>
  <c r="G47" i="24" s="1"/>
  <c r="G49" i="24" a="1"/>
  <c r="G49" i="24" s="1"/>
  <c r="G48" i="24" a="1"/>
  <c r="G48" i="24" s="1"/>
  <c r="J5" i="24"/>
  <c r="S5" i="10"/>
  <c r="Y29" i="10"/>
  <c r="AD29" i="10"/>
  <c r="D19" i="10"/>
  <c r="D18" i="10"/>
  <c r="I20" i="10"/>
  <c r="D17" i="10"/>
  <c r="J4" i="24"/>
  <c r="E45" i="10"/>
  <c r="E29" i="10"/>
  <c r="M253" i="24" l="1"/>
  <c r="T253" i="24" s="1"/>
  <c r="M225" i="24"/>
  <c r="T225" i="24" s="1"/>
  <c r="M211" i="24"/>
  <c r="T211" i="24" s="1"/>
  <c r="T30" i="24"/>
  <c r="M43" i="24"/>
  <c r="T43" i="24" s="1"/>
  <c r="T254" i="24"/>
  <c r="M267" i="24"/>
  <c r="T267" i="24" s="1"/>
  <c r="K58" i="22"/>
  <c r="M16" i="24" s="1"/>
  <c r="K59" i="22"/>
  <c r="M19" i="24" s="1"/>
  <c r="T19" i="24" s="1"/>
  <c r="K62" i="22"/>
  <c r="M21" i="24" s="1"/>
  <c r="T21" i="24" s="1"/>
  <c r="K64" i="22"/>
  <c r="M24" i="24" s="1"/>
  <c r="T24" i="24" s="1"/>
  <c r="K63" i="22"/>
  <c r="K56" i="22"/>
  <c r="M22" i="24" s="1"/>
  <c r="T22" i="24" s="1"/>
  <c r="K57" i="22"/>
  <c r="M23" i="24" s="1"/>
  <c r="T23" i="24" s="1"/>
  <c r="K60" i="22"/>
  <c r="M18" i="24" s="1"/>
  <c r="T18" i="24" s="1"/>
  <c r="K61" i="22"/>
  <c r="M20" i="24" s="1"/>
  <c r="T20" i="24" s="1"/>
  <c r="L61" i="22"/>
  <c r="M62" i="24" s="1"/>
  <c r="T62" i="24" s="1"/>
  <c r="L60" i="22"/>
  <c r="M60" i="24" s="1"/>
  <c r="T60" i="24" s="1"/>
  <c r="L56" i="22"/>
  <c r="M64" i="24" s="1"/>
  <c r="T64" i="24" s="1"/>
  <c r="L59" i="22"/>
  <c r="M61" i="24" s="1"/>
  <c r="T61" i="24" s="1"/>
  <c r="L64" i="22"/>
  <c r="M66" i="24" s="1"/>
  <c r="T66" i="24" s="1"/>
  <c r="L57" i="22"/>
  <c r="L58" i="22"/>
  <c r="M58" i="24" s="1"/>
  <c r="L63" i="22"/>
  <c r="L62" i="22"/>
  <c r="M63" i="24" s="1"/>
  <c r="T63" i="24" s="1"/>
  <c r="M62" i="22"/>
  <c r="M91" i="24" s="1"/>
  <c r="T91" i="24" s="1"/>
  <c r="M57" i="22"/>
  <c r="M60" i="22"/>
  <c r="M88" i="24" s="1"/>
  <c r="T88" i="24" s="1"/>
  <c r="M61" i="22"/>
  <c r="M90" i="24" s="1"/>
  <c r="T90" i="24" s="1"/>
  <c r="M64" i="22"/>
  <c r="M94" i="24" s="1"/>
  <c r="T94" i="24" s="1"/>
  <c r="M56" i="22"/>
  <c r="M92" i="24" s="1"/>
  <c r="T92" i="24" s="1"/>
  <c r="M58" i="22"/>
  <c r="M86" i="24" s="1"/>
  <c r="M63" i="22"/>
  <c r="M59" i="22"/>
  <c r="M89" i="24" s="1"/>
  <c r="T89" i="24" s="1"/>
  <c r="N56" i="22"/>
  <c r="M106" i="24" s="1"/>
  <c r="T106" i="24" s="1"/>
  <c r="N58" i="22"/>
  <c r="M100" i="24" s="1"/>
  <c r="N59" i="22"/>
  <c r="M103" i="24" s="1"/>
  <c r="T103" i="24" s="1"/>
  <c r="N61" i="22"/>
  <c r="M104" i="24" s="1"/>
  <c r="T104" i="24" s="1"/>
  <c r="N60" i="22"/>
  <c r="M102" i="24" s="1"/>
  <c r="T102" i="24" s="1"/>
  <c r="N64" i="22"/>
  <c r="M108" i="24" s="1"/>
  <c r="T108" i="24" s="1"/>
  <c r="N63" i="22"/>
  <c r="N57" i="22"/>
  <c r="M107" i="24" s="1"/>
  <c r="T107" i="24" s="1"/>
  <c r="N62" i="22"/>
  <c r="M105" i="24" s="1"/>
  <c r="T105" i="24" s="1"/>
  <c r="O63" i="22"/>
  <c r="O58" i="22"/>
  <c r="M114" i="24" s="1"/>
  <c r="O59" i="22"/>
  <c r="M117" i="24" s="1"/>
  <c r="T117" i="24" s="1"/>
  <c r="O62" i="22"/>
  <c r="M119" i="24" s="1"/>
  <c r="T119" i="24" s="1"/>
  <c r="O56" i="22"/>
  <c r="M120" i="24" s="1"/>
  <c r="T120" i="24" s="1"/>
  <c r="O60" i="22"/>
  <c r="M116" i="24" s="1"/>
  <c r="T116" i="24" s="1"/>
  <c r="O61" i="22"/>
  <c r="M118" i="24" s="1"/>
  <c r="T118" i="24" s="1"/>
  <c r="O57" i="22"/>
  <c r="O64" i="22"/>
  <c r="M122" i="24" s="1"/>
  <c r="T122" i="24" s="1"/>
  <c r="P57" i="22"/>
  <c r="P61" i="22"/>
  <c r="M132" i="24" s="1"/>
  <c r="T132" i="24" s="1"/>
  <c r="P60" i="22"/>
  <c r="M130" i="24" s="1"/>
  <c r="T130" i="24" s="1"/>
  <c r="P64" i="22"/>
  <c r="M136" i="24" s="1"/>
  <c r="T136" i="24" s="1"/>
  <c r="P56" i="22"/>
  <c r="M134" i="24" s="1"/>
  <c r="T134" i="24" s="1"/>
  <c r="P59" i="22"/>
  <c r="M131" i="24" s="1"/>
  <c r="T131" i="24" s="1"/>
  <c r="P63" i="22"/>
  <c r="M129" i="24" s="1"/>
  <c r="T129" i="24" s="1"/>
  <c r="P62" i="22"/>
  <c r="M133" i="24" s="1"/>
  <c r="T133" i="24" s="1"/>
  <c r="P58" i="22"/>
  <c r="M128" i="24" s="1"/>
  <c r="Q61" i="22"/>
  <c r="M146" i="24" s="1"/>
  <c r="T146" i="24" s="1"/>
  <c r="Q63" i="22"/>
  <c r="Q60" i="22"/>
  <c r="M144" i="24" s="1"/>
  <c r="T144" i="24" s="1"/>
  <c r="Q57" i="22"/>
  <c r="M149" i="24" s="1"/>
  <c r="T149" i="24" s="1"/>
  <c r="Q64" i="22"/>
  <c r="M150" i="24" s="1"/>
  <c r="T150" i="24" s="1"/>
  <c r="Q59" i="22"/>
  <c r="M145" i="24" s="1"/>
  <c r="T145" i="24" s="1"/>
  <c r="Q56" i="22"/>
  <c r="M148" i="24" s="1"/>
  <c r="T148" i="24" s="1"/>
  <c r="Q58" i="22"/>
  <c r="M142" i="24" s="1"/>
  <c r="Q62" i="22"/>
  <c r="M147" i="24" s="1"/>
  <c r="T147" i="24" s="1"/>
  <c r="G19" i="24" a="1"/>
  <c r="G19" i="24" s="1"/>
  <c r="J19" i="24" s="1"/>
  <c r="G63" i="24" a="1"/>
  <c r="G63" i="24" s="1"/>
  <c r="J63" i="24" s="1"/>
  <c r="G91" i="24" a="1"/>
  <c r="G91" i="24" s="1"/>
  <c r="G191" i="24" a="1"/>
  <c r="G191" i="24" s="1"/>
  <c r="J191" i="24" s="1"/>
  <c r="R64" i="22"/>
  <c r="M164" i="24" s="1"/>
  <c r="T164" i="24" s="1"/>
  <c r="R57" i="22"/>
  <c r="R63" i="22"/>
  <c r="M157" i="24" s="1"/>
  <c r="T157" i="24" s="1"/>
  <c r="R62" i="22"/>
  <c r="M161" i="24" s="1"/>
  <c r="T161" i="24" s="1"/>
  <c r="R58" i="22"/>
  <c r="M156" i="24" s="1"/>
  <c r="R61" i="22"/>
  <c r="M160" i="24" s="1"/>
  <c r="T160" i="24" s="1"/>
  <c r="R59" i="22"/>
  <c r="M159" i="24" s="1"/>
  <c r="T159" i="24" s="1"/>
  <c r="R60" i="22"/>
  <c r="M158" i="24" s="1"/>
  <c r="T158" i="24" s="1"/>
  <c r="R56" i="22"/>
  <c r="M162" i="24" s="1"/>
  <c r="T162" i="24" s="1"/>
  <c r="S58" i="22"/>
  <c r="M170" i="24" s="1"/>
  <c r="S62" i="22"/>
  <c r="M175" i="24" s="1"/>
  <c r="T175" i="24" s="1"/>
  <c r="S61" i="22"/>
  <c r="M174" i="24" s="1"/>
  <c r="T174" i="24" s="1"/>
  <c r="S56" i="22"/>
  <c r="M176" i="24" s="1"/>
  <c r="T176" i="24" s="1"/>
  <c r="S59" i="22"/>
  <c r="M173" i="24" s="1"/>
  <c r="T173" i="24" s="1"/>
  <c r="S60" i="22"/>
  <c r="M172" i="24" s="1"/>
  <c r="T172" i="24" s="1"/>
  <c r="S64" i="22"/>
  <c r="M178" i="24" s="1"/>
  <c r="T178" i="24" s="1"/>
  <c r="S63" i="22"/>
  <c r="S57" i="22"/>
  <c r="M177" i="24" s="1"/>
  <c r="T177" i="24" s="1"/>
  <c r="T58" i="22"/>
  <c r="M184" i="24" s="1"/>
  <c r="T64" i="22"/>
  <c r="M192" i="24" s="1"/>
  <c r="T192" i="24" s="1"/>
  <c r="T57" i="22"/>
  <c r="T59" i="22"/>
  <c r="M187" i="24" s="1"/>
  <c r="T187" i="24" s="1"/>
  <c r="T60" i="22"/>
  <c r="M186" i="24" s="1"/>
  <c r="T186" i="24" s="1"/>
  <c r="T61" i="22"/>
  <c r="M188" i="24" s="1"/>
  <c r="T188" i="24" s="1"/>
  <c r="T56" i="22"/>
  <c r="M190" i="24" s="1"/>
  <c r="T190" i="24" s="1"/>
  <c r="T62" i="22"/>
  <c r="M189" i="24" s="1"/>
  <c r="T189" i="24" s="1"/>
  <c r="T63" i="22"/>
  <c r="G21" i="24" a="1"/>
  <c r="G21" i="24" s="1"/>
  <c r="J21" i="24" s="1"/>
  <c r="G89" i="24" a="1"/>
  <c r="G89" i="24" s="1"/>
  <c r="J89" i="24" s="1"/>
  <c r="G105" i="24" a="1"/>
  <c r="G105" i="24" s="1"/>
  <c r="J105" i="24" s="1"/>
  <c r="G187" i="24" a="1"/>
  <c r="G187" i="24" s="1"/>
  <c r="J187" i="24" s="1"/>
  <c r="G103" i="24" a="1"/>
  <c r="G103" i="24" s="1"/>
  <c r="G117" i="24" a="1"/>
  <c r="G117" i="24" s="1"/>
  <c r="J117" i="24" s="1"/>
  <c r="G119" i="24" a="1"/>
  <c r="G119" i="24" s="1"/>
  <c r="G131" i="24" a="1"/>
  <c r="G131" i="24" s="1"/>
  <c r="J131" i="24" s="1"/>
  <c r="G161" i="24" a="1"/>
  <c r="G161" i="24" s="1"/>
  <c r="J161" i="24" s="1"/>
  <c r="G156" i="24" a="1"/>
  <c r="G156" i="24" s="1"/>
  <c r="G159" i="24" a="1"/>
  <c r="G159" i="24" s="1"/>
  <c r="G160" i="24" a="1"/>
  <c r="G160" i="24" s="1"/>
  <c r="G173" i="24" a="1"/>
  <c r="G173" i="24" s="1"/>
  <c r="J173" i="24" s="1"/>
  <c r="G170" i="24" a="1"/>
  <c r="G170" i="24" s="1"/>
  <c r="G175" i="24" a="1"/>
  <c r="G175" i="24" s="1"/>
  <c r="G189" i="24" a="1"/>
  <c r="G189" i="24" s="1"/>
  <c r="J189" i="24" s="1"/>
  <c r="G23" i="24" a="1"/>
  <c r="G23" i="24" s="1"/>
  <c r="J23" i="24" s="1"/>
  <c r="G61" i="24" a="1"/>
  <c r="G61" i="24" s="1"/>
  <c r="J61" i="24" s="1"/>
  <c r="G65" i="24" a="1"/>
  <c r="G65" i="24" s="1"/>
  <c r="J65" i="24" s="1"/>
  <c r="G133" i="24" a="1"/>
  <c r="G133" i="24" s="1"/>
  <c r="J133" i="24" s="1"/>
  <c r="G147" i="24" a="1"/>
  <c r="G147" i="24" s="1"/>
  <c r="G145" i="24" a="1"/>
  <c r="G145" i="24" s="1"/>
  <c r="J145" i="24" s="1"/>
  <c r="G142" i="24" a="1"/>
  <c r="G142" i="24" s="1"/>
  <c r="G177" i="24" a="1"/>
  <c r="G177" i="24" s="1"/>
  <c r="J177" i="24" s="1"/>
  <c r="G130" i="24" a="1"/>
  <c r="G130" i="24" s="1"/>
  <c r="G146" i="24" a="1"/>
  <c r="G146" i="24" s="1"/>
  <c r="G62" i="24" a="1"/>
  <c r="G62" i="24" s="1"/>
  <c r="G132" i="24" a="1"/>
  <c r="G132" i="24" s="1"/>
  <c r="G186" i="24" a="1"/>
  <c r="G186" i="24" s="1"/>
  <c r="J186" i="24" s="1"/>
  <c r="G60" i="24" a="1"/>
  <c r="G60" i="24" s="1"/>
  <c r="J60" i="24" s="1"/>
  <c r="G100" i="24" a="1"/>
  <c r="G100" i="24" s="1"/>
  <c r="G118" i="24" a="1"/>
  <c r="G118" i="24" s="1"/>
  <c r="G90" i="24" a="1"/>
  <c r="G90" i="24" s="1"/>
  <c r="G106" i="24" a="1"/>
  <c r="G106" i="24" s="1"/>
  <c r="J106" i="24" s="1"/>
  <c r="G86" i="24" a="1"/>
  <c r="G86" i="24" s="1"/>
  <c r="G162" i="24" a="1"/>
  <c r="G162" i="24" s="1"/>
  <c r="J162" i="24" s="1"/>
  <c r="G188" i="24" a="1"/>
  <c r="G188" i="24" s="1"/>
  <c r="G16" i="24" a="1"/>
  <c r="G16" i="24" s="1"/>
  <c r="G22" i="24" a="1"/>
  <c r="G22" i="24" s="1"/>
  <c r="G92" i="24" a="1"/>
  <c r="G92" i="24" s="1"/>
  <c r="G120" i="24" a="1"/>
  <c r="G120" i="24" s="1"/>
  <c r="G50" i="24" a="1"/>
  <c r="G50" i="24" s="1"/>
  <c r="G44" i="24" a="1"/>
  <c r="G44" i="24" s="1"/>
  <c r="G17" i="24" a="1"/>
  <c r="G17" i="24" s="1"/>
  <c r="J17" i="24" s="1"/>
  <c r="G18" i="24" a="1"/>
  <c r="G18" i="24" s="1"/>
  <c r="G46" i="24" a="1"/>
  <c r="G46" i="24" s="1"/>
  <c r="G20" i="24" a="1"/>
  <c r="G20" i="24" s="1"/>
  <c r="J20" i="24" s="1"/>
  <c r="G64" i="24" a="1"/>
  <c r="G64" i="24" s="1"/>
  <c r="G59" i="24" a="1"/>
  <c r="G59" i="24" s="1"/>
  <c r="J59" i="24" s="1"/>
  <c r="G58" i="24" a="1"/>
  <c r="G58" i="24" s="1"/>
  <c r="G88" i="24" a="1"/>
  <c r="G88" i="24" s="1"/>
  <c r="G102" i="24" a="1"/>
  <c r="G102" i="24" s="1"/>
  <c r="G104" i="24" a="1"/>
  <c r="G104" i="24" s="1"/>
  <c r="J104" i="24" s="1"/>
  <c r="G114" i="24" a="1"/>
  <c r="G114" i="24" s="1"/>
  <c r="G116" i="24" a="1"/>
  <c r="G116" i="24" s="1"/>
  <c r="G134" i="24" a="1"/>
  <c r="G134" i="24" s="1"/>
  <c r="J134" i="24" s="1"/>
  <c r="G128" i="24" a="1"/>
  <c r="G128" i="24" s="1"/>
  <c r="N12" i="10" s="1"/>
  <c r="G144" i="24" a="1"/>
  <c r="G144" i="24" s="1"/>
  <c r="G148" i="24" a="1"/>
  <c r="G148" i="24" s="1"/>
  <c r="G158" i="24" a="1"/>
  <c r="G158" i="24" s="1"/>
  <c r="G172" i="24" a="1"/>
  <c r="G172" i="24" s="1"/>
  <c r="G171" i="24" a="1"/>
  <c r="G171" i="24" s="1"/>
  <c r="G174" i="24" a="1"/>
  <c r="G174" i="24" s="1"/>
  <c r="J174" i="24" s="1"/>
  <c r="G176" i="24" a="1"/>
  <c r="G176" i="24" s="1"/>
  <c r="G184" i="24" a="1"/>
  <c r="G184" i="24" s="1"/>
  <c r="G185" i="24" a="1"/>
  <c r="G185" i="24" s="1"/>
  <c r="G190" i="24" a="1"/>
  <c r="G190" i="24" s="1"/>
  <c r="J190" i="24" s="1"/>
  <c r="G45" i="24" a="1"/>
  <c r="G45" i="24" s="1"/>
  <c r="J45" i="24" s="1"/>
  <c r="G51" i="24" a="1"/>
  <c r="G51" i="24" s="1"/>
  <c r="AC6" i="10"/>
  <c r="J49" i="24"/>
  <c r="G87" i="24" a="1"/>
  <c r="G87" i="24" s="1"/>
  <c r="J87" i="24" s="1"/>
  <c r="G93" i="24" a="1"/>
  <c r="G93" i="24" s="1"/>
  <c r="AC9" i="10"/>
  <c r="G101" i="24" a="1"/>
  <c r="G101" i="24" s="1"/>
  <c r="J101" i="24" s="1"/>
  <c r="G107" i="24" a="1"/>
  <c r="G107" i="24" s="1"/>
  <c r="G115" i="24" a="1"/>
  <c r="G115" i="24" s="1"/>
  <c r="J115" i="24" s="1"/>
  <c r="G121" i="24" a="1"/>
  <c r="G121" i="24" s="1"/>
  <c r="J121" i="24" s="1"/>
  <c r="G129" i="24" a="1"/>
  <c r="G129" i="24" s="1"/>
  <c r="J129" i="24" s="1"/>
  <c r="G135" i="24" a="1"/>
  <c r="G135" i="24" s="1"/>
  <c r="J135" i="24" s="1"/>
  <c r="G143" i="24" a="1"/>
  <c r="G143" i="24" s="1"/>
  <c r="J143" i="24" s="1"/>
  <c r="G149" i="24" a="1"/>
  <c r="G149" i="24" s="1"/>
  <c r="J149" i="24" s="1"/>
  <c r="G157" i="24" a="1"/>
  <c r="G157" i="24" s="1"/>
  <c r="J157" i="24" s="1"/>
  <c r="G163" i="24" a="1"/>
  <c r="G163" i="24" s="1"/>
  <c r="I14" i="10" s="1"/>
  <c r="S6" i="10"/>
  <c r="J47" i="24"/>
  <c r="J48" i="24"/>
  <c r="X8" i="10"/>
  <c r="AC19" i="10"/>
  <c r="I19" i="10"/>
  <c r="N19" i="10"/>
  <c r="I24" i="10"/>
  <c r="N27" i="10"/>
  <c r="AC27" i="10"/>
  <c r="I27" i="10"/>
  <c r="D27" i="10"/>
  <c r="I18" i="10"/>
  <c r="AC18" i="10"/>
  <c r="N18" i="10"/>
  <c r="D21" i="10"/>
  <c r="AC26" i="10"/>
  <c r="N26" i="10"/>
  <c r="D26" i="10"/>
  <c r="I26" i="10"/>
  <c r="I25" i="10"/>
  <c r="N25" i="10"/>
  <c r="AC25" i="10"/>
  <c r="D25" i="10"/>
  <c r="I23" i="10"/>
  <c r="I8" i="10"/>
  <c r="AC8" i="10"/>
  <c r="AC17" i="10"/>
  <c r="N17" i="10"/>
  <c r="I17" i="10"/>
  <c r="J2" i="24"/>
  <c r="K33" i="30"/>
  <c r="D8" i="30"/>
  <c r="D2" i="30"/>
  <c r="D1" i="30"/>
  <c r="F1" i="30" s="1"/>
  <c r="S29" i="10"/>
  <c r="M59" i="24" l="1"/>
  <c r="T59" i="24" s="1"/>
  <c r="M93" i="24"/>
  <c r="T93" i="24" s="1"/>
  <c r="M121" i="24"/>
  <c r="T121" i="24" s="1"/>
  <c r="M191" i="24"/>
  <c r="T191" i="24" s="1"/>
  <c r="M171" i="24"/>
  <c r="T171" i="24" s="1"/>
  <c r="M185" i="24"/>
  <c r="T185" i="24" s="1"/>
  <c r="M163" i="24"/>
  <c r="T163" i="24" s="1"/>
  <c r="M143" i="24"/>
  <c r="T143" i="24" s="1"/>
  <c r="M135" i="24"/>
  <c r="T135" i="24" s="1"/>
  <c r="M115" i="24"/>
  <c r="T115" i="24" s="1"/>
  <c r="M101" i="24"/>
  <c r="T101" i="24" s="1"/>
  <c r="M87" i="24"/>
  <c r="T87" i="24" s="1"/>
  <c r="M65" i="24"/>
  <c r="T65" i="24" s="1"/>
  <c r="M17" i="24"/>
  <c r="T17" i="24" s="1"/>
  <c r="AC7" i="10"/>
  <c r="AC10" i="10"/>
  <c r="S16" i="10"/>
  <c r="T100" i="24"/>
  <c r="T184" i="24"/>
  <c r="J91" i="24"/>
  <c r="S10" i="10"/>
  <c r="J103" i="24"/>
  <c r="T16" i="24"/>
  <c r="T58" i="24"/>
  <c r="T86" i="24"/>
  <c r="T142" i="24"/>
  <c r="T156" i="24"/>
  <c r="T170" i="24"/>
  <c r="I16" i="10"/>
  <c r="T114" i="24"/>
  <c r="T128" i="24"/>
  <c r="I15" i="10"/>
  <c r="S11" i="10"/>
  <c r="AC12" i="10"/>
  <c r="J156" i="24"/>
  <c r="S14" i="10"/>
  <c r="J159" i="24"/>
  <c r="J160" i="24"/>
  <c r="AC14" i="10"/>
  <c r="N14" i="10"/>
  <c r="J142" i="24"/>
  <c r="AC13" i="10"/>
  <c r="J147" i="24"/>
  <c r="N13" i="10"/>
  <c r="N11" i="10"/>
  <c r="N15" i="10"/>
  <c r="AC11" i="10"/>
  <c r="J119" i="24"/>
  <c r="AC15" i="10"/>
  <c r="J175" i="24"/>
  <c r="J170" i="24"/>
  <c r="AC16" i="10"/>
  <c r="I7" i="10"/>
  <c r="X12" i="10"/>
  <c r="J130" i="24"/>
  <c r="J146" i="24"/>
  <c r="J62" i="24"/>
  <c r="J132" i="24"/>
  <c r="X16" i="10"/>
  <c r="I12" i="10"/>
  <c r="I11" i="10"/>
  <c r="J100" i="24"/>
  <c r="N10" i="10"/>
  <c r="J118" i="24"/>
  <c r="N16" i="10"/>
  <c r="I13" i="10"/>
  <c r="J188" i="24"/>
  <c r="D14" i="10"/>
  <c r="D16" i="10"/>
  <c r="G197" i="24"/>
  <c r="J197" i="24" s="1"/>
  <c r="J90" i="24"/>
  <c r="J86" i="24"/>
  <c r="D10" i="10"/>
  <c r="J184" i="24"/>
  <c r="J185" i="24"/>
  <c r="D12" i="10"/>
  <c r="J128" i="24"/>
  <c r="N9" i="10"/>
  <c r="G141" i="24"/>
  <c r="J141" i="24" s="1"/>
  <c r="J16" i="24"/>
  <c r="N7" i="10"/>
  <c r="J22" i="24"/>
  <c r="D7" i="10"/>
  <c r="J92" i="24"/>
  <c r="D9" i="10"/>
  <c r="J120" i="24"/>
  <c r="D11" i="10"/>
  <c r="J171" i="24"/>
  <c r="G183" i="24"/>
  <c r="J183" i="24" s="1"/>
  <c r="J176" i="24"/>
  <c r="D15" i="10"/>
  <c r="G29" i="24"/>
  <c r="J29" i="24" s="1"/>
  <c r="J46" i="24"/>
  <c r="X6" i="10"/>
  <c r="J158" i="24"/>
  <c r="X14" i="10"/>
  <c r="J172" i="24"/>
  <c r="X15" i="10"/>
  <c r="J18" i="24"/>
  <c r="X7" i="10"/>
  <c r="J50" i="24"/>
  <c r="D6" i="10"/>
  <c r="N6" i="10"/>
  <c r="J44" i="24"/>
  <c r="G57" i="24"/>
  <c r="J57" i="24" s="1"/>
  <c r="J64" i="24"/>
  <c r="D8" i="10"/>
  <c r="N8" i="10"/>
  <c r="J58" i="24"/>
  <c r="G71" i="24"/>
  <c r="J71" i="24" s="1"/>
  <c r="J88" i="24"/>
  <c r="X9" i="10"/>
  <c r="G99" i="24"/>
  <c r="J99" i="24" s="1"/>
  <c r="J102" i="24"/>
  <c r="G113" i="24"/>
  <c r="J113" i="24" s="1"/>
  <c r="X10" i="10"/>
  <c r="J114" i="24"/>
  <c r="G127" i="24"/>
  <c r="J127" i="24" s="1"/>
  <c r="J116" i="24"/>
  <c r="X11" i="10"/>
  <c r="J144" i="24"/>
  <c r="X13" i="10"/>
  <c r="G155" i="24"/>
  <c r="J155" i="24" s="1"/>
  <c r="J148" i="24"/>
  <c r="D13" i="10"/>
  <c r="J51" i="24"/>
  <c r="I6" i="10"/>
  <c r="J93" i="24"/>
  <c r="I9" i="10"/>
  <c r="J107" i="24"/>
  <c r="I10" i="10"/>
  <c r="J163" i="24"/>
  <c r="G169" i="24"/>
  <c r="J169" i="24" s="1"/>
  <c r="U33" i="30"/>
  <c r="N29" i="10"/>
  <c r="I22" i="10"/>
  <c r="AC22" i="10"/>
  <c r="N22" i="10"/>
  <c r="S22" i="10"/>
  <c r="D22" i="10"/>
  <c r="S9" i="10"/>
  <c r="S19" i="10"/>
  <c r="AC24" i="10"/>
  <c r="S24" i="10"/>
  <c r="S27" i="10"/>
  <c r="S18" i="10"/>
  <c r="AC20" i="10"/>
  <c r="S26" i="10"/>
  <c r="S25" i="10"/>
  <c r="S23" i="10"/>
  <c r="N23" i="10"/>
  <c r="AC23" i="10"/>
  <c r="S7" i="10"/>
  <c r="S13" i="10"/>
  <c r="S8" i="10"/>
  <c r="S17" i="10"/>
  <c r="N24" i="10"/>
  <c r="D24" i="10"/>
  <c r="N21" i="10"/>
  <c r="I21" i="10"/>
  <c r="AC21" i="10"/>
  <c r="S21" i="10"/>
  <c r="N20" i="10"/>
  <c r="S20" i="10"/>
  <c r="D20" i="10"/>
  <c r="D23" i="10"/>
  <c r="S12" i="10"/>
  <c r="S15" i="10"/>
  <c r="I34" i="30"/>
  <c r="I54" i="30"/>
  <c r="E3" i="30"/>
  <c r="F2" i="30"/>
  <c r="M183" i="24" l="1"/>
  <c r="T183" i="24" s="1"/>
  <c r="M197" i="24"/>
  <c r="T197" i="24" s="1"/>
  <c r="M127" i="24"/>
  <c r="T127" i="24" s="1"/>
  <c r="M141" i="24"/>
  <c r="T141" i="24" s="1"/>
  <c r="M155" i="24"/>
  <c r="T155" i="24" s="1"/>
  <c r="M29" i="24"/>
  <c r="T29" i="24" s="1"/>
  <c r="M169" i="24"/>
  <c r="T169" i="24" s="1"/>
  <c r="M71" i="24"/>
  <c r="T71" i="24" s="1"/>
  <c r="M99" i="24"/>
  <c r="T99" i="24" s="1"/>
  <c r="M113" i="24"/>
  <c r="T113" i="24" s="1"/>
  <c r="J23" i="30"/>
  <c r="J29" i="30"/>
  <c r="J24" i="30"/>
  <c r="J26" i="30"/>
  <c r="J30" i="30"/>
  <c r="J25" i="30"/>
  <c r="J28" i="30"/>
  <c r="J32" i="30"/>
  <c r="J27" i="30"/>
  <c r="J31" i="30"/>
  <c r="I29" i="10"/>
  <c r="D45" i="10"/>
  <c r="D29" i="10"/>
  <c r="H18" i="27"/>
  <c r="G18" i="27"/>
  <c r="F18" i="27"/>
  <c r="D18" i="27"/>
  <c r="C18" i="27"/>
  <c r="I7" i="27"/>
  <c r="I8" i="27"/>
  <c r="I9" i="27"/>
  <c r="I10" i="27"/>
  <c r="I11" i="27"/>
  <c r="I12" i="27"/>
  <c r="I13" i="27"/>
  <c r="I14" i="27"/>
  <c r="I15" i="27"/>
  <c r="I16" i="27"/>
  <c r="I17" i="27"/>
  <c r="I6" i="27"/>
  <c r="E7" i="27"/>
  <c r="E8" i="27"/>
  <c r="E9" i="27"/>
  <c r="E10" i="27"/>
  <c r="E11" i="27"/>
  <c r="E12" i="27"/>
  <c r="E13" i="27"/>
  <c r="E14" i="27"/>
  <c r="E15" i="27"/>
  <c r="E16" i="27"/>
  <c r="E17" i="27"/>
  <c r="E6" i="27"/>
  <c r="AO7" i="27"/>
  <c r="AN7" i="27"/>
  <c r="AO6" i="27"/>
  <c r="AN6" i="27"/>
  <c r="AO5" i="27"/>
  <c r="AN5" i="27"/>
  <c r="X3" i="27"/>
  <c r="AQ6" i="27" l="1"/>
  <c r="AQ7" i="27"/>
  <c r="AQ5" i="27"/>
  <c r="AP5" i="27"/>
  <c r="AP6" i="27"/>
  <c r="AP7" i="27"/>
  <c r="I18" i="27"/>
  <c r="E18" i="27"/>
  <c r="AN16" i="27"/>
  <c r="AO16" i="27"/>
  <c r="AP16" i="27" l="1"/>
  <c r="AA33" i="30"/>
  <c r="AD33" i="30"/>
  <c r="AQ16" i="27"/>
  <c r="X33" i="30" l="1"/>
  <c r="AG33" i="30"/>
  <c r="H1" i="27" l="1"/>
  <c r="J1" i="27" s="1"/>
  <c r="I422" i="24" l="1"/>
  <c r="L422" i="24" s="1"/>
  <c r="I424" i="24"/>
  <c r="L424" i="24" s="1"/>
  <c r="I428" i="24"/>
  <c r="L428" i="24" s="1"/>
  <c r="I433" i="24"/>
  <c r="L433" i="24" s="1"/>
  <c r="I429" i="24"/>
  <c r="L429" i="24" s="1"/>
  <c r="I431" i="24"/>
  <c r="L431" i="24" s="1"/>
  <c r="I423" i="24"/>
  <c r="L423" i="24" s="1"/>
  <c r="I427" i="24"/>
  <c r="L427" i="24" s="1"/>
  <c r="I434" i="24"/>
  <c r="L434" i="24" s="1"/>
  <c r="I430" i="24"/>
  <c r="L430" i="24" s="1"/>
  <c r="I425" i="24"/>
  <c r="L425" i="24" s="1"/>
  <c r="I432" i="24"/>
  <c r="L432" i="24" s="1"/>
  <c r="I426" i="24"/>
  <c r="L426" i="24" s="1"/>
  <c r="I408" i="24"/>
  <c r="L408" i="24" s="1"/>
  <c r="I411" i="24"/>
  <c r="L411" i="24" s="1"/>
  <c r="I415" i="24"/>
  <c r="L415" i="24" s="1"/>
  <c r="I412" i="24"/>
  <c r="L412" i="24" s="1"/>
  <c r="I416" i="24"/>
  <c r="L416" i="24" s="1"/>
  <c r="I419" i="24"/>
  <c r="L419" i="24" s="1"/>
  <c r="I414" i="24"/>
  <c r="L414" i="24" s="1"/>
  <c r="I418" i="24"/>
  <c r="L418" i="24" s="1"/>
  <c r="I417" i="24"/>
  <c r="L417" i="24" s="1"/>
  <c r="I420" i="24"/>
  <c r="L420" i="24" s="1"/>
  <c r="I410" i="24"/>
  <c r="L410" i="24" s="1"/>
  <c r="I409" i="24"/>
  <c r="L409" i="24" s="1"/>
  <c r="I413" i="24"/>
  <c r="L413" i="24" s="1"/>
  <c r="I405" i="24"/>
  <c r="L405" i="24" s="1"/>
  <c r="I406" i="24"/>
  <c r="L406" i="24" s="1"/>
  <c r="I404" i="24"/>
  <c r="L404" i="24" s="1"/>
  <c r="I401" i="24"/>
  <c r="L401" i="24" s="1"/>
  <c r="I402" i="24"/>
  <c r="L402" i="24" s="1"/>
  <c r="I399" i="24"/>
  <c r="L399" i="24" s="1"/>
  <c r="I397" i="24"/>
  <c r="L397" i="24" s="1"/>
  <c r="I398" i="24"/>
  <c r="L398" i="24" s="1"/>
  <c r="I400" i="24"/>
  <c r="L400" i="24" s="1"/>
  <c r="I154" i="24"/>
  <c r="L154" i="24" s="1"/>
  <c r="I391" i="24"/>
  <c r="L391" i="24" s="1"/>
  <c r="I390" i="24"/>
  <c r="L390" i="24" s="1"/>
  <c r="I389" i="24"/>
  <c r="L389" i="24" s="1"/>
  <c r="I388" i="24"/>
  <c r="L388" i="24" s="1"/>
  <c r="I387" i="24"/>
  <c r="L387" i="24" s="1"/>
  <c r="I386" i="24"/>
  <c r="L386" i="24" s="1"/>
  <c r="I385" i="24"/>
  <c r="L385" i="24" s="1"/>
  <c r="I384" i="24"/>
  <c r="L384" i="24" s="1"/>
  <c r="I383" i="24"/>
  <c r="L383" i="24" s="1"/>
  <c r="I382" i="24"/>
  <c r="L382" i="24" s="1"/>
  <c r="I381" i="24"/>
  <c r="L381" i="24" s="1"/>
  <c r="I378" i="24"/>
  <c r="L378" i="24" s="1"/>
  <c r="I377" i="24"/>
  <c r="L377" i="24" s="1"/>
  <c r="I376" i="24"/>
  <c r="L376" i="24" s="1"/>
  <c r="I375" i="24"/>
  <c r="L375" i="24" s="1"/>
  <c r="I374" i="24"/>
  <c r="L374" i="24" s="1"/>
  <c r="I373" i="24"/>
  <c r="L373" i="24" s="1"/>
  <c r="I372" i="24"/>
  <c r="L372" i="24" s="1"/>
  <c r="I371" i="24"/>
  <c r="L371" i="24" s="1"/>
  <c r="I370" i="24"/>
  <c r="L370" i="24" s="1"/>
  <c r="I369" i="24"/>
  <c r="L369" i="24" s="1"/>
  <c r="I368" i="24"/>
  <c r="L368" i="24" s="1"/>
  <c r="I367" i="24"/>
  <c r="L367" i="24" s="1"/>
  <c r="I364" i="24"/>
  <c r="L364" i="24" s="1"/>
  <c r="I363" i="24"/>
  <c r="L363" i="24" s="1"/>
  <c r="I361" i="24"/>
  <c r="L361" i="24" s="1"/>
  <c r="I357" i="24"/>
  <c r="L357" i="24" s="1"/>
  <c r="I342" i="24"/>
  <c r="L342" i="24" s="1"/>
  <c r="I341" i="24"/>
  <c r="L341" i="24" s="1"/>
  <c r="I298" i="24"/>
  <c r="L298" i="24" s="1"/>
  <c r="I294" i="24"/>
  <c r="L294" i="24" s="1"/>
  <c r="I293" i="24"/>
  <c r="L293" i="24" s="1"/>
  <c r="I291" i="24"/>
  <c r="L291" i="24" s="1"/>
  <c r="I290" i="24"/>
  <c r="L290" i="24" s="1"/>
  <c r="I289" i="24"/>
  <c r="L289" i="24" s="1"/>
  <c r="I288" i="24"/>
  <c r="L288" i="24" s="1"/>
  <c r="I287" i="24"/>
  <c r="L287" i="24" s="1"/>
  <c r="I286" i="24"/>
  <c r="L286" i="24" s="1"/>
  <c r="I285" i="24"/>
  <c r="L285" i="24" s="1"/>
  <c r="I284" i="24"/>
  <c r="L284" i="24" s="1"/>
  <c r="I283" i="24"/>
  <c r="L283" i="24" s="1"/>
  <c r="I280" i="24"/>
  <c r="L280" i="24" s="1"/>
  <c r="I279" i="24"/>
  <c r="L279" i="24" s="1"/>
  <c r="I278" i="24"/>
  <c r="L278" i="24" s="1"/>
  <c r="I277" i="24"/>
  <c r="L277" i="24" s="1"/>
  <c r="I276" i="24"/>
  <c r="L276" i="24" s="1"/>
  <c r="I275" i="24"/>
  <c r="L275" i="24" s="1"/>
  <c r="I274" i="24"/>
  <c r="L274" i="24" s="1"/>
  <c r="I273" i="24"/>
  <c r="L273" i="24" s="1"/>
  <c r="I272" i="24"/>
  <c r="L272" i="24" s="1"/>
  <c r="I271" i="24"/>
  <c r="L271" i="24" s="1"/>
  <c r="I270" i="24"/>
  <c r="L270" i="24" s="1"/>
  <c r="I269" i="24"/>
  <c r="L269" i="24" s="1"/>
  <c r="I266" i="24"/>
  <c r="L266" i="24" s="1"/>
  <c r="I265" i="24"/>
  <c r="L265" i="24" s="1"/>
  <c r="I264" i="24"/>
  <c r="L264" i="24" s="1"/>
  <c r="I263" i="24"/>
  <c r="L263" i="24" s="1"/>
  <c r="I262" i="24"/>
  <c r="L262" i="24" s="1"/>
  <c r="I261" i="24"/>
  <c r="L261" i="24" s="1"/>
  <c r="I260" i="24"/>
  <c r="L260" i="24" s="1"/>
  <c r="I259" i="24"/>
  <c r="L259" i="24" s="1"/>
  <c r="I258" i="24"/>
  <c r="L258" i="24" s="1"/>
  <c r="I257" i="24"/>
  <c r="L257" i="24" s="1"/>
  <c r="I256" i="24"/>
  <c r="L256" i="24" s="1"/>
  <c r="I255" i="24"/>
  <c r="L255" i="24" s="1"/>
  <c r="I252" i="24"/>
  <c r="L252" i="24" s="1"/>
  <c r="T19" i="28" s="1"/>
  <c r="I251" i="24"/>
  <c r="L251" i="24" s="1"/>
  <c r="I250" i="24"/>
  <c r="L250" i="24" s="1"/>
  <c r="I249" i="24"/>
  <c r="L249" i="24" s="1"/>
  <c r="I248" i="24"/>
  <c r="L248" i="24" s="1"/>
  <c r="I247" i="24"/>
  <c r="L247" i="24" s="1"/>
  <c r="I246" i="24"/>
  <c r="L246" i="24" s="1"/>
  <c r="I245" i="24"/>
  <c r="L245" i="24" s="1"/>
  <c r="T12" i="28" s="1"/>
  <c r="I244" i="24"/>
  <c r="L244" i="24" s="1"/>
  <c r="I243" i="24"/>
  <c r="L243" i="24" s="1"/>
  <c r="T9" i="28" s="1"/>
  <c r="I238" i="24"/>
  <c r="L238" i="24" s="1"/>
  <c r="I237" i="24"/>
  <c r="L237" i="24" s="1"/>
  <c r="I236" i="24"/>
  <c r="L236" i="24" s="1"/>
  <c r="I235" i="24"/>
  <c r="L235" i="24" s="1"/>
  <c r="I234" i="24"/>
  <c r="L234" i="24" s="1"/>
  <c r="I233" i="24"/>
  <c r="L233" i="24" s="1"/>
  <c r="I232" i="24"/>
  <c r="L232" i="24" s="1"/>
  <c r="I231" i="24"/>
  <c r="L231" i="24" s="1"/>
  <c r="I230" i="24"/>
  <c r="L230" i="24" s="1"/>
  <c r="I229" i="24"/>
  <c r="L229" i="24" s="1"/>
  <c r="I228" i="24"/>
  <c r="L228" i="24" s="1"/>
  <c r="I242" i="24"/>
  <c r="L242" i="24" s="1"/>
  <c r="I241" i="24"/>
  <c r="L241" i="24" s="1"/>
  <c r="I227" i="24"/>
  <c r="L227" i="24" s="1"/>
  <c r="I224" i="24"/>
  <c r="L224" i="24" s="1"/>
  <c r="S19" i="28" s="1"/>
  <c r="I223" i="24"/>
  <c r="L223" i="24" s="1"/>
  <c r="S18" i="28" s="1"/>
  <c r="I222" i="24"/>
  <c r="L222" i="24" s="1"/>
  <c r="S17" i="28" s="1"/>
  <c r="I221" i="24"/>
  <c r="L221" i="24" s="1"/>
  <c r="I220" i="24"/>
  <c r="L220" i="24" s="1"/>
  <c r="I219" i="24"/>
  <c r="L219" i="24" s="1"/>
  <c r="I218" i="24"/>
  <c r="L218" i="24" s="1"/>
  <c r="I217" i="24"/>
  <c r="L217" i="24" s="1"/>
  <c r="S12" i="28" s="1"/>
  <c r="I216" i="24"/>
  <c r="L216" i="24" s="1"/>
  <c r="I215" i="24"/>
  <c r="L215" i="24" s="1"/>
  <c r="S9" i="28" s="1"/>
  <c r="I214" i="24"/>
  <c r="L214" i="24" s="1"/>
  <c r="I213" i="24"/>
  <c r="L213" i="24" s="1"/>
  <c r="I210" i="24"/>
  <c r="L210" i="24" s="1"/>
  <c r="R19" i="28" s="1"/>
  <c r="I209" i="24"/>
  <c r="L209" i="24" s="1"/>
  <c r="R18" i="28" s="1"/>
  <c r="I208" i="24"/>
  <c r="L208" i="24" s="1"/>
  <c r="R17" i="28" s="1"/>
  <c r="I207" i="24"/>
  <c r="L207" i="24" s="1"/>
  <c r="I206" i="24"/>
  <c r="L206" i="24" s="1"/>
  <c r="I205" i="24"/>
  <c r="L205" i="24" s="1"/>
  <c r="I204" i="24"/>
  <c r="L204" i="24" s="1"/>
  <c r="I203" i="24"/>
  <c r="L203" i="24" s="1"/>
  <c r="R12" i="28" s="1"/>
  <c r="I202" i="24"/>
  <c r="L202" i="24" s="1"/>
  <c r="I201" i="24"/>
  <c r="L201" i="24" s="1"/>
  <c r="R9" i="28" s="1"/>
  <c r="I200" i="24"/>
  <c r="L200" i="24" s="1"/>
  <c r="I199" i="24"/>
  <c r="L199" i="24" s="1"/>
  <c r="I196" i="24"/>
  <c r="L196" i="24" s="1"/>
  <c r="I195" i="24"/>
  <c r="L195" i="24" s="1"/>
  <c r="I194" i="24"/>
  <c r="L194" i="24" s="1"/>
  <c r="I193" i="24"/>
  <c r="L193" i="24" s="1"/>
  <c r="I192" i="24"/>
  <c r="L192" i="24" s="1"/>
  <c r="I137" i="24"/>
  <c r="L137" i="24" s="1"/>
  <c r="I136" i="24"/>
  <c r="L136" i="24" s="1"/>
  <c r="I135" i="24"/>
  <c r="L135" i="24" s="1"/>
  <c r="I134" i="24"/>
  <c r="L134" i="24" s="1"/>
  <c r="I133" i="24"/>
  <c r="L133" i="24" s="1"/>
  <c r="I132" i="24"/>
  <c r="L132" i="24" s="1"/>
  <c r="I131" i="24"/>
  <c r="L131" i="24" s="1"/>
  <c r="I130" i="24"/>
  <c r="L130" i="24" s="1"/>
  <c r="I129" i="24"/>
  <c r="L129" i="24" s="1"/>
  <c r="I126" i="24"/>
  <c r="L126" i="24" s="1"/>
  <c r="I111" i="24"/>
  <c r="L111" i="24" s="1"/>
  <c r="I110" i="24"/>
  <c r="L110" i="24" s="1"/>
  <c r="I109" i="24"/>
  <c r="L109" i="24" s="1"/>
  <c r="I108" i="24"/>
  <c r="L108" i="24" s="1"/>
  <c r="I107" i="24"/>
  <c r="L107" i="24" s="1"/>
  <c r="I106" i="24"/>
  <c r="L106" i="24" s="1"/>
  <c r="I105" i="24"/>
  <c r="L105" i="24" s="1"/>
  <c r="I104" i="24"/>
  <c r="L104" i="24" s="1"/>
  <c r="I103" i="24"/>
  <c r="L103" i="24" s="1"/>
  <c r="I102" i="24"/>
  <c r="L102" i="24" s="1"/>
  <c r="I101" i="24"/>
  <c r="L101" i="24" s="1"/>
  <c r="I98" i="24"/>
  <c r="L98" i="24" s="1"/>
  <c r="I301" i="24"/>
  <c r="L301" i="24" s="1"/>
  <c r="I297" i="24"/>
  <c r="L297" i="24" s="1"/>
  <c r="I292" i="24"/>
  <c r="L292" i="24" s="1"/>
  <c r="I191" i="24"/>
  <c r="L191" i="24" s="1"/>
  <c r="I190" i="24"/>
  <c r="L190" i="24" s="1"/>
  <c r="I189" i="24"/>
  <c r="L189" i="24" s="1"/>
  <c r="I188" i="24"/>
  <c r="L188" i="24" s="1"/>
  <c r="I187" i="24"/>
  <c r="L187" i="24" s="1"/>
  <c r="I186" i="24"/>
  <c r="L186" i="24" s="1"/>
  <c r="I185" i="24"/>
  <c r="L185" i="24" s="1"/>
  <c r="I182" i="24"/>
  <c r="L182" i="24" s="1"/>
  <c r="I181" i="24"/>
  <c r="L181" i="24" s="1"/>
  <c r="I180" i="24"/>
  <c r="L180" i="24" s="1"/>
  <c r="I179" i="24"/>
  <c r="L179" i="24" s="1"/>
  <c r="I178" i="24"/>
  <c r="L178" i="24" s="1"/>
  <c r="I177" i="24"/>
  <c r="L177" i="24" s="1"/>
  <c r="I176" i="24"/>
  <c r="L176" i="24" s="1"/>
  <c r="I175" i="24"/>
  <c r="L175" i="24" s="1"/>
  <c r="I174" i="24"/>
  <c r="L174" i="24" s="1"/>
  <c r="I173" i="24"/>
  <c r="L173" i="24" s="1"/>
  <c r="I172" i="24"/>
  <c r="L172" i="24" s="1"/>
  <c r="I171" i="24"/>
  <c r="L171" i="24" s="1"/>
  <c r="I168" i="24"/>
  <c r="L168" i="24" s="1"/>
  <c r="I167" i="24"/>
  <c r="L167" i="24" s="1"/>
  <c r="I166" i="24"/>
  <c r="L166" i="24" s="1"/>
  <c r="I165" i="24"/>
  <c r="L165" i="24" s="1"/>
  <c r="I164" i="24"/>
  <c r="L164" i="24" s="1"/>
  <c r="I163" i="24"/>
  <c r="L163" i="24" s="1"/>
  <c r="I162" i="24"/>
  <c r="L162" i="24" s="1"/>
  <c r="I161" i="24"/>
  <c r="L161" i="24" s="1"/>
  <c r="I160" i="24"/>
  <c r="L160" i="24" s="1"/>
  <c r="I159" i="24"/>
  <c r="L159" i="24" s="1"/>
  <c r="I158" i="24"/>
  <c r="L158" i="24" s="1"/>
  <c r="I157" i="24"/>
  <c r="L157" i="24" s="1"/>
  <c r="I392" i="24"/>
  <c r="L392" i="24" s="1"/>
  <c r="I153" i="24"/>
  <c r="L153" i="24" s="1"/>
  <c r="I152" i="24"/>
  <c r="L152" i="24" s="1"/>
  <c r="I151" i="24"/>
  <c r="L151" i="24" s="1"/>
  <c r="I150" i="24"/>
  <c r="L150" i="24" s="1"/>
  <c r="I149" i="24"/>
  <c r="L149" i="24" s="1"/>
  <c r="I148" i="24"/>
  <c r="L148" i="24" s="1"/>
  <c r="I147" i="24"/>
  <c r="L147" i="24" s="1"/>
  <c r="I146" i="24"/>
  <c r="L146" i="24" s="1"/>
  <c r="I145" i="24"/>
  <c r="L145" i="24" s="1"/>
  <c r="I144" i="24"/>
  <c r="L144" i="24" s="1"/>
  <c r="I143" i="24"/>
  <c r="L143" i="24" s="1"/>
  <c r="I138" i="24"/>
  <c r="L138" i="24" s="1"/>
  <c r="I125" i="24"/>
  <c r="L125" i="24" s="1"/>
  <c r="I124" i="24"/>
  <c r="L124" i="24" s="1"/>
  <c r="I123" i="24"/>
  <c r="L123" i="24" s="1"/>
  <c r="I122" i="24"/>
  <c r="L122" i="24" s="1"/>
  <c r="I121" i="24"/>
  <c r="L121" i="24" s="1"/>
  <c r="I120" i="24"/>
  <c r="L120" i="24" s="1"/>
  <c r="I119" i="24"/>
  <c r="L119" i="24" s="1"/>
  <c r="I118" i="24"/>
  <c r="L118" i="24" s="1"/>
  <c r="I117" i="24"/>
  <c r="L117" i="24" s="1"/>
  <c r="I116" i="24"/>
  <c r="L116" i="24" s="1"/>
  <c r="I115" i="24"/>
  <c r="L115" i="24" s="1"/>
  <c r="I112" i="24"/>
  <c r="L112" i="24" s="1"/>
  <c r="I97" i="24"/>
  <c r="L97" i="24" s="1"/>
  <c r="I96" i="24"/>
  <c r="L96" i="24" s="1"/>
  <c r="I95" i="24"/>
  <c r="L95" i="24" s="1"/>
  <c r="I94" i="24"/>
  <c r="L94" i="24" s="1"/>
  <c r="I93" i="24"/>
  <c r="L93" i="24" s="1"/>
  <c r="I92" i="24"/>
  <c r="L92" i="24" s="1"/>
  <c r="I91" i="24"/>
  <c r="L91" i="24" s="1"/>
  <c r="I303" i="24"/>
  <c r="L303" i="24" s="1"/>
  <c r="I302" i="24"/>
  <c r="L302" i="24" s="1"/>
  <c r="I300" i="24"/>
  <c r="L300" i="24" s="1"/>
  <c r="I140" i="24"/>
  <c r="L140" i="24" s="1"/>
  <c r="I139" i="24"/>
  <c r="L139" i="24" s="1"/>
  <c r="I90" i="24"/>
  <c r="L90" i="24" s="1"/>
  <c r="I89" i="24"/>
  <c r="L89" i="24" s="1"/>
  <c r="I88" i="24"/>
  <c r="L88" i="24" s="1"/>
  <c r="I87" i="24"/>
  <c r="L87" i="24" s="1"/>
  <c r="I84" i="24"/>
  <c r="L84" i="24" s="1"/>
  <c r="I83" i="24"/>
  <c r="L83" i="24" s="1"/>
  <c r="I82" i="24"/>
  <c r="L82" i="24" s="1"/>
  <c r="I81" i="24"/>
  <c r="L81" i="24" s="1"/>
  <c r="I80" i="24"/>
  <c r="L80" i="24" s="1"/>
  <c r="I79" i="24"/>
  <c r="L79" i="24" s="1"/>
  <c r="I78" i="24"/>
  <c r="L78" i="24" s="1"/>
  <c r="I77" i="24"/>
  <c r="L77" i="24" s="1"/>
  <c r="I76" i="24"/>
  <c r="L76" i="24" s="1"/>
  <c r="I75" i="24"/>
  <c r="L75" i="24" s="1"/>
  <c r="I74" i="24"/>
  <c r="L74" i="24" s="1"/>
  <c r="I73" i="24"/>
  <c r="L73" i="24" s="1"/>
  <c r="I70" i="24"/>
  <c r="L70" i="24" s="1"/>
  <c r="I69" i="24"/>
  <c r="L69" i="24" s="1"/>
  <c r="I68" i="24"/>
  <c r="L68" i="24" s="1"/>
  <c r="I67" i="24"/>
  <c r="L67" i="24" s="1"/>
  <c r="I66" i="24"/>
  <c r="L66" i="24" s="1"/>
  <c r="I65" i="24"/>
  <c r="L65" i="24" s="1"/>
  <c r="I64" i="24"/>
  <c r="L64" i="24" s="1"/>
  <c r="I63" i="24"/>
  <c r="L63" i="24" s="1"/>
  <c r="I62" i="24"/>
  <c r="L62" i="24" s="1"/>
  <c r="I61" i="24"/>
  <c r="L61" i="24" s="1"/>
  <c r="I60" i="24"/>
  <c r="L60" i="24" s="1"/>
  <c r="I59" i="24"/>
  <c r="L59" i="24" s="1"/>
  <c r="I56" i="24"/>
  <c r="L56" i="24" s="1"/>
  <c r="I55" i="24"/>
  <c r="L55" i="24" s="1"/>
  <c r="I54" i="24"/>
  <c r="L54" i="24" s="1"/>
  <c r="I53" i="24"/>
  <c r="L53" i="24" s="1"/>
  <c r="I52" i="24"/>
  <c r="L52" i="24" s="1"/>
  <c r="I51" i="24"/>
  <c r="L51" i="24" s="1"/>
  <c r="I50" i="24"/>
  <c r="L50" i="24" s="1"/>
  <c r="I49" i="24"/>
  <c r="L49" i="24" s="1"/>
  <c r="I48" i="24"/>
  <c r="L48" i="24" s="1"/>
  <c r="I47" i="24"/>
  <c r="L47" i="24" s="1"/>
  <c r="I46" i="24"/>
  <c r="L46" i="24" s="1"/>
  <c r="I45" i="24"/>
  <c r="L45" i="24" s="1"/>
  <c r="I42" i="24"/>
  <c r="L42" i="24" s="1"/>
  <c r="I41" i="24"/>
  <c r="L41" i="24" s="1"/>
  <c r="I40" i="24"/>
  <c r="L40" i="24" s="1"/>
  <c r="I356" i="24"/>
  <c r="L356" i="24" s="1"/>
  <c r="I355" i="24"/>
  <c r="L355" i="24" s="1"/>
  <c r="I354" i="24"/>
  <c r="L354" i="24" s="1"/>
  <c r="I353" i="24"/>
  <c r="L353" i="24" s="1"/>
  <c r="I350" i="24"/>
  <c r="L350" i="24" s="1"/>
  <c r="I349" i="24"/>
  <c r="L349" i="24" s="1"/>
  <c r="I348" i="24"/>
  <c r="L348" i="24" s="1"/>
  <c r="I347" i="24"/>
  <c r="L347" i="24" s="1"/>
  <c r="I346" i="24"/>
  <c r="L346" i="24" s="1"/>
  <c r="I345" i="24"/>
  <c r="L345" i="24" s="1"/>
  <c r="I344" i="24"/>
  <c r="L344" i="24" s="1"/>
  <c r="I343" i="24"/>
  <c r="L343" i="24" s="1"/>
  <c r="I340" i="24"/>
  <c r="L340" i="24" s="1"/>
  <c r="I339" i="24"/>
  <c r="L339" i="24" s="1"/>
  <c r="I336" i="24"/>
  <c r="L336" i="24" s="1"/>
  <c r="I335" i="24"/>
  <c r="L335" i="24" s="1"/>
  <c r="V18" i="28" s="1"/>
  <c r="I334" i="24"/>
  <c r="L334" i="24" s="1"/>
  <c r="V17" i="28" s="1"/>
  <c r="I333" i="24"/>
  <c r="L333" i="24" s="1"/>
  <c r="V16" i="28" s="1"/>
  <c r="I332" i="24"/>
  <c r="L332" i="24" s="1"/>
  <c r="I331" i="24"/>
  <c r="L331" i="24" s="1"/>
  <c r="I330" i="24"/>
  <c r="L330" i="24" s="1"/>
  <c r="I329" i="24"/>
  <c r="L329" i="24" s="1"/>
  <c r="V12" i="28" s="1"/>
  <c r="I328" i="24"/>
  <c r="L328" i="24" s="1"/>
  <c r="I327" i="24"/>
  <c r="L327" i="24" s="1"/>
  <c r="I326" i="24"/>
  <c r="L326" i="24" s="1"/>
  <c r="I325" i="24"/>
  <c r="L325" i="24" s="1"/>
  <c r="I322" i="24"/>
  <c r="L322" i="24" s="1"/>
  <c r="I321" i="24"/>
  <c r="L321" i="24" s="1"/>
  <c r="I320" i="24"/>
  <c r="L320" i="24" s="1"/>
  <c r="I319" i="24"/>
  <c r="L319" i="24" s="1"/>
  <c r="I318" i="24"/>
  <c r="L318" i="24" s="1"/>
  <c r="I317" i="24"/>
  <c r="L317" i="24" s="1"/>
  <c r="I316" i="24"/>
  <c r="L316" i="24" s="1"/>
  <c r="I315" i="24"/>
  <c r="L315" i="24" s="1"/>
  <c r="I314" i="24"/>
  <c r="L314" i="24" s="1"/>
  <c r="I313" i="24"/>
  <c r="L313" i="24" s="1"/>
  <c r="I312" i="24"/>
  <c r="L312" i="24" s="1"/>
  <c r="I311" i="24"/>
  <c r="L311" i="24" s="1"/>
  <c r="I308" i="24"/>
  <c r="L308" i="24" s="1"/>
  <c r="I307" i="24"/>
  <c r="L307" i="24" s="1"/>
  <c r="I306" i="24"/>
  <c r="L306" i="24" s="1"/>
  <c r="I305" i="24"/>
  <c r="L305" i="24" s="1"/>
  <c r="I304" i="24"/>
  <c r="L304" i="24" s="1"/>
  <c r="I299" i="24"/>
  <c r="L299" i="24" s="1"/>
  <c r="I39" i="24"/>
  <c r="L39" i="24" s="1"/>
  <c r="I38" i="24"/>
  <c r="L38" i="24" s="1"/>
  <c r="I37" i="24"/>
  <c r="L37" i="24" s="1"/>
  <c r="I36" i="24"/>
  <c r="L36" i="24" s="1"/>
  <c r="I35" i="24"/>
  <c r="L35" i="24" s="1"/>
  <c r="I34" i="24"/>
  <c r="L34" i="24" s="1"/>
  <c r="I33" i="24"/>
  <c r="L33" i="24" s="1"/>
  <c r="I32" i="24"/>
  <c r="L32" i="24" s="1"/>
  <c r="I31" i="24"/>
  <c r="L31" i="24" s="1"/>
  <c r="I28" i="24"/>
  <c r="L28" i="24" s="1"/>
  <c r="I27" i="24"/>
  <c r="L27" i="24" s="1"/>
  <c r="I26" i="24"/>
  <c r="L26" i="24" s="1"/>
  <c r="I25" i="24"/>
  <c r="L25" i="24" s="1"/>
  <c r="I24" i="24"/>
  <c r="L24" i="24" s="1"/>
  <c r="I23" i="24"/>
  <c r="L23" i="24" s="1"/>
  <c r="I22" i="24"/>
  <c r="L22" i="24" s="1"/>
  <c r="I21" i="24"/>
  <c r="L21" i="24" s="1"/>
  <c r="I20" i="24"/>
  <c r="L20" i="24" s="1"/>
  <c r="I19" i="24"/>
  <c r="L19" i="24" s="1"/>
  <c r="I18" i="24"/>
  <c r="L18" i="24" s="1"/>
  <c r="I17" i="24"/>
  <c r="L17" i="24" s="1"/>
  <c r="I362" i="24"/>
  <c r="L362" i="24" s="1"/>
  <c r="I360" i="24"/>
  <c r="L360" i="24" s="1"/>
  <c r="I359" i="24"/>
  <c r="L359" i="24" s="1"/>
  <c r="I358" i="24"/>
  <c r="L358" i="24" s="1"/>
  <c r="I380" i="24"/>
  <c r="I366" i="24"/>
  <c r="I268" i="24"/>
  <c r="I240" i="24"/>
  <c r="I212" i="24"/>
  <c r="I170" i="24"/>
  <c r="I114" i="24"/>
  <c r="I100" i="24"/>
  <c r="I86" i="24"/>
  <c r="I72" i="24"/>
  <c r="I58" i="24"/>
  <c r="I44" i="24"/>
  <c r="I310" i="24"/>
  <c r="I282" i="24"/>
  <c r="I352" i="24"/>
  <c r="I338" i="24"/>
  <c r="I324" i="24"/>
  <c r="I198" i="24"/>
  <c r="I142" i="24"/>
  <c r="I30" i="24"/>
  <c r="I296" i="24"/>
  <c r="I226" i="24"/>
  <c r="I184" i="24"/>
  <c r="I156" i="24"/>
  <c r="I128" i="24"/>
  <c r="I16" i="24"/>
  <c r="I254" i="24"/>
  <c r="I7" i="24"/>
  <c r="L7" i="24" s="1"/>
  <c r="E12" i="28" s="1"/>
  <c r="I8" i="24"/>
  <c r="I395" i="24"/>
  <c r="I403" i="24"/>
  <c r="L403" i="24" s="1"/>
  <c r="I394" i="24"/>
  <c r="I396" i="24"/>
  <c r="L396" i="24" s="1"/>
  <c r="I11" i="24"/>
  <c r="I3" i="24"/>
  <c r="L3" i="24" s="1"/>
  <c r="I2" i="24"/>
  <c r="I12" i="24"/>
  <c r="L12" i="24" s="1"/>
  <c r="E17" i="28" s="1"/>
  <c r="I9" i="24"/>
  <c r="I14" i="24"/>
  <c r="L14" i="24" s="1"/>
  <c r="E19" i="28" s="1"/>
  <c r="I13" i="24"/>
  <c r="L13" i="24" s="1"/>
  <c r="E18" i="28" s="1"/>
  <c r="I5" i="24"/>
  <c r="L5" i="24" s="1"/>
  <c r="E9" i="28" s="1"/>
  <c r="I10" i="24"/>
  <c r="L10" i="24" s="1"/>
  <c r="I6" i="24"/>
  <c r="L6" i="24" s="1"/>
  <c r="I4" i="24"/>
  <c r="L4" i="24" s="1"/>
  <c r="J2" i="27"/>
  <c r="K422" i="24" l="1"/>
  <c r="K431" i="24"/>
  <c r="K430" i="24"/>
  <c r="K427" i="24"/>
  <c r="K428" i="24"/>
  <c r="K433" i="24"/>
  <c r="K425" i="24"/>
  <c r="K432" i="24"/>
  <c r="K426" i="24"/>
  <c r="K424" i="24"/>
  <c r="K429" i="24"/>
  <c r="K423" i="24"/>
  <c r="K434" i="24"/>
  <c r="K408" i="24"/>
  <c r="K416" i="24"/>
  <c r="K417" i="24"/>
  <c r="K409" i="24"/>
  <c r="K419" i="24"/>
  <c r="K413" i="24"/>
  <c r="K418" i="24"/>
  <c r="K415" i="24"/>
  <c r="K414" i="24"/>
  <c r="K412" i="24"/>
  <c r="K420" i="24"/>
  <c r="K410" i="24"/>
  <c r="K411" i="24"/>
  <c r="O12" i="28"/>
  <c r="P9" i="28"/>
  <c r="I435" i="24"/>
  <c r="L435" i="24" s="1"/>
  <c r="K435" i="24"/>
  <c r="I421" i="24"/>
  <c r="L421" i="24" s="1"/>
  <c r="K421" i="24"/>
  <c r="L12" i="28"/>
  <c r="L395" i="24"/>
  <c r="AA12" i="28"/>
  <c r="AA13" i="28"/>
  <c r="N12" i="28"/>
  <c r="P19" i="28"/>
  <c r="P12" i="28"/>
  <c r="N19" i="28"/>
  <c r="O9" i="28"/>
  <c r="N9" i="28"/>
  <c r="L9" i="28"/>
  <c r="Q19" i="28"/>
  <c r="G19" i="28"/>
  <c r="I9" i="28"/>
  <c r="G18" i="28"/>
  <c r="G17" i="28"/>
  <c r="G12" i="28"/>
  <c r="G9" i="28"/>
  <c r="K19" i="28"/>
  <c r="Y12" i="28"/>
  <c r="L19" i="28"/>
  <c r="Y18" i="28"/>
  <c r="Y17" i="28"/>
  <c r="Y16" i="28"/>
  <c r="I12" i="28"/>
  <c r="Y19" i="28"/>
  <c r="X12" i="28"/>
  <c r="Q12" i="28"/>
  <c r="F19" i="28"/>
  <c r="F12" i="28"/>
  <c r="F9" i="28"/>
  <c r="W12" i="28"/>
  <c r="M19" i="28"/>
  <c r="J12" i="28"/>
  <c r="J9" i="28"/>
  <c r="I19" i="28"/>
  <c r="O19" i="28"/>
  <c r="M12" i="28"/>
  <c r="M9" i="28"/>
  <c r="K12" i="28"/>
  <c r="K9" i="28"/>
  <c r="J19" i="28"/>
  <c r="Q9" i="28"/>
  <c r="H19" i="28"/>
  <c r="H18" i="28"/>
  <c r="H17" i="28"/>
  <c r="H12" i="28"/>
  <c r="H9" i="28"/>
  <c r="E13" i="28"/>
  <c r="G13" i="28"/>
  <c r="Z12" i="28"/>
  <c r="Z13" i="28"/>
  <c r="U12" i="28"/>
  <c r="Y13" i="28"/>
  <c r="T13" i="28"/>
  <c r="L13" i="28"/>
  <c r="S13" i="28"/>
  <c r="R13" i="28"/>
  <c r="J13" i="28"/>
  <c r="P13" i="28"/>
  <c r="O13" i="28"/>
  <c r="N13" i="28"/>
  <c r="M13" i="28"/>
  <c r="I13" i="28"/>
  <c r="H13" i="28"/>
  <c r="F13" i="28"/>
  <c r="W13" i="28"/>
  <c r="V13" i="28"/>
  <c r="U13" i="28"/>
  <c r="X13" i="28"/>
  <c r="K13" i="28"/>
  <c r="L11" i="28"/>
  <c r="J11" i="28"/>
  <c r="K406" i="24"/>
  <c r="K405" i="24"/>
  <c r="K404" i="24"/>
  <c r="S11" i="28"/>
  <c r="K407" i="24"/>
  <c r="K401" i="24"/>
  <c r="K402" i="24"/>
  <c r="K397" i="24"/>
  <c r="K398" i="24"/>
  <c r="K399" i="24"/>
  <c r="K400" i="24"/>
  <c r="T11" i="28"/>
  <c r="R11" i="28"/>
  <c r="P11" i="28"/>
  <c r="O11" i="28"/>
  <c r="N11" i="28"/>
  <c r="M11" i="28"/>
  <c r="K11" i="28"/>
  <c r="I11" i="28"/>
  <c r="H11" i="28"/>
  <c r="F11" i="28"/>
  <c r="Y9" i="28"/>
  <c r="X19" i="28"/>
  <c r="V19" i="28"/>
  <c r="X11" i="28"/>
  <c r="AA9" i="28"/>
  <c r="Z19" i="28"/>
  <c r="Z9" i="28"/>
  <c r="X9" i="28"/>
  <c r="W17" i="28"/>
  <c r="W9" i="28"/>
  <c r="E11" i="28"/>
  <c r="I393" i="24"/>
  <c r="L393" i="24" s="1"/>
  <c r="L380" i="24"/>
  <c r="I379" i="24"/>
  <c r="L379" i="24" s="1"/>
  <c r="L366" i="24"/>
  <c r="I281" i="24"/>
  <c r="L281" i="24" s="1"/>
  <c r="L268" i="24"/>
  <c r="I253" i="24"/>
  <c r="L253" i="24" s="1"/>
  <c r="L240" i="24"/>
  <c r="T8" i="28" s="1"/>
  <c r="I225" i="24"/>
  <c r="L225" i="24" s="1"/>
  <c r="L212" i="24"/>
  <c r="I183" i="24"/>
  <c r="L183" i="24" s="1"/>
  <c r="L170" i="24"/>
  <c r="I127" i="24"/>
  <c r="L127" i="24" s="1"/>
  <c r="L114" i="24"/>
  <c r="I113" i="24"/>
  <c r="L113" i="24" s="1"/>
  <c r="L100" i="24"/>
  <c r="I99" i="24"/>
  <c r="L99" i="24" s="1"/>
  <c r="L86" i="24"/>
  <c r="I85" i="24"/>
  <c r="L85" i="24" s="1"/>
  <c r="L72" i="24"/>
  <c r="I71" i="24"/>
  <c r="L71" i="24" s="1"/>
  <c r="L58" i="24"/>
  <c r="I57" i="24"/>
  <c r="L57" i="24" s="1"/>
  <c r="L44" i="24"/>
  <c r="I323" i="24"/>
  <c r="L323" i="24" s="1"/>
  <c r="L310" i="24"/>
  <c r="I295" i="24"/>
  <c r="L295" i="24" s="1"/>
  <c r="L282" i="24"/>
  <c r="I365" i="24"/>
  <c r="L365" i="24" s="1"/>
  <c r="L352" i="24"/>
  <c r="I351" i="24"/>
  <c r="L351" i="24" s="1"/>
  <c r="L338" i="24"/>
  <c r="I337" i="24"/>
  <c r="L337" i="24" s="1"/>
  <c r="L324" i="24"/>
  <c r="V8" i="28" s="1"/>
  <c r="I211" i="24"/>
  <c r="L211" i="24" s="1"/>
  <c r="L198" i="24"/>
  <c r="I155" i="24"/>
  <c r="L155" i="24" s="1"/>
  <c r="L142" i="24"/>
  <c r="I43" i="24"/>
  <c r="L43" i="24" s="1"/>
  <c r="L30" i="24"/>
  <c r="I309" i="24"/>
  <c r="L309" i="24" s="1"/>
  <c r="L296" i="24"/>
  <c r="I239" i="24"/>
  <c r="L239" i="24" s="1"/>
  <c r="L226" i="24"/>
  <c r="I197" i="24"/>
  <c r="L197" i="24" s="1"/>
  <c r="L184" i="24"/>
  <c r="I169" i="24"/>
  <c r="L169" i="24" s="1"/>
  <c r="L156" i="24"/>
  <c r="I141" i="24"/>
  <c r="L141" i="24" s="1"/>
  <c r="L128" i="24"/>
  <c r="I29" i="24"/>
  <c r="L29" i="24" s="1"/>
  <c r="L16" i="24"/>
  <c r="I267" i="24"/>
  <c r="L267" i="24" s="1"/>
  <c r="L254" i="24"/>
  <c r="K159" i="24"/>
  <c r="K281" i="24"/>
  <c r="K390" i="24"/>
  <c r="K389" i="24"/>
  <c r="K388" i="24"/>
  <c r="K387" i="24"/>
  <c r="K386" i="24"/>
  <c r="K385" i="24"/>
  <c r="K384" i="24"/>
  <c r="K383" i="24"/>
  <c r="K382" i="24"/>
  <c r="K381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4" i="24"/>
  <c r="K362" i="24"/>
  <c r="K358" i="24"/>
  <c r="K342" i="24"/>
  <c r="K299" i="24"/>
  <c r="K297" i="24"/>
  <c r="K291" i="24"/>
  <c r="K290" i="24"/>
  <c r="K289" i="24"/>
  <c r="K288" i="24"/>
  <c r="K287" i="24"/>
  <c r="K286" i="24"/>
  <c r="K285" i="24"/>
  <c r="K284" i="24"/>
  <c r="K283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2" i="24"/>
  <c r="K251" i="24"/>
  <c r="K250" i="24"/>
  <c r="K249" i="24"/>
  <c r="K248" i="24"/>
  <c r="K247" i="24"/>
  <c r="K246" i="24"/>
  <c r="K245" i="24"/>
  <c r="K244" i="24"/>
  <c r="K243" i="24"/>
  <c r="K241" i="24"/>
  <c r="K238" i="24"/>
  <c r="K237" i="24"/>
  <c r="K236" i="24"/>
  <c r="K235" i="24"/>
  <c r="K234" i="24"/>
  <c r="K233" i="24"/>
  <c r="K232" i="24"/>
  <c r="K231" i="24"/>
  <c r="K230" i="24"/>
  <c r="K229" i="24"/>
  <c r="K242" i="24"/>
  <c r="K228" i="24"/>
  <c r="K227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6" i="24"/>
  <c r="K195" i="24"/>
  <c r="K194" i="24"/>
  <c r="K193" i="24"/>
  <c r="K192" i="24"/>
  <c r="K138" i="24"/>
  <c r="K137" i="24"/>
  <c r="K136" i="24"/>
  <c r="K135" i="24"/>
  <c r="K134" i="24"/>
  <c r="K133" i="24"/>
  <c r="K132" i="24"/>
  <c r="K131" i="24"/>
  <c r="K130" i="24"/>
  <c r="K129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303" i="24"/>
  <c r="K302" i="24"/>
  <c r="K298" i="24"/>
  <c r="K294" i="24"/>
  <c r="K293" i="24"/>
  <c r="K191" i="24"/>
  <c r="K190" i="24"/>
  <c r="K189" i="24"/>
  <c r="K188" i="24"/>
  <c r="K187" i="24"/>
  <c r="K186" i="24"/>
  <c r="K185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68" i="24"/>
  <c r="K167" i="24"/>
  <c r="K166" i="24"/>
  <c r="K165" i="24"/>
  <c r="K164" i="24"/>
  <c r="K163" i="24"/>
  <c r="K162" i="24"/>
  <c r="K161" i="24"/>
  <c r="K160" i="24"/>
  <c r="K392" i="24"/>
  <c r="K158" i="24"/>
  <c r="K157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39" i="24"/>
  <c r="K126" i="24"/>
  <c r="K125" i="24"/>
  <c r="K391" i="24"/>
  <c r="K123" i="24"/>
  <c r="K122" i="24"/>
  <c r="K121" i="24"/>
  <c r="K120" i="24"/>
  <c r="K119" i="24"/>
  <c r="K118" i="24"/>
  <c r="K117" i="24"/>
  <c r="K116" i="24"/>
  <c r="K115" i="24"/>
  <c r="K98" i="24"/>
  <c r="K97" i="24"/>
  <c r="K96" i="24"/>
  <c r="K95" i="24"/>
  <c r="K94" i="24"/>
  <c r="K93" i="24"/>
  <c r="K92" i="24"/>
  <c r="K91" i="24"/>
  <c r="K304" i="24"/>
  <c r="K301" i="24"/>
  <c r="K140" i="24"/>
  <c r="K90" i="24"/>
  <c r="K89" i="24"/>
  <c r="K88" i="24"/>
  <c r="K87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0" i="24"/>
  <c r="K69" i="24"/>
  <c r="K68" i="24"/>
  <c r="K67" i="24"/>
  <c r="K66" i="24"/>
  <c r="K65" i="24"/>
  <c r="K64" i="24"/>
  <c r="K63" i="24"/>
  <c r="K62" i="24"/>
  <c r="K61" i="24"/>
  <c r="K60" i="24"/>
  <c r="K59" i="24"/>
  <c r="K56" i="24"/>
  <c r="K55" i="24"/>
  <c r="K54" i="24"/>
  <c r="K53" i="24"/>
  <c r="K52" i="24"/>
  <c r="K51" i="24"/>
  <c r="K50" i="24"/>
  <c r="K49" i="24"/>
  <c r="K48" i="24"/>
  <c r="K47" i="24"/>
  <c r="K46" i="24"/>
  <c r="K45" i="24"/>
  <c r="K42" i="24"/>
  <c r="K41" i="24"/>
  <c r="K357" i="24"/>
  <c r="K356" i="24"/>
  <c r="K355" i="24"/>
  <c r="K354" i="24"/>
  <c r="K353" i="24"/>
  <c r="K350" i="24"/>
  <c r="K349" i="24"/>
  <c r="K348" i="24"/>
  <c r="K347" i="24"/>
  <c r="K346" i="24"/>
  <c r="K345" i="24"/>
  <c r="K344" i="24"/>
  <c r="K341" i="24"/>
  <c r="K340" i="24"/>
  <c r="K339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08" i="24"/>
  <c r="K307" i="24"/>
  <c r="K306" i="24"/>
  <c r="K305" i="24"/>
  <c r="K300" i="24"/>
  <c r="K39" i="24"/>
  <c r="K38" i="24"/>
  <c r="K37" i="24"/>
  <c r="K36" i="24"/>
  <c r="K35" i="24"/>
  <c r="K34" i="24"/>
  <c r="K33" i="24"/>
  <c r="K32" i="24"/>
  <c r="K31" i="24"/>
  <c r="K28" i="24"/>
  <c r="K27" i="24"/>
  <c r="K26" i="24"/>
  <c r="K25" i="24"/>
  <c r="K24" i="24"/>
  <c r="K23" i="24"/>
  <c r="K22" i="24"/>
  <c r="K21" i="24"/>
  <c r="K20" i="24"/>
  <c r="K19" i="24"/>
  <c r="K18" i="24"/>
  <c r="K17" i="24"/>
  <c r="K363" i="24"/>
  <c r="K361" i="24"/>
  <c r="K360" i="24"/>
  <c r="K359" i="24"/>
  <c r="K380" i="24"/>
  <c r="K393" i="24"/>
  <c r="K282" i="24"/>
  <c r="K295" i="24"/>
  <c r="K226" i="24"/>
  <c r="K239" i="24"/>
  <c r="K184" i="24"/>
  <c r="K197" i="24"/>
  <c r="K114" i="24"/>
  <c r="K127" i="24"/>
  <c r="K113" i="24"/>
  <c r="K100" i="24"/>
  <c r="K86" i="24"/>
  <c r="K99" i="24"/>
  <c r="K72" i="24"/>
  <c r="K85" i="24"/>
  <c r="K58" i="24"/>
  <c r="K71" i="24"/>
  <c r="K337" i="24"/>
  <c r="K296" i="24"/>
  <c r="K309" i="24"/>
  <c r="K366" i="24"/>
  <c r="K379" i="24"/>
  <c r="K365" i="24"/>
  <c r="K352" i="24"/>
  <c r="K16" i="24"/>
  <c r="K292" i="24"/>
  <c r="K338" i="24"/>
  <c r="K351" i="24"/>
  <c r="K225" i="24"/>
  <c r="K212" i="24"/>
  <c r="K169" i="24"/>
  <c r="K156" i="24"/>
  <c r="K128" i="24"/>
  <c r="K141" i="24"/>
  <c r="K44" i="24"/>
  <c r="K324" i="24"/>
  <c r="K310" i="24"/>
  <c r="K323" i="24"/>
  <c r="K254" i="24"/>
  <c r="K267" i="24"/>
  <c r="K240" i="24"/>
  <c r="K253" i="24"/>
  <c r="K198" i="24"/>
  <c r="K211" i="24"/>
  <c r="K170" i="24"/>
  <c r="K183" i="24"/>
  <c r="K142" i="24"/>
  <c r="K155" i="24"/>
  <c r="K57" i="24"/>
  <c r="K30" i="24"/>
  <c r="K43" i="24"/>
  <c r="K29" i="24"/>
  <c r="K343" i="24"/>
  <c r="K40" i="24"/>
  <c r="K268" i="24"/>
  <c r="K124" i="24"/>
  <c r="G11" i="28"/>
  <c r="K7" i="24"/>
  <c r="V11" i="28"/>
  <c r="U11" i="28"/>
  <c r="AA11" i="28"/>
  <c r="Z11" i="28"/>
  <c r="Y11" i="28"/>
  <c r="W11" i="28"/>
  <c r="Q11" i="28"/>
  <c r="U19" i="28"/>
  <c r="Z16" i="28"/>
  <c r="AA16" i="28"/>
  <c r="AA17" i="28"/>
  <c r="V9" i="28"/>
  <c r="Q17" i="28"/>
  <c r="Q18" i="28"/>
  <c r="U9" i="28"/>
  <c r="V28" i="28"/>
  <c r="T17" i="28"/>
  <c r="L18" i="28"/>
  <c r="X17" i="28"/>
  <c r="K17" i="28"/>
  <c r="N17" i="28"/>
  <c r="N18" i="28"/>
  <c r="I18" i="28"/>
  <c r="O17" i="28"/>
  <c r="M17" i="28"/>
  <c r="M18" i="28"/>
  <c r="U18" i="28"/>
  <c r="X18" i="28"/>
  <c r="T18" i="28"/>
  <c r="K18" i="28"/>
  <c r="I17" i="28"/>
  <c r="O18" i="28"/>
  <c r="V27" i="28"/>
  <c r="U17" i="28"/>
  <c r="L17" i="28"/>
  <c r="L394" i="24"/>
  <c r="K403" i="24"/>
  <c r="K395" i="24"/>
  <c r="K394" i="24"/>
  <c r="K396" i="24"/>
  <c r="Z18" i="28"/>
  <c r="Z17" i="28"/>
  <c r="P17" i="28"/>
  <c r="P18" i="28"/>
  <c r="J17" i="28"/>
  <c r="J18" i="28"/>
  <c r="F18" i="28"/>
  <c r="F17" i="28"/>
  <c r="K5" i="24"/>
  <c r="K12" i="24"/>
  <c r="K13" i="24"/>
  <c r="K3" i="24"/>
  <c r="K4" i="24"/>
  <c r="K2" i="24"/>
  <c r="K14" i="24"/>
  <c r="K10" i="24"/>
  <c r="K6" i="24"/>
  <c r="L2" i="24"/>
  <c r="I15" i="24"/>
  <c r="AA7" i="28"/>
  <c r="Z7" i="28"/>
  <c r="AA10" i="28"/>
  <c r="Z10" i="28"/>
  <c r="V10" i="28"/>
  <c r="X10" i="28"/>
  <c r="V26" i="28"/>
  <c r="X16" i="28"/>
  <c r="C15" i="28"/>
  <c r="C20" i="28" s="1"/>
  <c r="R16" i="28"/>
  <c r="R26" i="28" s="1"/>
  <c r="G16" i="28"/>
  <c r="T16" i="28"/>
  <c r="H16" i="28"/>
  <c r="T10" i="28"/>
  <c r="T7" i="28"/>
  <c r="U10" i="28"/>
  <c r="U7" i="28"/>
  <c r="U16" i="28"/>
  <c r="Q13" i="28" l="1"/>
  <c r="H8" i="28"/>
  <c r="G27" i="28"/>
  <c r="G26" i="28"/>
  <c r="Y8" i="28"/>
  <c r="M8" i="28"/>
  <c r="H26" i="28"/>
  <c r="N8" i="28"/>
  <c r="Z6" i="28"/>
  <c r="W19" i="28"/>
  <c r="AA19" i="28"/>
  <c r="I407" i="24"/>
  <c r="L407" i="24" s="1"/>
  <c r="U26" i="28"/>
  <c r="U27" i="28"/>
  <c r="U28" i="28"/>
  <c r="T26" i="28"/>
  <c r="Z27" i="28"/>
  <c r="Z28" i="28"/>
  <c r="Z26" i="28"/>
  <c r="X28" i="28"/>
  <c r="R28" i="28"/>
  <c r="X26" i="28"/>
  <c r="G28" i="28"/>
  <c r="T27" i="28"/>
  <c r="T28" i="28"/>
  <c r="H27" i="28"/>
  <c r="H28" i="28"/>
  <c r="X27" i="28"/>
  <c r="R27" i="28"/>
  <c r="D17" i="28"/>
  <c r="Z8" i="28"/>
  <c r="N16" i="28"/>
  <c r="Z23" i="28" l="1"/>
  <c r="W18" i="28"/>
  <c r="AA18" i="28"/>
  <c r="N26" i="28"/>
  <c r="N28" i="28"/>
  <c r="N27" i="28"/>
  <c r="I43" i="10"/>
  <c r="J40" i="10"/>
  <c r="I35" i="10"/>
  <c r="I37" i="10"/>
  <c r="J34" i="10"/>
  <c r="I42" i="10"/>
  <c r="J39" i="10"/>
  <c r="I34" i="10"/>
  <c r="I39" i="10"/>
  <c r="J36" i="10"/>
  <c r="J45" i="10"/>
  <c r="I40" i="10"/>
  <c r="J37" i="10"/>
  <c r="I45" i="10"/>
  <c r="J42" i="10"/>
  <c r="J44" i="10"/>
  <c r="I44" i="10"/>
  <c r="J41" i="10"/>
  <c r="J43" i="10"/>
  <c r="I38" i="10"/>
  <c r="J35" i="10"/>
  <c r="I36" i="10"/>
  <c r="I41" i="10"/>
  <c r="J38" i="10"/>
  <c r="Z21" i="28"/>
  <c r="Z25" i="28"/>
  <c r="Z24" i="28"/>
  <c r="Z22" i="28"/>
  <c r="CT3" i="10"/>
  <c r="CT2" i="10"/>
  <c r="CT1" i="10"/>
  <c r="CV1" i="10" s="1"/>
  <c r="F34" i="10" s="1"/>
  <c r="AA26" i="28" l="1"/>
  <c r="AA27" i="28"/>
  <c r="AA28" i="28"/>
  <c r="D18" i="28"/>
  <c r="K45" i="10"/>
  <c r="K44" i="10"/>
  <c r="K43" i="10"/>
  <c r="K42" i="10"/>
  <c r="K39" i="10"/>
  <c r="K38" i="10"/>
  <c r="K35" i="10"/>
  <c r="K37" i="10"/>
  <c r="K34" i="10"/>
  <c r="K41" i="10"/>
  <c r="K36" i="10"/>
  <c r="K40" i="10"/>
  <c r="AJ13" i="10"/>
  <c r="AJ26" i="10"/>
  <c r="AJ20" i="10"/>
  <c r="AJ12" i="10"/>
  <c r="AJ28" i="10"/>
  <c r="AJ6" i="10"/>
  <c r="AJ22" i="10"/>
  <c r="AJ14" i="10"/>
  <c r="AJ24" i="10"/>
  <c r="AJ16" i="10"/>
  <c r="AJ18" i="10"/>
  <c r="AJ10" i="10"/>
  <c r="AJ5" i="10"/>
  <c r="AJ11" i="10"/>
  <c r="AJ21" i="10"/>
  <c r="AJ27" i="10"/>
  <c r="AJ25" i="10"/>
  <c r="AJ9" i="10"/>
  <c r="AJ19" i="10"/>
  <c r="AJ29" i="10"/>
  <c r="AJ17" i="10"/>
  <c r="AJ23" i="10"/>
  <c r="AJ8" i="10"/>
  <c r="AJ7" i="10"/>
  <c r="AJ15" i="10"/>
  <c r="AE21" i="10"/>
  <c r="AE13" i="10"/>
  <c r="AE7" i="10"/>
  <c r="AE28" i="10"/>
  <c r="AE20" i="10"/>
  <c r="AE9" i="10"/>
  <c r="AE25" i="10"/>
  <c r="AE17" i="10"/>
  <c r="AE27" i="10"/>
  <c r="AE5" i="10"/>
  <c r="AE24" i="10"/>
  <c r="AE16" i="10"/>
  <c r="AE18" i="10"/>
  <c r="AE15" i="10"/>
  <c r="AE19" i="10"/>
  <c r="AE23" i="10"/>
  <c r="AE8" i="10"/>
  <c r="AE26" i="10"/>
  <c r="AE12" i="10"/>
  <c r="AE14" i="10"/>
  <c r="AE22" i="10"/>
  <c r="AE6" i="10"/>
  <c r="AE10" i="10"/>
  <c r="AE11" i="10"/>
  <c r="AE29" i="10"/>
  <c r="Z14" i="10"/>
  <c r="Z6" i="10"/>
  <c r="Z26" i="10"/>
  <c r="Z18" i="10"/>
  <c r="Z23" i="10"/>
  <c r="Z15" i="10"/>
  <c r="Z7" i="10"/>
  <c r="Z17" i="10"/>
  <c r="Z25" i="10"/>
  <c r="Z22" i="10"/>
  <c r="Z27" i="10"/>
  <c r="Z16" i="10"/>
  <c r="Z8" i="10"/>
  <c r="Z24" i="10"/>
  <c r="Z10" i="10"/>
  <c r="Z13" i="10"/>
  <c r="Z21" i="10"/>
  <c r="Z5" i="10"/>
  <c r="Z29" i="10"/>
  <c r="Z9" i="10"/>
  <c r="Z11" i="10"/>
  <c r="Z19" i="10"/>
  <c r="Z12" i="10"/>
  <c r="Z20" i="10"/>
  <c r="Z28" i="10"/>
  <c r="U5" i="10"/>
  <c r="U26" i="10"/>
  <c r="U18" i="10"/>
  <c r="U10" i="10"/>
  <c r="U9" i="10"/>
  <c r="U6" i="10"/>
  <c r="U25" i="10"/>
  <c r="U22" i="10"/>
  <c r="U14" i="10"/>
  <c r="U27" i="10"/>
  <c r="U19" i="10"/>
  <c r="U11" i="10"/>
  <c r="U16" i="10"/>
  <c r="U8" i="10"/>
  <c r="U21" i="10"/>
  <c r="U20" i="10"/>
  <c r="U17" i="10"/>
  <c r="U7" i="10"/>
  <c r="U29" i="10"/>
  <c r="U13" i="10"/>
  <c r="U15" i="10"/>
  <c r="U23" i="10"/>
  <c r="U24" i="10"/>
  <c r="U28" i="10"/>
  <c r="U12" i="10"/>
  <c r="P18" i="10"/>
  <c r="P26" i="10"/>
  <c r="P12" i="10"/>
  <c r="P28" i="10"/>
  <c r="P22" i="10"/>
  <c r="P14" i="10"/>
  <c r="P8" i="10"/>
  <c r="P10" i="10"/>
  <c r="P16" i="10"/>
  <c r="P6" i="10"/>
  <c r="P25" i="10"/>
  <c r="P7" i="10"/>
  <c r="P19" i="10"/>
  <c r="P5" i="10"/>
  <c r="P21" i="10"/>
  <c r="P13" i="10"/>
  <c r="P9" i="10"/>
  <c r="P24" i="10"/>
  <c r="P17" i="10"/>
  <c r="P15" i="10"/>
  <c r="P11" i="10"/>
  <c r="P23" i="10"/>
  <c r="P29" i="10"/>
  <c r="P20" i="10"/>
  <c r="P27" i="10"/>
  <c r="K28" i="10"/>
  <c r="K29" i="10"/>
  <c r="F45" i="10"/>
  <c r="F44" i="10"/>
  <c r="F29" i="10"/>
  <c r="F28" i="10"/>
  <c r="CV2" i="10"/>
  <c r="CV3" i="10"/>
  <c r="K31" i="10" l="1"/>
  <c r="AJ2" i="10"/>
  <c r="AE2" i="10"/>
  <c r="Z2" i="10"/>
  <c r="U2" i="10"/>
  <c r="P2" i="10"/>
  <c r="I8" i="28"/>
  <c r="S8" i="28"/>
  <c r="O16" i="28" l="1"/>
  <c r="M7" i="28"/>
  <c r="M16" i="28"/>
  <c r="M10" i="28"/>
  <c r="L8" i="28"/>
  <c r="X8" i="28"/>
  <c r="X7" i="28"/>
  <c r="R8" i="28"/>
  <c r="O26" i="28" l="1"/>
  <c r="O28" i="28"/>
  <c r="O27" i="28"/>
  <c r="M26" i="28"/>
  <c r="M28" i="28"/>
  <c r="M27" i="28"/>
  <c r="Y6" i="28"/>
  <c r="W8" i="28"/>
  <c r="M6" i="28"/>
  <c r="P8" i="28"/>
  <c r="G7" i="28"/>
  <c r="R7" i="28"/>
  <c r="Y10" i="28"/>
  <c r="W10" i="28"/>
  <c r="W16" i="28"/>
  <c r="G10" i="28"/>
  <c r="R10" i="28"/>
  <c r="Y7" i="28"/>
  <c r="W7" i="28"/>
  <c r="V7" i="28"/>
  <c r="G8" i="28"/>
  <c r="H10" i="28"/>
  <c r="Q16" i="28"/>
  <c r="H6" i="28"/>
  <c r="F10" i="28"/>
  <c r="F7" i="28"/>
  <c r="Q7" i="28"/>
  <c r="H7" i="28"/>
  <c r="Q10" i="28"/>
  <c r="F16" i="28"/>
  <c r="I16" i="28"/>
  <c r="I7" i="28"/>
  <c r="I10" i="28"/>
  <c r="L7" i="28"/>
  <c r="L16" i="28"/>
  <c r="F26" i="28" l="1"/>
  <c r="F28" i="28"/>
  <c r="F27" i="28"/>
  <c r="L27" i="28"/>
  <c r="L28" i="28"/>
  <c r="S35" i="10"/>
  <c r="S40" i="10"/>
  <c r="T37" i="10"/>
  <c r="S34" i="10"/>
  <c r="S39" i="10"/>
  <c r="T36" i="10"/>
  <c r="T38" i="10"/>
  <c r="T45" i="10"/>
  <c r="S45" i="10"/>
  <c r="T42" i="10"/>
  <c r="S37" i="10"/>
  <c r="T34" i="10"/>
  <c r="S42" i="10"/>
  <c r="T39" i="10"/>
  <c r="T41" i="10"/>
  <c r="S36" i="10"/>
  <c r="S41" i="10"/>
  <c r="T44" i="10"/>
  <c r="S44" i="10"/>
  <c r="T43" i="10"/>
  <c r="S38" i="10"/>
  <c r="T35" i="10"/>
  <c r="S43" i="10"/>
  <c r="T40" i="10"/>
  <c r="L26" i="28"/>
  <c r="Y25" i="28"/>
  <c r="Y22" i="28"/>
  <c r="Y24" i="28"/>
  <c r="Q26" i="28"/>
  <c r="Q27" i="28"/>
  <c r="Q28" i="28"/>
  <c r="W26" i="28"/>
  <c r="W28" i="28"/>
  <c r="W27" i="28"/>
  <c r="Y26" i="28"/>
  <c r="Y28" i="28"/>
  <c r="Y27" i="28"/>
  <c r="Y21" i="28"/>
  <c r="Y23" i="28"/>
  <c r="I26" i="28"/>
  <c r="I27" i="28"/>
  <c r="I28" i="28"/>
  <c r="H22" i="28"/>
  <c r="H21" i="28"/>
  <c r="H23" i="28"/>
  <c r="H24" i="28"/>
  <c r="H25" i="28"/>
  <c r="M21" i="28"/>
  <c r="M23" i="28"/>
  <c r="M22" i="28"/>
  <c r="M24" i="28"/>
  <c r="M25" i="28"/>
  <c r="L10" i="28"/>
  <c r="I6" i="28"/>
  <c r="I24" i="28" s="1"/>
  <c r="J8" i="28"/>
  <c r="G6" i="28"/>
  <c r="P10" i="28"/>
  <c r="P16" i="28"/>
  <c r="P7" i="28"/>
  <c r="S16" i="28"/>
  <c r="U45" i="10" l="1"/>
  <c r="U44" i="10"/>
  <c r="P26" i="28"/>
  <c r="P27" i="28"/>
  <c r="P28" i="28"/>
  <c r="S26" i="28"/>
  <c r="S27" i="28"/>
  <c r="S28" i="28"/>
  <c r="U41" i="10"/>
  <c r="U35" i="10"/>
  <c r="U34" i="10"/>
  <c r="U40" i="10"/>
  <c r="U39" i="10"/>
  <c r="U38" i="10"/>
  <c r="U36" i="10"/>
  <c r="U42" i="10"/>
  <c r="U43" i="10"/>
  <c r="U37" i="10"/>
  <c r="O40" i="10"/>
  <c r="O45" i="10"/>
  <c r="N37" i="10"/>
  <c r="O34" i="10"/>
  <c r="N42" i="10"/>
  <c r="O39" i="10"/>
  <c r="N34" i="10"/>
  <c r="O44" i="10"/>
  <c r="N39" i="10"/>
  <c r="O36" i="10"/>
  <c r="O38" i="10"/>
  <c r="N45" i="10"/>
  <c r="O42" i="10"/>
  <c r="O41" i="10"/>
  <c r="N36" i="10"/>
  <c r="N41" i="10"/>
  <c r="N44" i="10"/>
  <c r="O43" i="10"/>
  <c r="N38" i="10"/>
  <c r="O35" i="10"/>
  <c r="N43" i="10"/>
  <c r="N35" i="10"/>
  <c r="N40" i="10"/>
  <c r="O37" i="10"/>
  <c r="I25" i="28"/>
  <c r="G21" i="28"/>
  <c r="G24" i="28"/>
  <c r="G22" i="28"/>
  <c r="G23" i="28"/>
  <c r="G25" i="28"/>
  <c r="I21" i="28"/>
  <c r="I23" i="28"/>
  <c r="I22" i="28"/>
  <c r="E8" i="28"/>
  <c r="P45" i="10" l="1"/>
  <c r="P37" i="10"/>
  <c r="P42" i="10"/>
  <c r="P43" i="10"/>
  <c r="P39" i="10"/>
  <c r="P36" i="10"/>
  <c r="P44" i="10"/>
  <c r="U31" i="10"/>
  <c r="P41" i="10"/>
  <c r="P38" i="10"/>
  <c r="P35" i="10"/>
  <c r="P34" i="10"/>
  <c r="P40" i="10"/>
  <c r="F20" i="10"/>
  <c r="J10" i="28"/>
  <c r="J16" i="28"/>
  <c r="J7" i="28"/>
  <c r="Q8" i="28"/>
  <c r="O8" i="28"/>
  <c r="P31" i="10" l="1"/>
  <c r="J26" i="28"/>
  <c r="J28" i="28"/>
  <c r="J27" i="28"/>
  <c r="F24" i="10"/>
  <c r="F23" i="10"/>
  <c r="F22" i="10"/>
  <c r="F26" i="10"/>
  <c r="F21" i="10"/>
  <c r="F18" i="10"/>
  <c r="F19" i="10"/>
  <c r="F27" i="10"/>
  <c r="F25" i="10"/>
  <c r="J6" i="28"/>
  <c r="K8" i="28"/>
  <c r="AA6" i="28"/>
  <c r="AA8" i="28"/>
  <c r="S10" i="28"/>
  <c r="O10" i="28"/>
  <c r="P6" i="28"/>
  <c r="Q6" i="28"/>
  <c r="S7" i="28"/>
  <c r="O7" i="28"/>
  <c r="X6" i="28"/>
  <c r="S6" i="28"/>
  <c r="O6" i="28"/>
  <c r="F5" i="10"/>
  <c r="F17" i="10"/>
  <c r="F14" i="10"/>
  <c r="F8" i="10"/>
  <c r="F7" i="10"/>
  <c r="F12" i="10"/>
  <c r="F13" i="10"/>
  <c r="F10" i="10"/>
  <c r="F43" i="10"/>
  <c r="F6" i="10"/>
  <c r="F16" i="10"/>
  <c r="F11" i="10"/>
  <c r="F15" i="10"/>
  <c r="F9" i="10"/>
  <c r="F40" i="10"/>
  <c r="F36" i="10"/>
  <c r="F38" i="10"/>
  <c r="F42" i="10"/>
  <c r="F41" i="10"/>
  <c r="F39" i="10"/>
  <c r="F35" i="10"/>
  <c r="F37" i="10"/>
  <c r="N6" i="28"/>
  <c r="L6" i="28"/>
  <c r="K7" i="28"/>
  <c r="N10" i="28"/>
  <c r="K10" i="28"/>
  <c r="K16" i="28"/>
  <c r="K6" i="28"/>
  <c r="N7" i="28"/>
  <c r="V6" i="28"/>
  <c r="F8" i="28"/>
  <c r="E10" i="28"/>
  <c r="K27" i="28" l="1"/>
  <c r="K28" i="28"/>
  <c r="K20" i="10"/>
  <c r="Q21" i="28"/>
  <c r="Q22" i="28"/>
  <c r="Q24" i="28"/>
  <c r="Q25" i="28"/>
  <c r="AA23" i="28"/>
  <c r="AA21" i="28"/>
  <c r="AA25" i="28"/>
  <c r="AA24" i="28"/>
  <c r="AA22" i="28"/>
  <c r="Q23" i="28"/>
  <c r="N22" i="28"/>
  <c r="K26" i="28"/>
  <c r="O24" i="28"/>
  <c r="K22" i="28"/>
  <c r="O22" i="28"/>
  <c r="K24" i="28"/>
  <c r="S21" i="28"/>
  <c r="S23" i="28"/>
  <c r="S24" i="28"/>
  <c r="K23" i="28"/>
  <c r="K25" i="28"/>
  <c r="X21" i="28"/>
  <c r="X25" i="28"/>
  <c r="X24" i="28"/>
  <c r="X22" i="28"/>
  <c r="X23" i="28"/>
  <c r="J21" i="28"/>
  <c r="J23" i="28"/>
  <c r="N25" i="28"/>
  <c r="S22" i="28"/>
  <c r="J24" i="28"/>
  <c r="V21" i="28"/>
  <c r="V25" i="28"/>
  <c r="V23" i="28"/>
  <c r="V24" i="28"/>
  <c r="V22" i="28"/>
  <c r="O23" i="28"/>
  <c r="P21" i="28"/>
  <c r="P23" i="28"/>
  <c r="P22" i="28"/>
  <c r="P25" i="28"/>
  <c r="P24" i="28"/>
  <c r="L21" i="28"/>
  <c r="L23" i="28"/>
  <c r="L22" i="28"/>
  <c r="L24" i="28"/>
  <c r="L25" i="28"/>
  <c r="K21" i="28"/>
  <c r="N21" i="28"/>
  <c r="N23" i="28"/>
  <c r="N24" i="28"/>
  <c r="O25" i="28"/>
  <c r="J22" i="28"/>
  <c r="O21" i="28"/>
  <c r="S25" i="28"/>
  <c r="J25" i="28"/>
  <c r="D20" i="28"/>
  <c r="U8" i="28"/>
  <c r="W6" i="28"/>
  <c r="F6" i="28"/>
  <c r="T6" i="28"/>
  <c r="U6" i="28"/>
  <c r="D10" i="28"/>
  <c r="D9" i="28"/>
  <c r="F2" i="10"/>
  <c r="R6" i="28"/>
  <c r="F31" i="10"/>
  <c r="K11" i="10" l="1"/>
  <c r="K24" i="10"/>
  <c r="K22" i="10"/>
  <c r="K9" i="10"/>
  <c r="K18" i="10"/>
  <c r="K17" i="10"/>
  <c r="K6" i="10"/>
  <c r="K16" i="10"/>
  <c r="K26" i="10"/>
  <c r="K14" i="10"/>
  <c r="K5" i="10"/>
  <c r="K13" i="10"/>
  <c r="K25" i="10"/>
  <c r="K19" i="10"/>
  <c r="K23" i="10"/>
  <c r="K10" i="10"/>
  <c r="K7" i="10"/>
  <c r="K8" i="10"/>
  <c r="K21" i="10"/>
  <c r="K15" i="10"/>
  <c r="K12" i="10"/>
  <c r="K27" i="10"/>
  <c r="U24" i="28"/>
  <c r="U21" i="28"/>
  <c r="U22" i="28"/>
  <c r="U25" i="28"/>
  <c r="W21" i="28"/>
  <c r="W25" i="28"/>
  <c r="W22" i="28"/>
  <c r="W23" i="28"/>
  <c r="W24" i="28"/>
  <c r="F21" i="28"/>
  <c r="F24" i="28"/>
  <c r="F22" i="28"/>
  <c r="F25" i="28"/>
  <c r="F23" i="28"/>
  <c r="R21" i="28"/>
  <c r="R23" i="28"/>
  <c r="R24" i="28"/>
  <c r="R25" i="28"/>
  <c r="R22" i="28"/>
  <c r="U23" i="28"/>
  <c r="T21" i="28"/>
  <c r="T22" i="28"/>
  <c r="T24" i="28"/>
  <c r="T23" i="28"/>
  <c r="T25" i="28"/>
  <c r="D8" i="28"/>
  <c r="K2" i="10" l="1"/>
  <c r="J57" i="22" l="1"/>
  <c r="M3" i="24" s="1"/>
  <c r="T3" i="24" s="1"/>
  <c r="G9" i="24" a="1"/>
  <c r="M9" i="24" l="1"/>
  <c r="G9" i="24"/>
  <c r="T9" i="24" l="1"/>
  <c r="L9" i="24"/>
  <c r="E7" i="28" s="1"/>
  <c r="J9" i="24"/>
  <c r="K9" i="24" s="1"/>
  <c r="D7" i="28" l="1"/>
  <c r="G8" i="24" a="1"/>
  <c r="M8" i="24"/>
  <c r="T8" i="24" l="1"/>
  <c r="G8" i="24"/>
  <c r="L8" i="24" l="1"/>
  <c r="E6" i="28" s="1"/>
  <c r="J8" i="24"/>
  <c r="K8" i="24" s="1"/>
  <c r="E22" i="28" l="1"/>
  <c r="E21" i="28"/>
  <c r="D6" i="28"/>
  <c r="E23" i="28"/>
  <c r="E24" i="28"/>
  <c r="E25" i="28"/>
  <c r="G11" i="24" l="1" a="1"/>
  <c r="J65" i="22"/>
  <c r="M11" i="24" l="1"/>
  <c r="G11" i="24"/>
  <c r="T11" i="24" l="1"/>
  <c r="M15" i="24"/>
  <c r="T15" i="24" s="1"/>
  <c r="G15" i="24"/>
  <c r="L11" i="24"/>
  <c r="E16" i="28" s="1"/>
  <c r="J11" i="24"/>
  <c r="K11" i="24" s="1"/>
  <c r="E27" i="28" l="1"/>
  <c r="E28" i="28"/>
  <c r="J15" i="24"/>
  <c r="K15" i="24" s="1"/>
  <c r="L15" i="24"/>
  <c r="D16" i="28"/>
  <c r="E26" i="2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<sst xmlns="http://schemas.openxmlformats.org/spreadsheetml/2006/main" count="4210" uniqueCount="561">
  <si>
    <t>ĐÁNH GIÁ HIỆU QUẢ NHÂN VIÊN</t>
  </si>
  <si>
    <t>Ghi chú</t>
  </si>
  <si>
    <t>DOANH THU</t>
  </si>
  <si>
    <t>Mối quan tâm</t>
  </si>
  <si>
    <t>Nội dung đánh giá</t>
  </si>
  <si>
    <t>4. %HQ Trả góp</t>
  </si>
  <si>
    <t>Thi đua CMR và MLN</t>
  </si>
  <si>
    <r>
      <t xml:space="preserve">Đây là nhóm không bị trừ mà chỉ cộng nếu làm tốt 
</t>
    </r>
    <r>
      <rPr>
        <b/>
        <sz val="12"/>
        <color rgb="FFFF0000"/>
        <rFont val="Cambria"/>
        <family val="1"/>
      </rPr>
      <t>=&gt; Dùng để làm tiêu chí cứu</t>
    </r>
  </si>
  <si>
    <t>Không đạt =&gt; - 2 điểm</t>
  </si>
  <si>
    <t>RULE TÍNH ĐIỂM THI ĐUA</t>
  </si>
  <si>
    <t>TARGET</t>
  </si>
  <si>
    <t>Nhân viên</t>
  </si>
  <si>
    <t>Target</t>
  </si>
  <si>
    <t>Luỹ kế</t>
  </si>
  <si>
    <t>%HT</t>
  </si>
  <si>
    <t>Nguyễn Trang Nhung - 25734</t>
  </si>
  <si>
    <t>NHÓM THI ĐUA</t>
  </si>
  <si>
    <t>MỤC TIÊU NGÀY</t>
  </si>
  <si>
    <t>DTQĐ</t>
  </si>
  <si>
    <t>SLLK</t>
  </si>
  <si>
    <t>Tổng</t>
  </si>
  <si>
    <t>Xếp hạng trong miền</t>
  </si>
  <si>
    <t>Top/Bottom Trong Miền</t>
  </si>
  <si>
    <t>Ngành hàng</t>
  </si>
  <si>
    <t>DTLK</t>
  </si>
  <si>
    <t>CMR</t>
  </si>
  <si>
    <t>MLN</t>
  </si>
  <si>
    <t>LŨY KẾ</t>
  </si>
  <si>
    <t>Nhóm thi đua</t>
  </si>
  <si>
    <t>Viết tắt</t>
  </si>
  <si>
    <t>FE</t>
  </si>
  <si>
    <t>BH</t>
  </si>
  <si>
    <t>HC</t>
  </si>
  <si>
    <t>PK</t>
  </si>
  <si>
    <t>Lũy kế</t>
  </si>
  <si>
    <t>Dự kiến</t>
  </si>
  <si>
    <t>Còn lại</t>
  </si>
  <si>
    <t>%HT DK</t>
  </si>
  <si>
    <t>Start</t>
  </si>
  <si>
    <t>End</t>
  </si>
  <si>
    <t>Today</t>
  </si>
  <si>
    <t>Remain</t>
  </si>
  <si>
    <t>Nhóm Thi Đua</t>
  </si>
  <si>
    <t>Nhóm viết tắt</t>
  </si>
  <si>
    <t>Quỹ time</t>
  </si>
  <si>
    <t>Nguyễn Trang Nhung</t>
  </si>
  <si>
    <t>%TG</t>
  </si>
  <si>
    <t>SỐ NHÓM ĐẠT</t>
  </si>
  <si>
    <t>HIỆU QUẢ THI ĐUA</t>
  </si>
  <si>
    <t>Target thi đua chia đều cho  từng NV</t>
  </si>
  <si>
    <r>
      <rPr>
        <b/>
        <sz val="12"/>
        <color theme="1"/>
        <rFont val="Cambria"/>
        <family val="1"/>
      </rPr>
      <t>xếp điểm theo Rank:
&gt;100% =&gt; 3 điểm</t>
    </r>
    <r>
      <rPr>
        <sz val="12"/>
        <color theme="1"/>
        <rFont val="Cambria"/>
        <family val="1"/>
      </rPr>
      <t xml:space="preserve">
90-100% =&gt; 2 điểm; 
80-90% =&gt; 1 điểm; 
Dưới 80% =&gt; 0 điểm</t>
    </r>
  </si>
  <si>
    <r>
      <rPr>
        <b/>
        <sz val="12"/>
        <color theme="1"/>
        <rFont val="Cambria"/>
        <family val="1"/>
      </rPr>
      <t>xếp điểm theo Rank:
&gt;100% =&gt; 5 điểm</t>
    </r>
    <r>
      <rPr>
        <sz val="12"/>
        <color theme="1"/>
        <rFont val="Cambria"/>
        <family val="1"/>
      </rPr>
      <t xml:space="preserve">
90-100% =&gt; 3 điểm; 
80-90% =&gt;2 điểm; 
Dưới 80% =&gt; 0 điểm</t>
    </r>
  </si>
  <si>
    <t>ICT</t>
  </si>
  <si>
    <t>VAS</t>
  </si>
  <si>
    <t>%trả góp &gt;30%</t>
  </si>
  <si>
    <t>3. Thi đua CMR và MLN</t>
  </si>
  <si>
    <t>Đỗ Văn Duân - 62025</t>
  </si>
  <si>
    <t>Nguyễn Thị Ngọc - 54026</t>
  </si>
  <si>
    <t>TỔNG 3947</t>
  </si>
  <si>
    <t>GTDH &gt; 5 triệu</t>
  </si>
  <si>
    <t>Nguyễn Viết Sơn - 94065</t>
  </si>
  <si>
    <t>CAKE</t>
  </si>
  <si>
    <t>TỔNG</t>
  </si>
  <si>
    <t>STT</t>
  </si>
  <si>
    <t>TL</t>
  </si>
  <si>
    <t>% HT Target Tháng</t>
  </si>
  <si>
    <t>% HT Dự Kiến</t>
  </si>
  <si>
    <t>DOANH THU
 QUY  ĐỔI</t>
  </si>
  <si>
    <t>Phòng ban</t>
  </si>
  <si>
    <t>ưu tiên 1</t>
  </si>
  <si>
    <t>MG</t>
  </si>
  <si>
    <t>Tập trung nhóm ưu tiên</t>
  </si>
  <si>
    <t>Nhóm Ưu tiên &gt;100% =&gt; 1 điểm
Nhóm thường &gt;100% =&gt; 0,5 điểm</t>
  </si>
  <si>
    <r>
      <rPr>
        <b/>
        <sz val="12"/>
        <color rgb="FFFF0000"/>
        <rFont val="Cambria"/>
        <family val="1"/>
      </rPr>
      <t>Nhóm Ưu tiên &lt;100% =&gt; -1 điểm</t>
    </r>
    <r>
      <rPr>
        <sz val="12"/>
        <color theme="1"/>
        <rFont val="Cambria"/>
        <family val="1"/>
      </rPr>
      <t xml:space="preserve">
Nhóm thường &lt;100% =&gt; 0 điểm</t>
    </r>
  </si>
  <si>
    <r>
      <rPr>
        <b/>
        <sz val="12"/>
        <color theme="1"/>
        <rFont val="Cambria"/>
        <family val="1"/>
      </rPr>
      <t xml:space="preserve">xếp điểm theo Rank: </t>
    </r>
    <r>
      <rPr>
        <sz val="12"/>
        <color theme="1"/>
        <rFont val="Cambria"/>
        <family val="1"/>
      </rPr>
      <t xml:space="preserve">
&gt;100% =&gt;1 điểm; 
80-99% =&gt; 0 điểm; 
</t>
    </r>
    <r>
      <rPr>
        <b/>
        <sz val="12"/>
        <color rgb="FFFF0000"/>
        <rFont val="Cambria"/>
        <family val="1"/>
      </rPr>
      <t>dưới 80% -1 điểm</t>
    </r>
  </si>
  <si>
    <t>Nhóm ưu tiên được nhiều điểm hơn</t>
  </si>
  <si>
    <t>Nhóm thường không đạt không bị trừ</t>
  </si>
  <si>
    <t>2. Giá trị đơn hàng</t>
  </si>
  <si>
    <t>3. Thi đua Hệ Thống</t>
  </si>
  <si>
    <t>Điểm hiệu quả = 0</t>
  </si>
  <si>
    <t>Điểm hiệu quả &lt; 0</t>
  </si>
  <si>
    <t xml:space="preserve">Target ST &lt;4.2 tỷ </t>
  </si>
  <si>
    <t>MIN 700tr</t>
  </si>
  <si>
    <t>1.  Doanh Thu</t>
  </si>
  <si>
    <t xml:space="preserve"> Điểm Hiệu Quả = Điểm Doanh Thu + Điểm GTĐH + Điểm Thi đua</t>
  </si>
  <si>
    <t>Doanh thu &gt;= 120%</t>
  </si>
  <si>
    <t>Thi đua &gt;=80% nhóm ưu tiên</t>
  </si>
  <si>
    <t xml:space="preserve"> =&gt; Không tính điểm hiệu quả</t>
  </si>
  <si>
    <t>ST Vượt trội</t>
  </si>
  <si>
    <t>Rule Xử Lý NV Kém Hiệu Quả</t>
  </si>
  <si>
    <t>Doanh thu &gt;= 100%</t>
  </si>
  <si>
    <t>Thi đua &gt;=100% nhóm ưu tiên</t>
  </si>
  <si>
    <t>ST Đạt Target</t>
  </si>
  <si>
    <t>ST Không đạt</t>
  </si>
  <si>
    <t>Doanh thu &lt; 100%</t>
  </si>
  <si>
    <t>Thi đua &lt;80% nhóm ưu tiên</t>
  </si>
  <si>
    <t xml:space="preserve"> =&gt;Tính điểm hiệu quả</t>
  </si>
  <si>
    <t>Chia  theo SL NV</t>
  </si>
  <si>
    <t>Target ST &gt;4,2 tỷ</t>
  </si>
  <si>
    <t>Theo dõi kết quả liên tục 3 tháng ( thuyên chuyển ST nhỏ )</t>
  </si>
  <si>
    <t>Theo dõi kết quả 3 liên tục 3 tháng ( Sa thải theo quy định công ty)</t>
  </si>
  <si>
    <t>Thưởng 500K ( trích từ thưởng thi đua ST)</t>
  </si>
  <si>
    <r>
      <rPr>
        <b/>
        <sz val="12"/>
        <color theme="1"/>
        <rFont val="Cambria"/>
        <family val="1"/>
      </rPr>
      <t xml:space="preserve">xếp điểm theo Rank: 
</t>
    </r>
    <r>
      <rPr>
        <sz val="12"/>
        <color theme="1"/>
        <rFont val="Cambria"/>
        <family val="1"/>
      </rPr>
      <t xml:space="preserve">&gt;130% =&gt; 3 điểm
&gt;110% =&gt; 2 điểm
&gt;100% =&gt;1 điểm; 
80-99% =&gt; 0 điểm; 
</t>
    </r>
    <r>
      <rPr>
        <b/>
        <sz val="12"/>
        <color rgb="FFFF0000"/>
        <rFont val="Cambria"/>
        <family val="1"/>
      </rPr>
      <t>dưới 80% -2 điểm</t>
    </r>
  </si>
  <si>
    <t>Realme</t>
  </si>
  <si>
    <t>VIVO</t>
  </si>
  <si>
    <t>HC (DT)</t>
  </si>
  <si>
    <t>FE (DT)</t>
  </si>
  <si>
    <t>Điểm hiệu quả &gt; X</t>
  </si>
  <si>
    <t>X = 50% nhóm thi đua</t>
  </si>
  <si>
    <t>Hiệu quả QĐ</t>
  </si>
  <si>
    <t>Số lượng</t>
  </si>
  <si>
    <t>Đơn giá</t>
  </si>
  <si>
    <t>SIM</t>
  </si>
  <si>
    <t>z</t>
  </si>
  <si>
    <t>Camera</t>
  </si>
  <si>
    <t>PK - ĐH (DT)</t>
  </si>
  <si>
    <t>MỤC TIÊU DOANH THU THEO NGÀY</t>
  </si>
  <si>
    <t>BẢNG THEO DÕI DT</t>
  </si>
  <si>
    <t>DOANH THU THEO NGÀY</t>
  </si>
  <si>
    <t>Thứ 2</t>
  </si>
  <si>
    <t>Thứ 3</t>
  </si>
  <si>
    <t>Thứ 4</t>
  </si>
  <si>
    <t>Thứ 5</t>
  </si>
  <si>
    <t>Thứ 6</t>
  </si>
  <si>
    <t>Thứ 7</t>
  </si>
  <si>
    <t>CN</t>
  </si>
  <si>
    <t>LK</t>
  </si>
  <si>
    <t>Còn Lại</t>
  </si>
  <si>
    <t>Ví</t>
  </si>
  <si>
    <t>Tháng 1</t>
  </si>
  <si>
    <t>Tháng 2</t>
  </si>
  <si>
    <t>Tháng 3</t>
  </si>
  <si>
    <t>Tháng 4</t>
  </si>
  <si>
    <t>Tháng 5</t>
  </si>
  <si>
    <t>Tháng 6</t>
  </si>
  <si>
    <t>Tháng 7</t>
  </si>
  <si>
    <t>Tháng 8</t>
  </si>
  <si>
    <t>Tháng 9</t>
  </si>
  <si>
    <t>Tháng 10</t>
  </si>
  <si>
    <t>Tháng 11</t>
  </si>
  <si>
    <t>Tháng 12</t>
  </si>
  <si>
    <t>LỢI NHUẬN</t>
  </si>
  <si>
    <t>Lãi gộp</t>
  </si>
  <si>
    <t>chi phí</t>
  </si>
  <si>
    <t>NĂM 2025</t>
  </si>
  <si>
    <t>%TLPVTC</t>
  </si>
  <si>
    <t>Lỗi</t>
  </si>
  <si>
    <t>GD</t>
  </si>
  <si>
    <t>BP All In One - ĐMX</t>
  </si>
  <si>
    <t>BP Trưởng Ca - ĐMX</t>
  </si>
  <si>
    <t>Phạm Thị Uyên - 270148</t>
  </si>
  <si>
    <t>Trần Huy Hoàn - 270828</t>
  </si>
  <si>
    <t>MỤC TIÊU TUẦN</t>
  </si>
  <si>
    <t>Chọn chạy trong tuần</t>
  </si>
  <si>
    <t>MỤC TIÊU STRAM</t>
  </si>
  <si>
    <t>QUY ĐỔI  SL</t>
  </si>
  <si>
    <t>Tuần hiện tại</t>
  </si>
  <si>
    <t>Số tuần của tháng</t>
  </si>
  <si>
    <t>CHỌN</t>
  </si>
  <si>
    <t>Cơ hội hoàn thành &gt;100%</t>
  </si>
  <si>
    <t>Cụm chọn chạy trong tuần</t>
  </si>
  <si>
    <t>Đã An Toàn</t>
  </si>
  <si>
    <t>Không có cơ hội</t>
  </si>
  <si>
    <t>KHÔNG CHỌN</t>
  </si>
  <si>
    <t>Lý do chọn 
mục tiêu tuần</t>
  </si>
  <si>
    <t>LỰA CHỌN MỤC TIÊU STRAM</t>
  </si>
  <si>
    <t>2 cái</t>
  </si>
  <si>
    <t>3 cái</t>
  </si>
  <si>
    <t>TV</t>
  </si>
  <si>
    <t>ML</t>
  </si>
  <si>
    <t>NC</t>
  </si>
  <si>
    <t>DH</t>
  </si>
  <si>
    <t>SIM (SL)</t>
  </si>
  <si>
    <t>Máy Lạnh ( DT)</t>
  </si>
  <si>
    <t>5 cái</t>
  </si>
  <si>
    <t>Target DT</t>
  </si>
  <si>
    <t>Bảo hiểm</t>
  </si>
  <si>
    <t>Audio</t>
  </si>
  <si>
    <t>NẠP</t>
  </si>
  <si>
    <t>TARGET THÁNG</t>
  </si>
  <si>
    <t>Tuần 1</t>
  </si>
  <si>
    <t>Tuần 2</t>
  </si>
  <si>
    <t>Tuần 3</t>
  </si>
  <si>
    <t>Tuần 4</t>
  </si>
  <si>
    <t>Tuần 5</t>
  </si>
  <si>
    <t>X</t>
  </si>
  <si>
    <t>y</t>
  </si>
  <si>
    <t>AA</t>
  </si>
  <si>
    <t>AB</t>
  </si>
  <si>
    <t>AC</t>
  </si>
  <si>
    <t>AD</t>
  </si>
  <si>
    <t>D2</t>
  </si>
  <si>
    <t>D3</t>
  </si>
  <si>
    <t>D1</t>
  </si>
  <si>
    <t>D4</t>
  </si>
  <si>
    <t>% TARGET</t>
  </si>
  <si>
    <t>HomeCredit(HC)</t>
  </si>
  <si>
    <t>FECredit(FE)</t>
  </si>
  <si>
    <t>Trả góp KREDIVO</t>
  </si>
  <si>
    <t>DT Siêu thị (*)</t>
  </si>
  <si>
    <t>Tỷ Trọng Trả Góp (%) (**)</t>
  </si>
  <si>
    <t>Trần Huy Hoàn</t>
  </si>
  <si>
    <t>Nguyễn Thị Ngọc</t>
  </si>
  <si>
    <t>Đỗ Văn Duân</t>
  </si>
  <si>
    <t>Nguyễn Văn Dương</t>
  </si>
  <si>
    <t>Nguyễn Viết Sơn</t>
  </si>
  <si>
    <t>TARGET TUẦN</t>
  </si>
  <si>
    <t>Dơn Vị</t>
  </si>
  <si>
    <t>&lt;&lt; Nhập tay</t>
  </si>
  <si>
    <t>SL ngày</t>
  </si>
  <si>
    <t>Mục Tiêu %DT</t>
  </si>
  <si>
    <t>LUỸ KẾ DT</t>
  </si>
  <si>
    <t>Trả Chậm</t>
  </si>
  <si>
    <t>TRẢ CHẬM</t>
  </si>
  <si>
    <t>Nhập Tay</t>
  </si>
  <si>
    <t>Định hướng hệ thống</t>
  </si>
  <si>
    <t>NĂM 2026</t>
  </si>
  <si>
    <t>Nồi cơm</t>
  </si>
  <si>
    <t>Thẻ tín dụng - SMARTPOS</t>
  </si>
  <si>
    <t>Vina</t>
  </si>
  <si>
    <t>TN</t>
  </si>
  <si>
    <t>4 cái</t>
  </si>
  <si>
    <t>Gia dụng</t>
  </si>
  <si>
    <t>MÁY LỌC KHÔNG KHÍ - HÚT ẨM - HÚT BỤI</t>
  </si>
  <si>
    <t>TỦ LẠNH, TỦ ĐÔNG, TỦ MÁT</t>
  </si>
  <si>
    <t>VAY TIỀN MẶT CAKE VÀ FECREDIT</t>
  </si>
  <si>
    <t>VÍ TRẢ SAU</t>
  </si>
  <si>
    <t>TAI NGHE BLUETOOTH</t>
  </si>
  <si>
    <t>QDH</t>
  </si>
  <si>
    <t>quat</t>
  </si>
  <si>
    <t>Evo</t>
  </si>
  <si>
    <t>SDP</t>
  </si>
  <si>
    <t>LKK</t>
  </si>
  <si>
    <t>Điện Tử</t>
  </si>
  <si>
    <t>Điện Gia dụng ( DT)</t>
  </si>
  <si>
    <t>10 cái</t>
  </si>
  <si>
    <t>MLN:10 cái
Bếp Đôi: 10  cái
Robot: 10 cái
LKK: 10 cái</t>
  </si>
  <si>
    <t>BOTTOM</t>
  </si>
  <si>
    <t>Nhóm ngành hàng</t>
  </si>
  <si>
    <t>Target (QĐ)</t>
  </si>
  <si>
    <t>Lãi gộp QĐ</t>
  </si>
  <si>
    <t>% HT Target (QĐ)</t>
  </si>
  <si>
    <t>+/- DTCK Tháng (QĐ)</t>
  </si>
  <si>
    <t>NNH Điện lạnh</t>
  </si>
  <si>
    <t>NNH Điện gia dụng</t>
  </si>
  <si>
    <t>NNH Laptop</t>
  </si>
  <si>
    <t>NNH Điện tử</t>
  </si>
  <si>
    <t>NNH Điện thoại mới</t>
  </si>
  <si>
    <t>NNH Phụ kiện</t>
  </si>
  <si>
    <t>NNH Thẻ cào</t>
  </si>
  <si>
    <t>NNH VAS</t>
  </si>
  <si>
    <t>NNH Sim số</t>
  </si>
  <si>
    <t>NNH Phụ - AVA Kids</t>
  </si>
  <si>
    <t>NNH Xe Đạp, Dụng cụ thể thao</t>
  </si>
  <si>
    <t>NNH Đồng hồ thời trang</t>
  </si>
  <si>
    <t>NNH Máy cũ</t>
  </si>
  <si>
    <t>NNH IT</t>
  </si>
  <si>
    <t>NNH Không tính doanh thu</t>
  </si>
  <si>
    <t>NNH Dịch vụ</t>
  </si>
  <si>
    <t>NNH Thiết bị làm đẹp</t>
  </si>
  <si>
    <t>NNH Tablet</t>
  </si>
  <si>
    <t>NNH Wearable</t>
  </si>
  <si>
    <t>Doanh thu</t>
  </si>
  <si>
    <t>MLN: 2 cái
Robot: 1 cái
LKK: 1 cái</t>
  </si>
  <si>
    <t>TARGET NGÀY</t>
  </si>
  <si>
    <t>Tập trung đua kéo số</t>
  </si>
  <si>
    <t>SSG</t>
  </si>
  <si>
    <t>Quạt Gió</t>
  </si>
  <si>
    <t>Máy Lạnh</t>
  </si>
  <si>
    <t>SMARTPHONE FLAGSHIP &amp; TABLET ANDROID</t>
  </si>
  <si>
    <t>ICT Cao Cấp (DT)</t>
  </si>
  <si>
    <t>ICT- Tablet  DMX (DT)</t>
  </si>
  <si>
    <t>TLTĐ (DT)</t>
  </si>
  <si>
    <t>Điện Tử (DT)</t>
  </si>
  <si>
    <t>MLN ( DT)</t>
  </si>
  <si>
    <t>Quạt gió (DT)</t>
  </si>
  <si>
    <t>1 cái</t>
  </si>
  <si>
    <t>2 hợp đồng</t>
  </si>
  <si>
    <t>CMR: 3 cái
Loa: 2 cái 
Khung treo: 3 cái
Giá đỡ: 3 cái</t>
  </si>
  <si>
    <t>CMR: 2 cái
Loa: 2 cái 
Khung treo: 3 cái</t>
  </si>
  <si>
    <t>TỔNG CỤM</t>
  </si>
  <si>
    <t>Trần Thị Nhung - 11082</t>
  </si>
  <si>
    <t>Nguyễn Thị Phương Oanh - 164808</t>
  </si>
  <si>
    <t>Nguyễn Anh Tài - 269055</t>
  </si>
  <si>
    <t>Lê Văn Hợp - 279884</t>
  </si>
  <si>
    <t>Trần Thị Nhung</t>
  </si>
  <si>
    <t>Nguyễn Thị Phương Oanh</t>
  </si>
  <si>
    <t>Nguyễn Anh Tài</t>
  </si>
  <si>
    <t>TGDD</t>
  </si>
  <si>
    <t>ĐMX</t>
  </si>
  <si>
    <t>6 TỶ</t>
  </si>
  <si>
    <t>4 TỶ</t>
  </si>
  <si>
    <t>DMX</t>
  </si>
  <si>
    <t>Phạm Văn Thanh - 279935</t>
  </si>
  <si>
    <t>-</t>
  </si>
  <si>
    <t>Target Tháng</t>
  </si>
  <si>
    <t>Luỹ Kế/Target -  %HT</t>
  </si>
  <si>
    <t>/</t>
  </si>
  <si>
    <t>Target Tuần 1</t>
  </si>
  <si>
    <t>Target Tuần 2</t>
  </si>
  <si>
    <t>Target Tuần 3</t>
  </si>
  <si>
    <t>Target Tuần 4</t>
  </si>
  <si>
    <t>Target Tuần 5</t>
  </si>
  <si>
    <t>Tên Nhân Viên</t>
  </si>
  <si>
    <t>Kênh</t>
  </si>
  <si>
    <t>24513 - Cường</t>
  </si>
  <si>
    <t>87996 - Dương</t>
  </si>
  <si>
    <t>QLST</t>
  </si>
  <si>
    <t>Payoo</t>
  </si>
  <si>
    <r>
      <t>Hỗ trợ BI liên hệ user: </t>
    </r>
    <r>
      <rPr>
        <b/>
        <sz val="12"/>
        <color theme="1"/>
        <rFont val="Calibri"/>
        <family val="2"/>
        <scheme val="minor"/>
      </rPr>
      <t>Long - 27325 (034.7777.164)</t>
    </r>
  </si>
  <si>
    <t>TGD_HNA_PLY - 171 Đinh Tiên Hoàng</t>
  </si>
  <si>
    <t>Nguyễn Anh Tài-269055</t>
  </si>
  <si>
    <t>Trần Thị Nhung-11082</t>
  </si>
  <si>
    <t>Nguyễn Thị Phương Oanh-164808</t>
  </si>
  <si>
    <t>Lê Văn Hợp-279884</t>
  </si>
  <si>
    <t>ĐML_HNA_PLY - Thanh Châu</t>
  </si>
  <si>
    <t>Đỗ Văn Duân-62025</t>
  </si>
  <si>
    <t>Nguyễn Trang Nhung-25734</t>
  </si>
  <si>
    <t>Phạm Thị Uyên-270148</t>
  </si>
  <si>
    <t>Nguyễn Thị Ngọc-54026</t>
  </si>
  <si>
    <t>Trần Huy Hoàn-270828</t>
  </si>
  <si>
    <t>Nguyễn Viết Sơn-94065</t>
  </si>
  <si>
    <t>SL  B.Kèm / SL Bill  -  %HQ</t>
  </si>
  <si>
    <t>Thực Đạt/Target -  %HT</t>
  </si>
  <si>
    <t>SL BILL BÁN KÈM</t>
  </si>
  <si>
    <t>SL SP BÁN KÈM</t>
  </si>
  <si>
    <t>SL B.Kèm/SL Bán -  %HQ</t>
  </si>
  <si>
    <t>GTĐH TRUNG BÌNH</t>
  </si>
  <si>
    <t>THI ĐUA ALL</t>
  </si>
  <si>
    <t>THI ĐUA ƯU TIÊN</t>
  </si>
  <si>
    <t>SL Đạt/SL Ư.T -  %HQ</t>
  </si>
  <si>
    <t>SL Đạt/SL TD -  %HQ</t>
  </si>
  <si>
    <t>THI ĐUA CMR, SDP</t>
  </si>
  <si>
    <t>SL CMR  |  SL SDP</t>
  </si>
  <si>
    <t>|</t>
  </si>
  <si>
    <t>ĐÁNH GIÁ NĂNG LỰC THÁNG</t>
  </si>
  <si>
    <t>Đồng Hồ (DT)</t>
  </si>
  <si>
    <t>1 Cái</t>
  </si>
  <si>
    <t>CMR: 10 cái
Loa: 3 cái
SDP: 3 cái</t>
  </si>
  <si>
    <t>Column1</t>
  </si>
  <si>
    <t>NHÓM THI ĐUA2</t>
  </si>
  <si>
    <t>4 hợp đồng</t>
  </si>
  <si>
    <t>TỔNG 1188</t>
  </si>
  <si>
    <t>15 cái</t>
  </si>
  <si>
    <t>20 cái</t>
  </si>
  <si>
    <t>SIÊU THỊ 2</t>
  </si>
  <si>
    <t>TOP</t>
  </si>
  <si>
    <t>Tỷ Trọng Trả Chậm (%) (**)</t>
  </si>
  <si>
    <t>DT Trả Chậm</t>
  </si>
  <si>
    <t>Tỷ Trọng Trả Chậm (%)</t>
  </si>
  <si>
    <t>THỨ 2</t>
  </si>
  <si>
    <t>Ca 1</t>
  </si>
  <si>
    <t>Ca 2</t>
  </si>
  <si>
    <t>Ca 3</t>
  </si>
  <si>
    <t>Ca 4</t>
  </si>
  <si>
    <t>Ca 5</t>
  </si>
  <si>
    <t>Ca 6</t>
  </si>
  <si>
    <t>THỨ 3</t>
  </si>
  <si>
    <t>THỨ 4</t>
  </si>
  <si>
    <t>THỨ 5</t>
  </si>
  <si>
    <t>THỨ 6</t>
  </si>
  <si>
    <t>THỨ 7</t>
  </si>
  <si>
    <t>CHỦ NHẬT</t>
  </si>
  <si>
    <t>GIỜ CÔNG</t>
  </si>
  <si>
    <t>Siêu Thị</t>
  </si>
  <si>
    <t>TARGET  TUẦN 5</t>
  </si>
  <si>
    <t>10  cái</t>
  </si>
  <si>
    <t>HỌC</t>
  </si>
  <si>
    <t>LỊCH LÀM VIỆC CỤM 3947 - 1188</t>
  </si>
  <si>
    <t>TUẦN 2</t>
  </si>
  <si>
    <t>TUẦN 3</t>
  </si>
  <si>
    <t>TUẦN 4</t>
  </si>
  <si>
    <t>TUẦN 5</t>
  </si>
  <si>
    <t>Panasonic</t>
  </si>
  <si>
    <t>TCL</t>
  </si>
  <si>
    <t>BẢNG THEO DÕI KPI DOANH THU CỤM 3947 - 1188</t>
  </si>
  <si>
    <t>BẢNG THEO DÕI KPI TRẢ CHẬM CỤM 3947 - 1188</t>
  </si>
  <si>
    <t>BẢNG THEO DÕI KPI BÁN KÈM - GTĐH - THI ĐUA CỤM 3947 - 1188</t>
  </si>
  <si>
    <t>Pin dự phòng</t>
  </si>
  <si>
    <t>Đồng hồ</t>
  </si>
  <si>
    <t>Phụ kiện - Đồng hồ</t>
  </si>
  <si>
    <t>Trả Chậm FECREDIT, SHINHAN, SAMSUNG FINANCE+</t>
  </si>
  <si>
    <t>Trả Chậm HOMECREDIT</t>
  </si>
  <si>
    <t>Quạt điều hòa</t>
  </si>
  <si>
    <t>Máy lọc nước</t>
  </si>
  <si>
    <t>NH MÁY GIẶT &amp; MÁY GIẶT ĐẶC QUYỀN</t>
  </si>
  <si>
    <t>MÁY SẤY &amp; MÁY RỬA CHÉN</t>
  </si>
  <si>
    <t>Điện Tử TCL</t>
  </si>
  <si>
    <t>ĐIỆN THOẠI, TABLET KÊNH DMX</t>
  </si>
  <si>
    <t>HISEN</t>
  </si>
  <si>
    <t>PANA</t>
  </si>
  <si>
    <t>MRC</t>
  </si>
  <si>
    <t>BHDMX</t>
  </si>
  <si>
    <t>Bảo Hiểm ( DT)</t>
  </si>
  <si>
    <t>Panasonic (DT)</t>
  </si>
  <si>
    <t>Camera (SL)</t>
  </si>
  <si>
    <t>Máy Giặt ( DT)</t>
  </si>
  <si>
    <t>SDP (SL)</t>
  </si>
  <si>
    <t>TV TCL ( DT)</t>
  </si>
  <si>
    <t>Máy Sấy/ MRC ( DT)</t>
  </si>
  <si>
    <t>QĐH( DT)</t>
  </si>
  <si>
    <t>Tai nghe BLT (SL)</t>
  </si>
  <si>
    <t>3 hợp đồng</t>
  </si>
  <si>
    <t xml:space="preserve">CMR: 1 cái
Loa: 1 cái </t>
  </si>
  <si>
    <t>MLN: 1 cái LKK: 1 cái</t>
  </si>
  <si>
    <t>7 cái</t>
  </si>
  <si>
    <t>8 cái</t>
  </si>
  <si>
    <t>1 Hợp đồng</t>
  </si>
  <si>
    <t>Phạm Văn Thanh-279935</t>
  </si>
  <si>
    <t>Phạm Văn Thanh</t>
  </si>
  <si>
    <t>Lê Văn Hợp</t>
  </si>
  <si>
    <t>DMX 2026</t>
  </si>
  <si>
    <t>TGDD 2026</t>
  </si>
  <si>
    <t>Ưu tiên 2</t>
  </si>
  <si>
    <t>Tỷ Trọng Trả Chậm</t>
  </si>
  <si>
    <t>LG</t>
  </si>
  <si>
    <t>DTLK áp dụng MNGN</t>
  </si>
  <si>
    <t>%DT áp dụng MNGN</t>
  </si>
  <si>
    <t>Lượt bill bán kèm</t>
  </si>
  <si>
    <t>%Bill bán kèm</t>
  </si>
  <si>
    <t>Lượt bill MNGN</t>
  </si>
  <si>
    <t>%Bill MNGN</t>
  </si>
  <si>
    <t>Lượt Bill Bán Hàng</t>
  </si>
  <si>
    <t>Lượt bill bán hàng (trừ Online, Trả Chậm)</t>
  </si>
  <si>
    <t>SLLK SP bán kèm</t>
  </si>
  <si>
    <t>%SP bán kèm</t>
  </si>
  <si>
    <t>SLLK SP MNGN</t>
  </si>
  <si>
    <t>%SP MNGN</t>
  </si>
  <si>
    <t>SLLK (trừ thu hộ)</t>
  </si>
  <si>
    <t>SLLK (trừ thu hộ, OL,TG và SP không tính bán kèm)</t>
  </si>
  <si>
    <t>BP Quản Lý Siêu Thị - ĐMX</t>
  </si>
  <si>
    <t>MLKK/ Hút Bụi/ Hút ẩm</t>
  </si>
  <si>
    <t>Nguyễn Thành Đạt-280855</t>
  </si>
  <si>
    <t>Nguyễn Thành Đạt - 280855</t>
  </si>
  <si>
    <t>Nguyễn Thành Đạt</t>
  </si>
  <si>
    <t>TRUYỀN THÔNG</t>
  </si>
  <si>
    <t>Phạm Thị Thu Hoài - 180409</t>
  </si>
  <si>
    <t xml:space="preserve">MỤC TIÊU </t>
  </si>
  <si>
    <t xml:space="preserve"> Oanh - 164808</t>
  </si>
  <si>
    <t>Nhung - 11082</t>
  </si>
  <si>
    <t>Tài - 269055</t>
  </si>
  <si>
    <t>Hợp - 279884</t>
  </si>
  <si>
    <t>Duân - 62025</t>
  </si>
  <si>
    <t>Sơn - 94065</t>
  </si>
  <si>
    <t>Ngọc - 54026</t>
  </si>
  <si>
    <t>Hoàn - 270828</t>
  </si>
  <si>
    <t>Nhung - 25734</t>
  </si>
  <si>
    <t>Thanh - 279935</t>
  </si>
  <si>
    <t>Đạt-280855</t>
  </si>
  <si>
    <t>Chọn</t>
  </si>
  <si>
    <t>Không Chọn</t>
  </si>
  <si>
    <t>Column3</t>
  </si>
  <si>
    <t>Column4</t>
  </si>
  <si>
    <t>Column6</t>
  </si>
  <si>
    <t>Column9</t>
  </si>
  <si>
    <t>Column12</t>
  </si>
  <si>
    <t>Column15</t>
  </si>
  <si>
    <t>Column17</t>
  </si>
  <si>
    <t>Column20</t>
  </si>
  <si>
    <t>Column23</t>
  </si>
  <si>
    <t>MỤC TIÊU TUẦN2</t>
  </si>
  <si>
    <t>Quy Đổi  SL5</t>
  </si>
  <si>
    <t>MỤC TIÊU STRAM7</t>
  </si>
  <si>
    <t>Quy Đổi  SL8</t>
  </si>
  <si>
    <t>MỤC TIÊU STRAM10</t>
  </si>
  <si>
    <t>Quy Đổi  SL11</t>
  </si>
  <si>
    <t>MỤC TIÊU STRAM13</t>
  </si>
  <si>
    <t>Quy Đổi  SL14</t>
  </si>
  <si>
    <t>MỤC TIÊU 7</t>
  </si>
  <si>
    <t>MỤC TIÊU 10</t>
  </si>
  <si>
    <t>MỤC TIÊU 13</t>
  </si>
  <si>
    <t>Quy Đổi  SL16</t>
  </si>
  <si>
    <t>MỤC TIÊU 18</t>
  </si>
  <si>
    <t>Quy Đổi  SL19</t>
  </si>
  <si>
    <t>MỤC TIÊU 21</t>
  </si>
  <si>
    <t>Quy Đổi  SL22</t>
  </si>
  <si>
    <t>MỤC TIÊU STRAM24</t>
  </si>
  <si>
    <t>Quy Đổi  SL25</t>
  </si>
  <si>
    <t>20 Hợp dồng</t>
  </si>
  <si>
    <t>CMR: 30 Cái
Loa: 5  cái
Khung treo: 10 cái
Giá đỡ: 5 cái</t>
  </si>
  <si>
    <t>CMR: 15 cái
Loa: 3 cái</t>
  </si>
  <si>
    <t>1 Hợp dồng</t>
  </si>
  <si>
    <t>Quy Đổi  SL2</t>
  </si>
  <si>
    <t>CMR: 3 cái
Loa: 2 cái 
Khung treo: 3 cái
Giá đỡ: 2 cái</t>
  </si>
  <si>
    <t xml:space="preserve">CMR: 3 cái
Loa: 2 cái
Khung treo:3 cái </t>
  </si>
  <si>
    <t>MLN: 1 cái 
LKK: 1 cái</t>
  </si>
  <si>
    <t>MLN: 1 cái
Robot: 1 cái
LKK: 1 cái</t>
  </si>
  <si>
    <t>CMR: 4  cái
Loa: 1 cái</t>
  </si>
  <si>
    <t>1  hợp dồng</t>
  </si>
  <si>
    <t>6 Tr</t>
  </si>
  <si>
    <t>CMR: 3 cái
Loa: 1 cái</t>
  </si>
  <si>
    <t>CMR: 6 cái
Loa: 1 cái</t>
  </si>
  <si>
    <t>CMR: 5 cái
Loa: 1 cái</t>
  </si>
  <si>
    <t>TPBANK EVO</t>
  </si>
  <si>
    <t>Máy giặt, Máy sấy, Máy rửa chén T5 &amp; T6/2026</t>
  </si>
  <si>
    <t>10 Hợp đồng</t>
  </si>
  <si>
    <t>50 cái</t>
  </si>
  <si>
    <t>2  cái</t>
  </si>
  <si>
    <t>1 hợp đồng</t>
  </si>
  <si>
    <t>Samsung Finance +</t>
  </si>
  <si>
    <t>BP Bán Hàng TGDĐ - IT</t>
  </si>
  <si>
    <t>SIM MOBIFONE&amp;VINAPHONE&amp;SIM ĐMX</t>
  </si>
  <si>
    <t>Sim Tổng</t>
  </si>
  <si>
    <t>Dịch vụ VAS</t>
  </si>
  <si>
    <t>MỞ THẺ TÍN DỤNG TPBANK EVO VÀ VPBANK MWG</t>
  </si>
  <si>
    <t>NẠP RÚT TIỀN TÀI KHOẢN NGÂN HÀNG &amp; THU HỘ</t>
  </si>
  <si>
    <t>PIN SẠC DỰ PHÒNG</t>
  </si>
  <si>
    <t>Bảo hiểm Thợ Điện Máy Xanh</t>
  </si>
  <si>
    <t>ĐIỆN THOẠI &amp; TABLET ANDROID</t>
  </si>
  <si>
    <t>Vivo</t>
  </si>
  <si>
    <t>FECREDIT, SHINHAN, SAMSUNG FINANCE+</t>
  </si>
  <si>
    <t>TRẢ CHẬM HOMECREDIT</t>
  </si>
  <si>
    <t>ĐỒNG HỒ</t>
  </si>
  <si>
    <t>LOA</t>
  </si>
  <si>
    <t>PHỤ KIỆN - ĐỒNG HỒ</t>
  </si>
  <si>
    <t>CE - Gia dụng đặc quyền LG</t>
  </si>
  <si>
    <t>Quạt điều hoà</t>
  </si>
  <si>
    <t>Quạt gió</t>
  </si>
  <si>
    <t>HISENSE</t>
  </si>
  <si>
    <t>CE Samsung</t>
  </si>
  <si>
    <t>Điện tử</t>
  </si>
  <si>
    <t>MÁY LẠNH SUNHOUSE</t>
  </si>
  <si>
    <t>Máy Lọc nước</t>
  </si>
  <si>
    <t>Máy Lạnh - Nagakawa</t>
  </si>
  <si>
    <t>SAMSUNG</t>
  </si>
  <si>
    <t>SUN</t>
  </si>
  <si>
    <t>NAGA</t>
  </si>
  <si>
    <t>AUDIO</t>
  </si>
  <si>
    <t>VIP</t>
  </si>
  <si>
    <t>x</t>
  </si>
  <si>
    <t>Nhân viên Mới 1</t>
  </si>
  <si>
    <t>Nhân viên mới 2</t>
  </si>
  <si>
    <t>ICT Androi (DT)</t>
  </si>
  <si>
    <t>CE SAMSUNG (DT)</t>
  </si>
  <si>
    <t>VIVO (DT)</t>
  </si>
  <si>
    <t>LKK/HA/HB (DT)</t>
  </si>
  <si>
    <t>Ví Trả Sau(DT)</t>
  </si>
  <si>
    <t>Vay Tiền Mặt (DT)</t>
  </si>
  <si>
    <t>Bảo Hiểm Thợ DMX (DT)</t>
  </si>
  <si>
    <t>Vivo (DT)</t>
  </si>
  <si>
    <t>Bảo Hiểm (DT)</t>
  </si>
  <si>
    <t>Ví Trả Sau( DT)</t>
  </si>
  <si>
    <t>Tuần</t>
  </si>
  <si>
    <t>Tỷ trọng</t>
  </si>
  <si>
    <t>W1</t>
  </si>
  <si>
    <t>W2</t>
  </si>
  <si>
    <t>W3</t>
  </si>
  <si>
    <t>W4</t>
  </si>
  <si>
    <t>W5</t>
  </si>
  <si>
    <t>Tuần đang chạy</t>
  </si>
  <si>
    <t>LK Tuần 1</t>
  </si>
  <si>
    <t>LK Tuần 2</t>
  </si>
  <si>
    <t>LK Tuần 3</t>
  </si>
  <si>
    <t>LK Tuần 4</t>
  </si>
  <si>
    <t>LK Tuần 5</t>
  </si>
  <si>
    <t>KQ Tuần</t>
  </si>
  <si>
    <t>DT</t>
  </si>
  <si>
    <t>TC</t>
  </si>
  <si>
    <t>STORE</t>
  </si>
  <si>
    <t>DML</t>
  </si>
  <si>
    <t>Nhân viên Mới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</si>
</sst>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(* #,##0_);_(* \(#,##0\);_(* &quot;-&quot;_);_(@_)"/>
    <numFmt numFmtId="43" formatCode="_(* #,##0.00_);_(* \(#,##0.00\);_(* &quot;-&quot;??_);_(@_)"/>
    <numFmt numFmtId="164" formatCode="0.0"/>
    <numFmt numFmtId="165" formatCode="m/d/yyyy;@"/>
    <numFmt numFmtId="166" formatCode="#,##0.0"/>
    <numFmt numFmtId="167" formatCode="0.0%"/>
    <numFmt numFmtId="168" formatCode="d/m"/>
    <numFmt numFmtId="169" formatCode="d/m/yyyy"/>
    <numFmt numFmtId="170" formatCode="dd/mm"/>
  </numFmts>
  <fonts count="174">
    <font>
      <sz val="12"/>
      <color theme="1"/>
      <name val="Calibri"/>
      <family val="2"/>
      <scheme val="minor"/>
    </font>
    <font>
      <sz val="12"/>
      <color theme="1"/>
      <name val="Cambria"/>
      <family val="1"/>
    </font>
    <font>
      <b/>
      <sz val="12"/>
      <color theme="1"/>
      <name val="Cambria"/>
      <family val="1"/>
    </font>
    <font>
      <sz val="12"/>
      <color rgb="FFFF0000"/>
      <name val="Cambria"/>
      <family val="1"/>
    </font>
    <font>
      <b/>
      <sz val="12"/>
      <color rgb="FFFF0000"/>
      <name val="Cambria"/>
      <family val="1"/>
    </font>
    <font>
      <b/>
      <sz val="22"/>
      <color theme="1"/>
      <name val="Cambria"/>
      <family val="1"/>
    </font>
    <font>
      <sz val="12"/>
      <name val="Cambria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sz val="12"/>
      <color theme="1"/>
      <name val="Calibri"/>
      <family val="2"/>
      <scheme val="minor"/>
    </font>
    <font>
      <b/>
      <sz val="16"/>
      <color rgb="FFFF0000"/>
      <name val="Cambria"/>
      <family val="1"/>
    </font>
    <font>
      <sz val="11"/>
      <color theme="1"/>
      <name val="Cambria"/>
      <family val="1"/>
    </font>
    <font>
      <b/>
      <sz val="11"/>
      <color theme="1"/>
      <name val="Cambria"/>
      <family val="1"/>
    </font>
    <font>
      <sz val="11"/>
      <name val="Cambria"/>
      <family val="1"/>
    </font>
    <font>
      <sz val="12"/>
      <color rgb="FF858796"/>
      <name val="Helvetica Neue"/>
      <family val="2"/>
    </font>
    <font>
      <b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2"/>
      <color rgb="FF858796"/>
      <name val="Helvetica Neue"/>
      <family val="2"/>
    </font>
    <font>
      <sz val="12"/>
      <color rgb="FF17BB09"/>
      <name val="Helvetica Neue"/>
      <family val="2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sz val="13"/>
      <color rgb="FF858796"/>
      <name val="Helvetica Neue"/>
      <family val="2"/>
    </font>
    <font>
      <sz val="11"/>
      <color theme="1"/>
      <name val="Calibri"/>
      <family val="2"/>
      <scheme val="minor"/>
    </font>
    <font>
      <sz val="10"/>
      <name val="Cambria"/>
      <family val="1"/>
    </font>
    <font>
      <sz val="12"/>
      <color indexed="8"/>
      <name val="Aptos Narrow"/>
      <family val="2"/>
    </font>
    <font>
      <sz val="12"/>
      <color theme="1"/>
      <name val="Aptos Narrow"/>
      <family val="2"/>
    </font>
    <font>
      <sz val="12"/>
      <name val="Aptos Narrow"/>
      <family val="2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b/>
      <sz val="12"/>
      <color rgb="FFFFFF00"/>
      <name val="Aptos Narrow"/>
      <family val="2"/>
    </font>
    <font>
      <sz val="12"/>
      <color rgb="FFFFFF00"/>
      <name val="Aptos Narrow"/>
      <family val="2"/>
    </font>
    <font>
      <sz val="12"/>
      <color theme="0"/>
      <name val="Times New Roman"/>
      <family val="1"/>
    </font>
    <font>
      <i/>
      <sz val="11"/>
      <color rgb="FFFF0000"/>
      <name val="Cambria"/>
      <family val="1"/>
    </font>
    <font>
      <sz val="10"/>
      <color theme="1"/>
      <name val="Cambria"/>
      <family val="1"/>
    </font>
    <font>
      <b/>
      <sz val="14"/>
      <color rgb="FFFF0000"/>
      <name val="Cambria"/>
      <family val="1"/>
    </font>
    <font>
      <b/>
      <sz val="11"/>
      <name val="Cambria"/>
      <family val="1"/>
    </font>
    <font>
      <b/>
      <sz val="18"/>
      <color theme="0"/>
      <name val="Cambria"/>
      <family val="1"/>
    </font>
    <font>
      <sz val="10"/>
      <color theme="0"/>
      <name val="Cambria"/>
      <family val="1"/>
    </font>
    <font>
      <b/>
      <sz val="14"/>
      <color theme="1"/>
      <name val="Cambria"/>
      <family val="1"/>
    </font>
    <font>
      <sz val="12"/>
      <color rgb="FFF44336"/>
      <name val="Helvetica Neue"/>
      <family val="2"/>
    </font>
    <font>
      <sz val="16"/>
      <color rgb="FF858796"/>
      <name val="Helvetica Neue"/>
      <family val="2"/>
    </font>
    <font>
      <sz val="16"/>
      <color theme="1"/>
      <name val="Cambria"/>
      <family val="1"/>
    </font>
    <font>
      <sz val="16"/>
      <color theme="1"/>
      <name val="Calibri"/>
      <family val="2"/>
      <scheme val="minor"/>
    </font>
    <font>
      <b/>
      <sz val="11"/>
      <color rgb="FFFF0000"/>
      <name val="Cambria"/>
      <family val="1"/>
    </font>
    <font>
      <sz val="8"/>
      <name val="Calibri"/>
      <family val="2"/>
      <scheme val="minor"/>
    </font>
    <font>
      <b/>
      <sz val="11"/>
      <color theme="0"/>
      <name val="Cambria"/>
      <family val="1"/>
    </font>
    <font>
      <sz val="14"/>
      <color rgb="FF858796"/>
      <name val="Helvetica Neue"/>
      <family val="2"/>
    </font>
    <font>
      <sz val="14"/>
      <color theme="1"/>
      <name val="Calibri"/>
      <family val="2"/>
      <scheme val="minor"/>
    </font>
    <font>
      <sz val="9"/>
      <color theme="1"/>
      <name val="Cambria"/>
      <family val="1"/>
    </font>
    <font>
      <sz val="9"/>
      <name val="Cambria"/>
      <family val="1"/>
    </font>
    <font>
      <sz val="9"/>
      <color rgb="FFFF0000"/>
      <name val="Cambria"/>
      <family val="1"/>
    </font>
    <font>
      <b/>
      <sz val="16"/>
      <color theme="0"/>
      <name val="Cambria"/>
      <family val="1"/>
    </font>
    <font>
      <sz val="12"/>
      <color rgb="FFFF0000"/>
      <name val="Helvetica Neue"/>
      <family val="2"/>
    </font>
    <font>
      <sz val="12"/>
      <color rgb="FF0029FF"/>
      <name val="Helvetica Neue"/>
      <family val="2"/>
    </font>
    <font>
      <b/>
      <sz val="12"/>
      <color rgb="FF5A5C69"/>
      <name val="Helvetica Neue"/>
      <family val="2"/>
    </font>
    <font>
      <b/>
      <sz val="18"/>
      <color rgb="FFFF0000"/>
      <name val="Cambria"/>
      <family val="1"/>
    </font>
    <font>
      <b/>
      <sz val="28"/>
      <color theme="1"/>
      <name val="Cambria"/>
      <family val="1"/>
    </font>
    <font>
      <i/>
      <sz val="12"/>
      <color theme="1"/>
      <name val="Cambria"/>
      <family val="1"/>
    </font>
    <font>
      <b/>
      <i/>
      <sz val="16"/>
      <color rgb="FFFF0000"/>
      <name val="Cambria"/>
      <family val="1"/>
    </font>
    <font>
      <b/>
      <i/>
      <sz val="12"/>
      <color theme="1"/>
      <name val="Cambria"/>
      <family val="1"/>
    </font>
    <font>
      <i/>
      <sz val="16"/>
      <color rgb="FFFF0000"/>
      <name val="Cambria"/>
      <family val="1"/>
    </font>
    <font>
      <b/>
      <sz val="16"/>
      <name val="Times New Roman"/>
      <family val="1"/>
    </font>
    <font>
      <b/>
      <sz val="14"/>
      <name val="Cambria"/>
      <family val="1"/>
    </font>
    <font>
      <b/>
      <sz val="14"/>
      <color theme="0"/>
      <name val="Cambria"/>
      <family val="1"/>
    </font>
    <font>
      <i/>
      <sz val="14"/>
      <color theme="1"/>
      <name val="Cambria"/>
      <family val="1"/>
    </font>
    <font>
      <i/>
      <sz val="11"/>
      <color theme="5"/>
      <name val="Cambria"/>
      <family val="1"/>
    </font>
    <font>
      <sz val="9"/>
      <color theme="0"/>
      <name val="Cambria"/>
      <family val="1"/>
    </font>
    <font>
      <i/>
      <sz val="12"/>
      <color rgb="FFFF0000"/>
      <name val="Cambria"/>
      <family val="1"/>
    </font>
    <font>
      <i/>
      <sz val="11"/>
      <name val="Cambria"/>
      <family val="1"/>
    </font>
    <font>
      <b/>
      <sz val="10"/>
      <color theme="0"/>
      <name val="Cambria"/>
      <family val="1"/>
    </font>
    <font>
      <sz val="10"/>
      <color rgb="FFFF0000"/>
      <name val="Cambria"/>
      <family val="1"/>
    </font>
    <font>
      <b/>
      <sz val="10"/>
      <color theme="1"/>
      <name val="Cambria"/>
      <family val="1"/>
    </font>
    <font>
      <sz val="10"/>
      <color theme="2" tint="-9.9978637043366805E-2"/>
      <name val="Cambria"/>
      <family val="1"/>
    </font>
    <font>
      <b/>
      <sz val="9"/>
      <color theme="1"/>
      <name val="Cambria"/>
      <family val="1"/>
    </font>
    <font>
      <sz val="9"/>
      <color theme="2" tint="-9.9978637043366805E-2"/>
      <name val="Cambria"/>
      <family val="1"/>
    </font>
    <font>
      <sz val="10"/>
      <color theme="1"/>
      <name val="Roboto"/>
    </font>
    <font>
      <i/>
      <sz val="10"/>
      <color rgb="FFFF0000"/>
      <name val="Cambria"/>
      <family val="1"/>
    </font>
    <font>
      <b/>
      <sz val="10"/>
      <name val="Cambria"/>
      <family val="1"/>
    </font>
    <font>
      <b/>
      <sz val="16"/>
      <color theme="1"/>
      <name val="Cambria"/>
      <family val="1"/>
    </font>
    <font>
      <b/>
      <sz val="12"/>
      <color rgb="FF6E707E"/>
      <name val="Font Awesome 6 Free"/>
    </font>
    <font>
      <b/>
      <sz val="12"/>
      <color theme="0"/>
      <name val="Cambria"/>
      <family val="1"/>
    </font>
    <font>
      <i/>
      <sz val="10"/>
      <color theme="1"/>
      <name val="Cambria"/>
      <family val="1"/>
    </font>
    <font>
      <b/>
      <i/>
      <sz val="10"/>
      <color rgb="FFFF0000"/>
      <name val="Cambria"/>
      <family val="1"/>
    </font>
    <font>
      <b/>
      <sz val="22"/>
      <color theme="0"/>
      <name val="Cambria"/>
      <family val="1"/>
    </font>
    <font>
      <sz val="9"/>
      <color theme="0" tint="-0.249977111117893"/>
      <name val="Cambria"/>
      <family val="1"/>
    </font>
    <font>
      <b/>
      <sz val="10"/>
      <color rgb="FF858796"/>
      <name val="Helvetica Neue"/>
      <family val="2"/>
    </font>
    <font>
      <b/>
      <sz val="10"/>
      <color rgb="FFFF0000"/>
      <name val="Cambria"/>
      <family val="1"/>
    </font>
    <font>
      <sz val="8"/>
      <color theme="1"/>
      <name val="Calibri"/>
      <family val="2"/>
      <scheme val="minor"/>
    </font>
    <font>
      <sz val="8"/>
      <color theme="1"/>
      <name val="Cambria"/>
      <family val="1"/>
    </font>
    <font>
      <b/>
      <sz val="10"/>
      <color theme="1"/>
      <name val="Roboto"/>
    </font>
    <font>
      <i/>
      <sz val="10"/>
      <color rgb="FFFFC000"/>
      <name val="Cambria"/>
      <family val="1"/>
    </font>
    <font>
      <i/>
      <sz val="10"/>
      <color theme="3" tint="0.39997558519241921"/>
      <name val="Cambria"/>
      <family val="1"/>
    </font>
    <font>
      <b/>
      <sz val="25"/>
      <color rgb="FFFF0000"/>
      <name val="Cambria"/>
      <family val="1"/>
    </font>
    <font>
      <b/>
      <sz val="20"/>
      <color theme="1"/>
      <name val="Cambria"/>
      <family val="1"/>
    </font>
    <font>
      <b/>
      <i/>
      <sz val="10"/>
      <color theme="0"/>
      <name val="Cambria"/>
      <family val="1"/>
    </font>
    <font>
      <sz val="9"/>
      <color rgb="FFFFFF00"/>
      <name val="Cambria"/>
      <family val="1"/>
    </font>
    <font>
      <b/>
      <sz val="16"/>
      <color theme="1"/>
      <name val="Times New Roman"/>
      <family val="1"/>
    </font>
    <font>
      <sz val="16"/>
      <color theme="1"/>
      <name val="Times New Roman"/>
      <family val="1"/>
    </font>
    <font>
      <b/>
      <sz val="36"/>
      <color theme="1"/>
      <name val="Times New Roman"/>
      <family val="1"/>
    </font>
    <font>
      <b/>
      <sz val="16"/>
      <color rgb="FFFFFF00"/>
      <name val="Times New Roman"/>
      <family val="1"/>
    </font>
    <font>
      <i/>
      <sz val="10"/>
      <color theme="0" tint="-0.499984740745262"/>
      <name val="Cambria"/>
      <family val="1"/>
    </font>
    <font>
      <sz val="12"/>
      <color rgb="FF0D6EFD"/>
      <name val="Helvetica Neue"/>
      <family val="2"/>
    </font>
    <font>
      <b/>
      <sz val="20"/>
      <color rgb="FFFF0000"/>
      <name val="Cambria"/>
      <family val="1"/>
    </font>
    <font>
      <sz val="20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2"/>
      <color theme="0"/>
      <name val="Cambria"/>
      <family val="1"/>
    </font>
    <font>
      <i/>
      <sz val="11"/>
      <color theme="1"/>
      <name val="Cambria"/>
      <family val="1"/>
    </font>
    <font>
      <b/>
      <i/>
      <sz val="11"/>
      <color theme="1"/>
      <name val="Cambria"/>
      <family val="1"/>
    </font>
    <font>
      <b/>
      <sz val="13"/>
      <color rgb="FF6E707E"/>
      <name val="Font Awesome 6 Free"/>
    </font>
    <font>
      <sz val="12"/>
      <color rgb="FF00B0F0"/>
      <name val="Times New Roman"/>
      <family val="1"/>
    </font>
    <font>
      <b/>
      <sz val="24"/>
      <color rgb="FFFFFF00"/>
      <name val="Cambria"/>
      <family val="1"/>
    </font>
    <font>
      <sz val="12"/>
      <color rgb="FF00B0F0"/>
      <name val="Cambria"/>
      <family val="1"/>
    </font>
    <font>
      <sz val="14"/>
      <color theme="1"/>
      <name val="Cambria"/>
      <family val="1"/>
    </font>
    <font>
      <sz val="14"/>
      <color theme="0"/>
      <name val="Cambria"/>
      <family val="1"/>
    </font>
    <font>
      <sz val="9"/>
      <color theme="1"/>
      <name val="Calibri"/>
      <family val="2"/>
      <scheme val="minor"/>
    </font>
    <font>
      <sz val="9"/>
      <color rgb="FF858796"/>
      <name val="Helvetica Neue"/>
      <family val="2"/>
    </font>
    <font>
      <sz val="9"/>
      <color rgb="FFF44336"/>
      <name val="Helvetica Neue"/>
      <family val="2"/>
    </font>
    <font>
      <sz val="9"/>
      <color rgb="FF17BB09"/>
      <name val="Helvetica Neue"/>
      <family val="2"/>
    </font>
    <font>
      <sz val="9"/>
      <color rgb="FFFF0000"/>
      <name val="Helvetica Neue"/>
      <family val="2"/>
    </font>
    <font>
      <sz val="12"/>
      <color rgb="FF0070C0"/>
      <name val="Times New Roman"/>
      <family val="1"/>
    </font>
    <font>
      <sz val="11"/>
      <color rgb="FF0070C0"/>
      <name val="Cambria"/>
      <family val="1"/>
    </font>
    <font>
      <b/>
      <sz val="10"/>
      <color rgb="FFFFFF00"/>
      <name val="Helvetica Neue"/>
      <family val="2"/>
    </font>
    <font>
      <b/>
      <sz val="10"/>
      <color rgb="FFFFFF00"/>
      <name val="Cambria"/>
      <family val="1"/>
    </font>
    <font>
      <u/>
      <sz val="12"/>
      <color theme="10"/>
      <name val="Calibri"/>
      <family val="2"/>
      <scheme val="minor"/>
    </font>
    <font>
      <b/>
      <sz val="14"/>
      <color rgb="FFFFFF00"/>
      <name val="Cambria"/>
      <family val="1"/>
    </font>
    <font>
      <sz val="10"/>
      <color theme="1"/>
      <name val="Aptos Narrow"/>
      <family val="2"/>
    </font>
    <font>
      <i/>
      <sz val="10"/>
      <color theme="0"/>
      <name val="Cambria"/>
      <family val="1"/>
    </font>
    <font>
      <b/>
      <sz val="13"/>
      <color rgb="FF858796"/>
      <name val="Helvetica Neue"/>
      <family val="2"/>
    </font>
    <font>
      <sz val="12"/>
      <color rgb="FFFFFF00"/>
      <name val="Cambria"/>
      <family val="1"/>
    </font>
    <font>
      <sz val="12"/>
      <color rgb="FF008000"/>
      <name val="Helvetica Neue"/>
      <family val="2"/>
    </font>
    <font>
      <b/>
      <sz val="15"/>
      <color theme="1"/>
      <name val="Cambria"/>
      <family val="1"/>
    </font>
    <font>
      <b/>
      <sz val="12"/>
      <name val="Cambria"/>
      <family val="1"/>
    </font>
    <font>
      <b/>
      <sz val="12"/>
      <color rgb="FF002060"/>
      <name val="Cambria"/>
      <family val="1"/>
    </font>
    <font>
      <sz val="14"/>
      <name val="Cambria"/>
      <family val="1"/>
    </font>
    <font>
      <sz val="13"/>
      <color rgb="FF17BB09"/>
      <name val="Helvetica Neue"/>
      <family val="2"/>
    </font>
    <font>
      <b/>
      <sz val="28"/>
      <color rgb="FFFFFF00"/>
      <name val="Cambria"/>
      <family val="1"/>
    </font>
    <font>
      <sz val="12"/>
      <color rgb="FF000000"/>
      <name val="Cambria"/>
      <family val="1"/>
    </font>
    <font>
      <sz val="8"/>
      <color rgb="FF000000"/>
      <name val="Cambria"/>
      <family val="1"/>
    </font>
    <font>
      <b/>
      <sz val="12"/>
      <color rgb="FF6E707E"/>
      <name val="Font Awesome 6 Free"/>
    </font>
    <font>
      <sz val="10"/>
      <color rgb="FF000000"/>
      <name val="Cambria"/>
      <family val="1"/>
    </font>
    <font>
      <i/>
      <sz val="10"/>
      <color theme="0" tint="-0.34998626667073579"/>
      <name val="Cambria"/>
      <family val="1"/>
    </font>
    <font>
      <sz val="10"/>
      <color theme="0" tint="-0.34998626667073579"/>
      <name val="Cambria"/>
      <family val="1"/>
    </font>
    <font>
      <b/>
      <sz val="10"/>
      <color theme="0" tint="-0.34998626667073579"/>
      <name val="Cambria"/>
      <family val="1"/>
    </font>
    <font>
      <i/>
      <sz val="10"/>
      <color rgb="FF000000"/>
      <name val="Cambria"/>
      <family val="1"/>
    </font>
    <font>
      <b/>
      <sz val="12"/>
      <color rgb="FF858796"/>
      <name val="Font Awesome 6 Free"/>
    </font>
    <font>
      <b/>
      <sz val="12"/>
      <color rgb="FF6E707E"/>
      <name val="Font Awesome 6 Free"/>
    </font>
    <font>
      <sz val="12"/>
      <color theme="0"/>
      <name val="Calibri"/>
      <family val="2"/>
      <scheme val="minor"/>
    </font>
    <font>
      <b/>
      <sz val="9"/>
      <color theme="0"/>
      <name val="Cambria"/>
      <family val="1"/>
    </font>
    <font>
      <b/>
      <sz val="11"/>
      <color rgb="FF00B0F0"/>
      <name val="Cambria"/>
      <family val="1"/>
    </font>
    <font>
      <sz val="11"/>
      <color theme="0"/>
      <name val="Cambria"/>
      <family val="1"/>
    </font>
    <font>
      <sz val="10"/>
      <color theme="0"/>
      <name val="Calibri"/>
      <family val="2"/>
      <scheme val="minor"/>
    </font>
    <font>
      <b/>
      <sz val="11"/>
      <color rgb="FFFFFF00"/>
      <name val="Cambria"/>
      <family val="1"/>
    </font>
    <font>
      <b/>
      <sz val="10"/>
      <color theme="1" tint="0.14999847407452621"/>
      <name val="Cambria"/>
      <family val="1"/>
    </font>
    <font>
      <b/>
      <sz val="14"/>
      <color theme="1" tint="0.14999847407452621"/>
      <name val="Cambria"/>
      <family val="1"/>
    </font>
    <font>
      <b/>
      <sz val="18"/>
      <color theme="1" tint="0.14999847407452621"/>
      <name val="Cambria"/>
      <family val="1"/>
    </font>
    <font>
      <b/>
      <sz val="11"/>
      <color theme="1" tint="0.14999847407452621"/>
      <name val="Cambria"/>
      <family val="1"/>
    </font>
    <font>
      <i/>
      <sz val="9"/>
      <color theme="1"/>
      <name val="Cambria"/>
      <family val="1"/>
    </font>
    <font>
      <i/>
      <sz val="9"/>
      <color rgb="FF000000"/>
      <name val="Cambria"/>
      <family val="1"/>
    </font>
    <font>
      <sz val="12"/>
      <color rgb="FFFF0000"/>
      <name val="Calibri"/>
      <family val="2"/>
      <scheme val="minor"/>
    </font>
    <font>
      <b/>
      <sz val="12"/>
      <color rgb="FF6E707E"/>
      <name val="Font Awesome 6 Free"/>
    </font>
    <font>
      <b/>
      <sz val="13"/>
      <color rgb="FF5A5C69"/>
      <name val="Helvetica Neue"/>
      <family val="2"/>
    </font>
    <font>
      <b/>
      <sz val="12"/>
      <color rgb="FF6E707E"/>
      <name val="Font Awesome 6 Free"/>
    </font>
    <font>
      <sz val="12"/>
      <color theme="0"/>
      <name val="Aptos Narrow"/>
      <family val="2"/>
    </font>
    <font>
      <b/>
      <sz val="12"/>
      <color theme="1"/>
      <name val="Aptos Narrow"/>
      <family val="2"/>
    </font>
    <font>
      <sz val="11"/>
      <color theme="5"/>
      <name val="Cambria"/>
      <family val="1"/>
    </font>
    <font>
      <b/>
      <sz val="12"/>
      <color rgb="FF6E707E"/>
      <name val="Font Awesome 6 Free"/>
    </font>
    <font>
      <b/>
      <sz val="12"/>
      <color rgb="FF858796"/>
      <name val="Font Awesome 6 Free"/>
    </font>
    <font>
      <b/>
      <sz val="13"/>
      <color rgb="FF858796"/>
      <name val="Font Awesome 6 Free"/>
    </font>
    <font>
      <b/>
      <sz val="13"/>
      <color rgb="FF6E707E"/>
      <name val="Font Awesome 6 Free"/>
    </font>
    <font>
      <b/>
      <sz val="12"/>
      <color rgb="FF6E707E"/>
      <name val="Font Awesome 6 Free"/>
    </font>
    <font>
      <b/>
      <sz val="12"/>
      <color rgb="FF858796"/>
      <name val="Font Awesome 6 Free"/>
    </font>
  </fonts>
  <fills count="3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1"/>
        <bgColor theme="1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CE4D6"/>
        <bgColor rgb="FF000000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</fills>
  <borders count="1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dotted">
        <color indexed="64"/>
      </right>
      <top style="thin">
        <color indexed="64"/>
      </top>
      <bottom/>
      <diagonal/>
    </border>
    <border>
      <left style="dotted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/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rgb="FF0070C0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/>
      <top style="thin">
        <color rgb="FF0070C0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 style="hair">
        <color indexed="64"/>
      </right>
      <top style="thin">
        <color rgb="FF0070C0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/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rgb="FF0070C0"/>
      </bottom>
      <diagonal/>
    </border>
    <border>
      <left/>
      <right style="hair">
        <color indexed="64"/>
      </right>
      <top style="hair">
        <color indexed="64"/>
      </top>
      <bottom style="thin">
        <color rgb="FF0070C0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hair">
        <color indexed="64"/>
      </left>
      <right/>
      <top style="thin">
        <color rgb="FF0070C0"/>
      </top>
      <bottom style="thin">
        <color rgb="FF0070C0"/>
      </bottom>
      <diagonal/>
    </border>
    <border>
      <left style="hair">
        <color indexed="64"/>
      </left>
      <right style="thin">
        <color indexed="64"/>
      </right>
      <top style="thin">
        <color rgb="FF0070C0"/>
      </top>
      <bottom style="thin">
        <color rgb="FF0070C0"/>
      </bottom>
      <diagonal/>
    </border>
    <border>
      <left/>
      <right style="hair">
        <color indexed="64"/>
      </right>
      <top style="thin">
        <color rgb="FF0070C0"/>
      </top>
      <bottom style="thin">
        <color rgb="FF0070C0"/>
      </bottom>
      <diagonal/>
    </border>
    <border>
      <left style="thin">
        <color indexed="64"/>
      </left>
      <right/>
      <top style="thin">
        <color rgb="FF0070C0"/>
      </top>
      <bottom style="hair">
        <color indexed="64"/>
      </bottom>
      <diagonal/>
    </border>
    <border>
      <left/>
      <right/>
      <top style="thin">
        <color rgb="FF0070C0"/>
      </top>
      <bottom style="hair">
        <color indexed="64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/>
      <top style="thin">
        <color rgb="FF0070C0"/>
      </top>
      <bottom/>
      <diagonal/>
    </border>
    <border>
      <left/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/>
      <top/>
      <bottom/>
      <diagonal/>
    </border>
    <border>
      <left/>
      <right style="thin">
        <color rgb="FF0070C0"/>
      </right>
      <top/>
      <bottom/>
      <diagonal/>
    </border>
    <border>
      <left style="thin">
        <color rgb="FF0070C0"/>
      </left>
      <right/>
      <top/>
      <bottom style="thin">
        <color rgb="FF0070C0"/>
      </bottom>
      <diagonal/>
    </border>
    <border>
      <left/>
      <right style="thin">
        <color rgb="FF0070C0"/>
      </right>
      <top/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rgb="FF0070C0"/>
      </left>
      <right/>
      <top style="thin">
        <color indexed="64"/>
      </top>
      <bottom style="hair">
        <color indexed="64"/>
      </bottom>
      <diagonal/>
    </border>
    <border>
      <left style="thin">
        <color rgb="FF000000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rgb="FF0070C0"/>
      </top>
      <bottom style="hair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70C0"/>
      </left>
      <right/>
      <top style="thin">
        <color rgb="FF0070C0"/>
      </top>
      <bottom style="thin">
        <color indexed="64"/>
      </bottom>
      <diagonal/>
    </border>
    <border>
      <left/>
      <right/>
      <top style="thin">
        <color rgb="FF0070C0"/>
      </top>
      <bottom style="thin">
        <color indexed="64"/>
      </bottom>
      <diagonal/>
    </border>
    <border>
      <left/>
      <right style="thin">
        <color indexed="64"/>
      </right>
      <top style="thin">
        <color rgb="FF0070C0"/>
      </top>
      <bottom style="thin">
        <color indexed="64"/>
      </bottom>
      <diagonal/>
    </border>
    <border>
      <left style="thin">
        <color indexed="64"/>
      </left>
      <right style="thin">
        <color rgb="FF0070C0"/>
      </right>
      <top style="thin">
        <color rgb="FF0070C0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indexed="64"/>
      </bottom>
      <diagonal/>
    </border>
    <border>
      <left style="thin">
        <color rgb="FF0070C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rgb="FF0070C0"/>
      </right>
      <top style="hair">
        <color indexed="64"/>
      </top>
      <bottom style="hair">
        <color indexed="64"/>
      </bottom>
      <diagonal/>
    </border>
    <border>
      <left style="thin">
        <color rgb="FF0070C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70C0"/>
      </right>
      <top style="thin">
        <color indexed="64"/>
      </top>
      <bottom style="thin">
        <color indexed="64"/>
      </bottom>
      <diagonal/>
    </border>
    <border>
      <left style="thin">
        <color rgb="FF0070C0"/>
      </left>
      <right style="thin">
        <color indexed="64"/>
      </right>
      <top/>
      <bottom style="thin">
        <color rgb="FF0070C0"/>
      </bottom>
      <diagonal/>
    </border>
    <border>
      <left style="thin">
        <color indexed="64"/>
      </left>
      <right/>
      <top/>
      <bottom style="thin">
        <color rgb="FF0070C0"/>
      </bottom>
      <diagonal/>
    </border>
    <border>
      <left/>
      <right/>
      <top/>
      <bottom style="thin">
        <color rgb="FF0070C0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rgb="FF0070C0"/>
      </top>
      <bottom/>
      <diagonal/>
    </border>
    <border>
      <left style="thin">
        <color indexed="64"/>
      </left>
      <right style="hair">
        <color indexed="64"/>
      </right>
      <top/>
      <bottom style="thin">
        <color rgb="FF0070C0"/>
      </bottom>
      <diagonal/>
    </border>
  </borders>
  <cellStyleXfs count="7">
    <xf numFmtId="0" fontId="0" fillId="0" borderId="0"/>
    <xf numFmtId="9" fontId="9" fillId="0" borderId="0" applyFont="0" applyFill="0" applyBorder="0" applyAlignment="0" applyProtection="0"/>
    <xf numFmtId="0" fontId="23" fillId="0" borderId="0"/>
    <xf numFmtId="9" fontId="23" fillId="0" borderId="0" applyFont="0" applyFill="0" applyBorder="0" applyAlignment="0" applyProtection="0"/>
    <xf numFmtId="43" fontId="23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126" fillId="0" borderId="0" applyNumberFormat="0" applyFill="0" applyBorder="0" applyAlignment="0" applyProtection="0"/>
  </cellStyleXfs>
  <cellXfs count="965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 wrapText="1"/>
    </xf>
    <xf numFmtId="0" fontId="1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/>
    </xf>
    <xf numFmtId="0" fontId="8" fillId="3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14" fillId="0" borderId="0" xfId="0" applyFont="1"/>
    <xf numFmtId="0" fontId="1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right" vertical="center" wrapText="1"/>
    </xf>
    <xf numFmtId="0" fontId="9" fillId="0" borderId="0" xfId="0" applyFont="1"/>
    <xf numFmtId="0" fontId="26" fillId="0" borderId="0" xfId="2" applyFont="1" applyAlignment="1">
      <alignment horizontal="center" vertical="center" wrapText="1"/>
    </xf>
    <xf numFmtId="0" fontId="26" fillId="0" borderId="0" xfId="2" applyFont="1"/>
    <xf numFmtId="3" fontId="26" fillId="0" borderId="0" xfId="2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2" fillId="0" borderId="0" xfId="0" applyFont="1"/>
    <xf numFmtId="0" fontId="11" fillId="0" borderId="0" xfId="0" applyFont="1" applyAlignment="1">
      <alignment vertical="center"/>
    </xf>
    <xf numFmtId="0" fontId="11" fillId="3" borderId="0" xfId="0" applyFont="1" applyFill="1" applyAlignment="1">
      <alignment vertical="center"/>
    </xf>
    <xf numFmtId="0" fontId="34" fillId="0" borderId="0" xfId="0" applyFont="1" applyAlignment="1">
      <alignment vertical="center"/>
    </xf>
    <xf numFmtId="0" fontId="34" fillId="3" borderId="0" xfId="0" applyFont="1" applyFill="1" applyAlignment="1">
      <alignment horizontal="center" vertical="center"/>
    </xf>
    <xf numFmtId="0" fontId="34" fillId="3" borderId="0" xfId="0" applyFont="1" applyFill="1" applyAlignment="1">
      <alignment vertical="center"/>
    </xf>
    <xf numFmtId="166" fontId="34" fillId="3" borderId="0" xfId="0" applyNumberFormat="1" applyFont="1" applyFill="1" applyAlignment="1">
      <alignment horizontal="center" vertical="center"/>
    </xf>
    <xf numFmtId="166" fontId="38" fillId="3" borderId="0" xfId="0" applyNumberFormat="1" applyFont="1" applyFill="1" applyAlignment="1">
      <alignment horizontal="center" vertical="center"/>
    </xf>
    <xf numFmtId="0" fontId="39" fillId="3" borderId="0" xfId="0" applyFont="1" applyFill="1" applyAlignment="1">
      <alignment vertical="center"/>
    </xf>
    <xf numFmtId="9" fontId="40" fillId="0" borderId="0" xfId="0" applyNumberFormat="1" applyFont="1"/>
    <xf numFmtId="10" fontId="40" fillId="0" borderId="0" xfId="0" applyNumberFormat="1" applyFont="1"/>
    <xf numFmtId="0" fontId="10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19" fillId="0" borderId="0" xfId="0" applyFont="1" applyAlignment="1">
      <alignment vertical="center"/>
    </xf>
    <xf numFmtId="0" fontId="23" fillId="3" borderId="0" xfId="0" applyFont="1" applyFill="1" applyAlignment="1">
      <alignment vertical="center"/>
    </xf>
    <xf numFmtId="0" fontId="42" fillId="3" borderId="0" xfId="0" applyFont="1" applyFill="1" applyAlignment="1">
      <alignment vertical="center"/>
    </xf>
    <xf numFmtId="0" fontId="48" fillId="3" borderId="0" xfId="0" applyFont="1" applyFill="1" applyAlignment="1">
      <alignment vertical="center"/>
    </xf>
    <xf numFmtId="0" fontId="23" fillId="0" borderId="0" xfId="0" applyFont="1" applyAlignment="1">
      <alignment vertical="center"/>
    </xf>
    <xf numFmtId="0" fontId="29" fillId="3" borderId="0" xfId="0" applyFont="1" applyFill="1" applyAlignment="1">
      <alignment vertical="center"/>
    </xf>
    <xf numFmtId="0" fontId="11" fillId="3" borderId="0" xfId="0" applyFont="1" applyFill="1" applyAlignment="1">
      <alignment vertical="center" wrapText="1"/>
    </xf>
    <xf numFmtId="0" fontId="49" fillId="3" borderId="0" xfId="0" applyFont="1" applyFill="1" applyAlignment="1">
      <alignment vertical="center"/>
    </xf>
    <xf numFmtId="0" fontId="49" fillId="0" borderId="0" xfId="0" applyFont="1" applyAlignment="1">
      <alignment vertical="center"/>
    </xf>
    <xf numFmtId="0" fontId="0" fillId="3" borderId="0" xfId="0" applyFill="1"/>
    <xf numFmtId="0" fontId="53" fillId="0" borderId="0" xfId="0" applyFont="1"/>
    <xf numFmtId="0" fontId="35" fillId="3" borderId="0" xfId="0" applyFont="1" applyFill="1" applyAlignment="1">
      <alignment horizontal="left" vertical="center"/>
    </xf>
    <xf numFmtId="4" fontId="14" fillId="0" borderId="0" xfId="0" applyNumberFormat="1" applyFont="1"/>
    <xf numFmtId="10" fontId="18" fillId="0" borderId="0" xfId="0" applyNumberFormat="1" applyFont="1"/>
    <xf numFmtId="0" fontId="24" fillId="0" borderId="0" xfId="0" applyFont="1" applyAlignment="1">
      <alignment horizontal="left" vertical="center"/>
    </xf>
    <xf numFmtId="10" fontId="54" fillId="0" borderId="0" xfId="0" applyNumberFormat="1" applyFont="1"/>
    <xf numFmtId="0" fontId="55" fillId="0" borderId="0" xfId="0" applyFont="1"/>
    <xf numFmtId="0" fontId="6" fillId="0" borderId="1" xfId="0" applyFont="1" applyBorder="1" applyAlignment="1">
      <alignment vertical="center" wrapText="1"/>
    </xf>
    <xf numFmtId="0" fontId="58" fillId="0" borderId="0" xfId="0" applyFont="1" applyAlignment="1">
      <alignment horizontal="left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vertical="center"/>
    </xf>
    <xf numFmtId="0" fontId="61" fillId="0" borderId="0" xfId="0" applyFont="1" applyAlignment="1">
      <alignment horizontal="left" vertical="center"/>
    </xf>
    <xf numFmtId="0" fontId="60" fillId="5" borderId="0" xfId="0" applyFont="1" applyFill="1" applyAlignment="1">
      <alignment horizontal="left" vertical="center"/>
    </xf>
    <xf numFmtId="0" fontId="60" fillId="9" borderId="0" xfId="0" applyFont="1" applyFill="1" applyAlignment="1">
      <alignment horizontal="left" vertical="center"/>
    </xf>
    <xf numFmtId="0" fontId="60" fillId="11" borderId="0" xfId="0" applyFont="1" applyFill="1" applyAlignment="1">
      <alignment horizontal="left" vertical="center"/>
    </xf>
    <xf numFmtId="0" fontId="1" fillId="3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vertical="center" wrapText="1"/>
    </xf>
    <xf numFmtId="0" fontId="1" fillId="3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left" vertical="center"/>
    </xf>
    <xf numFmtId="0" fontId="58" fillId="3" borderId="0" xfId="0" applyFont="1" applyFill="1" applyAlignment="1">
      <alignment vertical="center"/>
    </xf>
    <xf numFmtId="0" fontId="8" fillId="3" borderId="0" xfId="0" applyFont="1" applyFill="1" applyAlignment="1">
      <alignment vertical="center"/>
    </xf>
    <xf numFmtId="168" fontId="11" fillId="3" borderId="0" xfId="0" applyNumberFormat="1" applyFont="1" applyFill="1" applyAlignment="1">
      <alignment horizontal="center" vertical="center"/>
    </xf>
    <xf numFmtId="0" fontId="7" fillId="3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16" fillId="3" borderId="0" xfId="0" applyFont="1" applyFill="1" applyAlignment="1">
      <alignment vertical="center"/>
    </xf>
    <xf numFmtId="41" fontId="7" fillId="3" borderId="0" xfId="5" applyFont="1" applyFill="1" applyAlignment="1">
      <alignment horizontal="center" vertical="center"/>
    </xf>
    <xf numFmtId="0" fontId="32" fillId="3" borderId="0" xfId="0" applyFont="1" applyFill="1" applyAlignment="1">
      <alignment vertical="center"/>
    </xf>
    <xf numFmtId="168" fontId="44" fillId="3" borderId="0" xfId="0" applyNumberFormat="1" applyFont="1" applyFill="1" applyAlignment="1">
      <alignment horizontal="center" vertical="center"/>
    </xf>
    <xf numFmtId="9" fontId="7" fillId="3" borderId="1" xfId="1" applyFont="1" applyFill="1" applyBorder="1" applyAlignment="1">
      <alignment horizontal="center" vertical="center"/>
    </xf>
    <xf numFmtId="9" fontId="11" fillId="3" borderId="1" xfId="1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65" fillId="3" borderId="0" xfId="0" applyFont="1" applyFill="1" applyAlignment="1">
      <alignment vertical="center"/>
    </xf>
    <xf numFmtId="0" fontId="65" fillId="3" borderId="0" xfId="0" applyFont="1" applyFill="1" applyAlignment="1">
      <alignment horizontal="left" vertical="center"/>
    </xf>
    <xf numFmtId="0" fontId="68" fillId="3" borderId="0" xfId="0" applyFont="1" applyFill="1" applyAlignment="1">
      <alignment horizontal="center" vertical="center"/>
    </xf>
    <xf numFmtId="168" fontId="10" fillId="3" borderId="0" xfId="0" applyNumberFormat="1" applyFont="1" applyFill="1" applyAlignment="1">
      <alignment horizontal="center" vertical="center"/>
    </xf>
    <xf numFmtId="168" fontId="44" fillId="3" borderId="0" xfId="0" applyNumberFormat="1" applyFont="1" applyFill="1" applyAlignment="1">
      <alignment horizontal="center" vertical="center" wrapText="1"/>
    </xf>
    <xf numFmtId="168" fontId="11" fillId="3" borderId="8" xfId="0" applyNumberFormat="1" applyFont="1" applyFill="1" applyBorder="1" applyAlignment="1">
      <alignment horizontal="center" vertical="center" wrapText="1"/>
    </xf>
    <xf numFmtId="168" fontId="11" fillId="3" borderId="15" xfId="0" applyNumberFormat="1" applyFont="1" applyFill="1" applyBorder="1" applyAlignment="1">
      <alignment horizontal="center" vertical="center" wrapText="1"/>
    </xf>
    <xf numFmtId="168" fontId="44" fillId="3" borderId="15" xfId="0" applyNumberFormat="1" applyFont="1" applyFill="1" applyBorder="1" applyAlignment="1">
      <alignment horizontal="center" vertical="center" wrapText="1"/>
    </xf>
    <xf numFmtId="168" fontId="44" fillId="3" borderId="16" xfId="0" applyNumberFormat="1" applyFont="1" applyFill="1" applyBorder="1" applyAlignment="1">
      <alignment horizontal="center" vertical="center" wrapText="1"/>
    </xf>
    <xf numFmtId="168" fontId="71" fillId="3" borderId="0" xfId="0" applyNumberFormat="1" applyFont="1" applyFill="1" applyAlignment="1">
      <alignment horizontal="center" vertical="center"/>
    </xf>
    <xf numFmtId="0" fontId="11" fillId="3" borderId="10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" fontId="11" fillId="3" borderId="17" xfId="0" applyNumberFormat="1" applyFont="1" applyFill="1" applyBorder="1" applyAlignment="1">
      <alignment horizontal="center" vertical="center"/>
    </xf>
    <xf numFmtId="41" fontId="34" fillId="3" borderId="0" xfId="5" applyFont="1" applyFill="1" applyBorder="1" applyAlignment="1">
      <alignment horizontal="center" vertical="center"/>
    </xf>
    <xf numFmtId="3" fontId="34" fillId="3" borderId="0" xfId="0" applyNumberFormat="1" applyFont="1" applyFill="1" applyAlignment="1">
      <alignment horizontal="center" vertical="center"/>
    </xf>
    <xf numFmtId="168" fontId="73" fillId="3" borderId="0" xfId="0" applyNumberFormat="1" applyFont="1" applyFill="1" applyAlignment="1">
      <alignment horizontal="center" vertical="center"/>
    </xf>
    <xf numFmtId="0" fontId="72" fillId="3" borderId="0" xfId="0" applyFont="1" applyFill="1" applyAlignment="1">
      <alignment vertical="center"/>
    </xf>
    <xf numFmtId="0" fontId="72" fillId="0" borderId="0" xfId="0" applyFont="1" applyAlignment="1">
      <alignment vertical="center"/>
    </xf>
    <xf numFmtId="0" fontId="7" fillId="3" borderId="1" xfId="0" applyFont="1" applyFill="1" applyBorder="1" applyAlignment="1">
      <alignment vertical="center"/>
    </xf>
    <xf numFmtId="0" fontId="15" fillId="2" borderId="1" xfId="0" applyFont="1" applyFill="1" applyBorder="1" applyAlignment="1">
      <alignment horizontal="center" vertical="center"/>
    </xf>
    <xf numFmtId="41" fontId="15" fillId="2" borderId="1" xfId="5" applyFont="1" applyFill="1" applyBorder="1" applyAlignment="1">
      <alignment horizontal="center" vertical="center"/>
    </xf>
    <xf numFmtId="3" fontId="7" fillId="3" borderId="1" xfId="0" applyNumberFormat="1" applyFont="1" applyFill="1" applyBorder="1" applyAlignment="1">
      <alignment horizontal="center" vertical="center"/>
    </xf>
    <xf numFmtId="10" fontId="8" fillId="3" borderId="1" xfId="0" applyNumberFormat="1" applyFont="1" applyFill="1" applyBorder="1" applyAlignment="1">
      <alignment vertical="center"/>
    </xf>
    <xf numFmtId="10" fontId="16" fillId="3" borderId="1" xfId="0" applyNumberFormat="1" applyFont="1" applyFill="1" applyBorder="1" applyAlignment="1">
      <alignment horizontal="center" vertical="center"/>
    </xf>
    <xf numFmtId="0" fontId="76" fillId="3" borderId="0" xfId="0" applyFont="1" applyFill="1" applyAlignment="1">
      <alignment horizontal="center" vertical="center"/>
    </xf>
    <xf numFmtId="3" fontId="24" fillId="3" borderId="0" xfId="0" applyNumberFormat="1" applyFont="1" applyFill="1" applyAlignment="1">
      <alignment horizontal="center" vertical="center"/>
    </xf>
    <xf numFmtId="0" fontId="34" fillId="3" borderId="0" xfId="0" applyFont="1" applyFill="1" applyAlignment="1">
      <alignment horizontal="right" vertical="center"/>
    </xf>
    <xf numFmtId="0" fontId="24" fillId="3" borderId="0" xfId="0" applyFont="1" applyFill="1" applyAlignment="1">
      <alignment vertical="center"/>
    </xf>
    <xf numFmtId="3" fontId="24" fillId="3" borderId="18" xfId="0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left" vertical="center"/>
    </xf>
    <xf numFmtId="0" fontId="2" fillId="3" borderId="0" xfId="0" applyFont="1" applyFill="1" applyAlignment="1">
      <alignment vertical="center"/>
    </xf>
    <xf numFmtId="0" fontId="79" fillId="3" borderId="0" xfId="0" applyFont="1" applyFill="1" applyAlignment="1">
      <alignment vertical="center"/>
    </xf>
    <xf numFmtId="14" fontId="76" fillId="3" borderId="0" xfId="0" applyNumberFormat="1" applyFont="1" applyFill="1" applyAlignment="1">
      <alignment horizontal="right" vertical="center"/>
    </xf>
    <xf numFmtId="3" fontId="77" fillId="3" borderId="18" xfId="0" applyNumberFormat="1" applyFont="1" applyFill="1" applyBorder="1" applyAlignment="1">
      <alignment vertical="center"/>
    </xf>
    <xf numFmtId="3" fontId="78" fillId="3" borderId="18" xfId="1" applyNumberFormat="1" applyFont="1" applyFill="1" applyBorder="1" applyAlignment="1">
      <alignment horizontal="center" vertical="center"/>
    </xf>
    <xf numFmtId="166" fontId="24" fillId="3" borderId="18" xfId="1" applyNumberFormat="1" applyFont="1" applyFill="1" applyBorder="1" applyAlignment="1">
      <alignment horizontal="center" vertical="center"/>
    </xf>
    <xf numFmtId="0" fontId="30" fillId="6" borderId="0" xfId="2" applyFont="1" applyFill="1" applyAlignment="1">
      <alignment horizontal="center" vertical="center" wrapText="1"/>
    </xf>
    <xf numFmtId="3" fontId="30" fillId="6" borderId="0" xfId="2" applyNumberFormat="1" applyFont="1" applyFill="1" applyAlignment="1">
      <alignment horizontal="center" vertical="center" wrapText="1"/>
    </xf>
    <xf numFmtId="0" fontId="27" fillId="3" borderId="0" xfId="2" applyFont="1" applyFill="1"/>
    <xf numFmtId="0" fontId="8" fillId="3" borderId="0" xfId="0" applyFont="1" applyFill="1" applyAlignment="1">
      <alignment horizontal="left" vertical="center"/>
    </xf>
    <xf numFmtId="3" fontId="27" fillId="3" borderId="0" xfId="2" applyNumberFormat="1" applyFont="1" applyFill="1" applyAlignment="1">
      <alignment horizontal="center" vertical="center"/>
    </xf>
    <xf numFmtId="9" fontId="27" fillId="3" borderId="0" xfId="2" applyNumberFormat="1" applyFont="1" applyFill="1" applyAlignment="1">
      <alignment horizontal="center" vertical="center"/>
    </xf>
    <xf numFmtId="0" fontId="30" fillId="6" borderId="0" xfId="2" applyFont="1" applyFill="1"/>
    <xf numFmtId="0" fontId="31" fillId="6" borderId="0" xfId="2" applyFont="1" applyFill="1"/>
    <xf numFmtId="3" fontId="30" fillId="6" borderId="0" xfId="2" applyNumberFormat="1" applyFont="1" applyFill="1" applyAlignment="1">
      <alignment horizontal="center" vertical="center"/>
    </xf>
    <xf numFmtId="166" fontId="77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/>
    </xf>
    <xf numFmtId="166" fontId="82" fillId="3" borderId="18" xfId="1" applyNumberFormat="1" applyFont="1" applyFill="1" applyBorder="1" applyAlignment="1">
      <alignment horizontal="left" vertical="center" wrapText="1"/>
    </xf>
    <xf numFmtId="3" fontId="83" fillId="3" borderId="18" xfId="0" applyNumberFormat="1" applyFont="1" applyFill="1" applyBorder="1" applyAlignment="1">
      <alignment horizontal="center" vertical="center"/>
    </xf>
    <xf numFmtId="1" fontId="11" fillId="3" borderId="18" xfId="0" applyNumberFormat="1" applyFont="1" applyFill="1" applyBorder="1" applyAlignment="1">
      <alignment horizontal="center" vertical="center"/>
    </xf>
    <xf numFmtId="1" fontId="11" fillId="3" borderId="20" xfId="0" applyNumberFormat="1" applyFont="1" applyFill="1" applyBorder="1" applyAlignment="1">
      <alignment horizontal="center" vertical="center"/>
    </xf>
    <xf numFmtId="9" fontId="11" fillId="3" borderId="21" xfId="1" applyFont="1" applyFill="1" applyBorder="1" applyAlignment="1">
      <alignment horizontal="center" vertical="center"/>
    </xf>
    <xf numFmtId="1" fontId="11" fillId="3" borderId="23" xfId="0" applyNumberFormat="1" applyFont="1" applyFill="1" applyBorder="1" applyAlignment="1">
      <alignment horizontal="center" vertical="center"/>
    </xf>
    <xf numFmtId="9" fontId="11" fillId="3" borderId="22" xfId="1" applyFont="1" applyFill="1" applyBorder="1" applyAlignment="1">
      <alignment horizontal="center" vertical="center"/>
    </xf>
    <xf numFmtId="1" fontId="11" fillId="3" borderId="24" xfId="0" applyNumberFormat="1" applyFont="1" applyFill="1" applyBorder="1" applyAlignment="1">
      <alignment horizontal="center" vertical="center"/>
    </xf>
    <xf numFmtId="9" fontId="78" fillId="3" borderId="18" xfId="1" applyFont="1" applyFill="1" applyBorder="1" applyAlignment="1">
      <alignment horizontal="center" vertical="center"/>
    </xf>
    <xf numFmtId="164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50" fillId="0" borderId="1" xfId="0" applyFont="1" applyBorder="1" applyAlignment="1">
      <alignment horizontal="center" vertical="center"/>
    </xf>
    <xf numFmtId="3" fontId="69" fillId="0" borderId="0" xfId="0" applyNumberFormat="1" applyFont="1"/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 wrapText="1"/>
    </xf>
    <xf numFmtId="41" fontId="88" fillId="3" borderId="0" xfId="5" applyFont="1" applyFill="1" applyBorder="1" applyAlignment="1">
      <alignment horizontal="center"/>
    </xf>
    <xf numFmtId="41" fontId="0" fillId="3" borderId="0" xfId="5" applyFont="1" applyFill="1" applyAlignment="1">
      <alignment horizontal="center"/>
    </xf>
    <xf numFmtId="0" fontId="14" fillId="3" borderId="0" xfId="0" applyFont="1" applyFill="1" applyAlignment="1">
      <alignment horizontal="center" vertical="center"/>
    </xf>
    <xf numFmtId="3" fontId="66" fillId="3" borderId="0" xfId="0" applyNumberFormat="1" applyFont="1" applyFill="1" applyAlignment="1">
      <alignment horizontal="center" vertical="center"/>
    </xf>
    <xf numFmtId="3" fontId="33" fillId="0" borderId="0" xfId="0" applyNumberFormat="1" applyFont="1"/>
    <xf numFmtId="3" fontId="24" fillId="3" borderId="0" xfId="0" applyNumberFormat="1" applyFont="1" applyFill="1" applyAlignment="1">
      <alignment horizontal="left" vertical="center"/>
    </xf>
    <xf numFmtId="0" fontId="34" fillId="3" borderId="0" xfId="0" applyFont="1" applyFill="1" applyAlignment="1">
      <alignment horizontal="left" vertical="center"/>
    </xf>
    <xf numFmtId="0" fontId="72" fillId="3" borderId="0" xfId="0" applyFont="1" applyFill="1" applyAlignment="1">
      <alignment horizontal="right" vertical="center"/>
    </xf>
    <xf numFmtId="0" fontId="87" fillId="3" borderId="0" xfId="0" applyFont="1" applyFill="1" applyAlignment="1">
      <alignment vertical="center"/>
    </xf>
    <xf numFmtId="9" fontId="34" fillId="3" borderId="0" xfId="0" applyNumberFormat="1" applyFont="1" applyFill="1" applyAlignment="1">
      <alignment horizontal="center" vertical="center"/>
    </xf>
    <xf numFmtId="0" fontId="90" fillId="2" borderId="0" xfId="0" applyFont="1" applyFill="1" applyAlignment="1">
      <alignment horizontal="center" vertical="center"/>
    </xf>
    <xf numFmtId="0" fontId="72" fillId="2" borderId="0" xfId="0" applyFont="1" applyFill="1" applyAlignment="1">
      <alignment vertical="center"/>
    </xf>
    <xf numFmtId="3" fontId="91" fillId="3" borderId="18" xfId="0" applyNumberFormat="1" applyFont="1" applyFill="1" applyBorder="1" applyAlignment="1">
      <alignment horizontal="center" vertical="center"/>
    </xf>
    <xf numFmtId="3" fontId="92" fillId="3" borderId="18" xfId="0" applyNumberFormat="1" applyFont="1" applyFill="1" applyBorder="1" applyAlignment="1">
      <alignment horizontal="center" vertical="center"/>
    </xf>
    <xf numFmtId="0" fontId="18" fillId="0" borderId="0" xfId="0" applyFont="1"/>
    <xf numFmtId="164" fontId="64" fillId="7" borderId="1" xfId="0" applyNumberFormat="1" applyFont="1" applyFill="1" applyBorder="1" applyAlignment="1">
      <alignment horizontal="left" vertical="center"/>
    </xf>
    <xf numFmtId="3" fontId="64" fillId="7" borderId="2" xfId="0" applyNumberFormat="1" applyFont="1" applyFill="1" applyBorder="1" applyAlignment="1">
      <alignment horizontal="center" vertical="center"/>
    </xf>
    <xf numFmtId="3" fontId="64" fillId="7" borderId="3" xfId="0" applyNumberFormat="1" applyFont="1" applyFill="1" applyBorder="1" applyAlignment="1">
      <alignment horizontal="center" vertical="center"/>
    </xf>
    <xf numFmtId="9" fontId="64" fillId="7" borderId="3" xfId="1" applyFont="1" applyFill="1" applyBorder="1" applyAlignment="1">
      <alignment horizontal="center" vertical="center"/>
    </xf>
    <xf numFmtId="164" fontId="39" fillId="5" borderId="6" xfId="0" applyNumberFormat="1" applyFont="1" applyFill="1" applyBorder="1" applyAlignment="1">
      <alignment horizontal="left" vertical="center"/>
    </xf>
    <xf numFmtId="3" fontId="39" fillId="5" borderId="7" xfId="0" applyNumberFormat="1" applyFont="1" applyFill="1" applyBorder="1" applyAlignment="1">
      <alignment horizontal="center" vertical="center"/>
    </xf>
    <xf numFmtId="3" fontId="39" fillId="5" borderId="5" xfId="0" applyNumberFormat="1" applyFont="1" applyFill="1" applyBorder="1" applyAlignment="1">
      <alignment horizontal="center" vertical="center"/>
    </xf>
    <xf numFmtId="9" fontId="39" fillId="5" borderId="5" xfId="1" applyFont="1" applyFill="1" applyBorder="1" applyAlignment="1">
      <alignment horizontal="center" vertical="center"/>
    </xf>
    <xf numFmtId="170" fontId="75" fillId="3" borderId="11" xfId="0" applyNumberFormat="1" applyFont="1" applyFill="1" applyBorder="1" applyAlignment="1">
      <alignment horizontal="center" vertical="center"/>
    </xf>
    <xf numFmtId="168" fontId="46" fillId="6" borderId="10" xfId="0" applyNumberFormat="1" applyFont="1" applyFill="1" applyBorder="1" applyAlignment="1">
      <alignment horizontal="center" vertical="center"/>
    </xf>
    <xf numFmtId="168" fontId="46" fillId="6" borderId="0" xfId="0" applyNumberFormat="1" applyFont="1" applyFill="1" applyAlignment="1">
      <alignment horizontal="center" vertical="center"/>
    </xf>
    <xf numFmtId="168" fontId="70" fillId="6" borderId="17" xfId="0" applyNumberFormat="1" applyFont="1" applyFill="1" applyBorder="1" applyAlignment="1">
      <alignment horizontal="center" vertical="center"/>
    </xf>
    <xf numFmtId="41" fontId="34" fillId="3" borderId="10" xfId="5" applyFont="1" applyFill="1" applyBorder="1" applyAlignment="1">
      <alignment horizontal="center" vertical="center"/>
    </xf>
    <xf numFmtId="9" fontId="72" fillId="3" borderId="17" xfId="1" applyFont="1" applyFill="1" applyBorder="1" applyAlignment="1">
      <alignment horizontal="center" vertical="center"/>
    </xf>
    <xf numFmtId="41" fontId="70" fillId="6" borderId="7" xfId="5" applyFont="1" applyFill="1" applyBorder="1" applyAlignment="1">
      <alignment horizontal="center" vertical="center"/>
    </xf>
    <xf numFmtId="41" fontId="70" fillId="6" borderId="5" xfId="5" applyFont="1" applyFill="1" applyBorder="1" applyAlignment="1">
      <alignment horizontal="center" vertical="center"/>
    </xf>
    <xf numFmtId="9" fontId="70" fillId="6" borderId="19" xfId="1" applyFont="1" applyFill="1" applyBorder="1" applyAlignment="1">
      <alignment horizontal="center" vertical="center"/>
    </xf>
    <xf numFmtId="168" fontId="11" fillId="3" borderId="10" xfId="0" applyNumberFormat="1" applyFont="1" applyFill="1" applyBorder="1" applyAlignment="1">
      <alignment horizontal="center" vertical="center" wrapText="1"/>
    </xf>
    <xf numFmtId="168" fontId="11" fillId="3" borderId="0" xfId="0" applyNumberFormat="1" applyFont="1" applyFill="1" applyAlignment="1">
      <alignment horizontal="center" vertical="center" wrapText="1"/>
    </xf>
    <xf numFmtId="168" fontId="44" fillId="3" borderId="17" xfId="0" applyNumberFormat="1" applyFont="1" applyFill="1" applyBorder="1" applyAlignment="1">
      <alignment horizontal="center" vertical="center" wrapText="1"/>
    </xf>
    <xf numFmtId="170" fontId="75" fillId="3" borderId="26" xfId="0" applyNumberFormat="1" applyFont="1" applyFill="1" applyBorder="1" applyAlignment="1">
      <alignment horizontal="center" vertical="center" wrapText="1"/>
    </xf>
    <xf numFmtId="170" fontId="51" fillId="3" borderId="27" xfId="0" applyNumberFormat="1" applyFont="1" applyFill="1" applyBorder="1" applyAlignment="1">
      <alignment horizontal="center" vertical="center"/>
    </xf>
    <xf numFmtId="170" fontId="49" fillId="3" borderId="10" xfId="0" applyNumberFormat="1" applyFont="1" applyFill="1" applyBorder="1" applyAlignment="1">
      <alignment horizontal="center" vertical="center"/>
    </xf>
    <xf numFmtId="170" fontId="49" fillId="3" borderId="0" xfId="0" applyNumberFormat="1" applyFont="1" applyFill="1" applyAlignment="1">
      <alignment horizontal="center" vertical="center"/>
    </xf>
    <xf numFmtId="170" fontId="51" fillId="3" borderId="0" xfId="0" applyNumberFormat="1" applyFont="1" applyFill="1" applyAlignment="1">
      <alignment horizontal="center" vertical="center"/>
    </xf>
    <xf numFmtId="170" fontId="51" fillId="3" borderId="17" xfId="0" applyNumberFormat="1" applyFont="1" applyFill="1" applyBorder="1" applyAlignment="1">
      <alignment horizontal="center" vertical="center"/>
    </xf>
    <xf numFmtId="170" fontId="96" fillId="4" borderId="10" xfId="0" applyNumberFormat="1" applyFont="1" applyFill="1" applyBorder="1" applyAlignment="1">
      <alignment horizontal="center" vertical="center"/>
    </xf>
    <xf numFmtId="170" fontId="96" fillId="4" borderId="0" xfId="0" applyNumberFormat="1" applyFont="1" applyFill="1" applyAlignment="1">
      <alignment horizontal="center" vertical="center"/>
    </xf>
    <xf numFmtId="170" fontId="85" fillId="3" borderId="17" xfId="0" applyNumberFormat="1" applyFont="1" applyFill="1" applyBorder="1" applyAlignment="1">
      <alignment horizontal="center" vertical="center"/>
    </xf>
    <xf numFmtId="170" fontId="49" fillId="3" borderId="7" xfId="0" applyNumberFormat="1" applyFont="1" applyFill="1" applyBorder="1" applyAlignment="1">
      <alignment horizontal="center" vertical="center"/>
    </xf>
    <xf numFmtId="170" fontId="49" fillId="3" borderId="5" xfId="0" applyNumberFormat="1" applyFont="1" applyFill="1" applyBorder="1" applyAlignment="1">
      <alignment horizontal="center" vertical="center"/>
    </xf>
    <xf numFmtId="170" fontId="75" fillId="3" borderId="5" xfId="0" applyNumberFormat="1" applyFont="1" applyFill="1" applyBorder="1" applyAlignment="1">
      <alignment horizontal="center" vertical="center"/>
    </xf>
    <xf numFmtId="170" fontId="75" fillId="3" borderId="19" xfId="0" applyNumberFormat="1" applyFont="1" applyFill="1" applyBorder="1" applyAlignment="1">
      <alignment horizontal="center" vertical="center"/>
    </xf>
    <xf numFmtId="1" fontId="51" fillId="3" borderId="17" xfId="0" applyNumberFormat="1" applyFont="1" applyFill="1" applyBorder="1" applyAlignment="1">
      <alignment horizontal="center" vertical="center"/>
    </xf>
    <xf numFmtId="1" fontId="49" fillId="3" borderId="10" xfId="0" applyNumberFormat="1" applyFont="1" applyFill="1" applyBorder="1" applyAlignment="1">
      <alignment horizontal="center" vertical="center"/>
    </xf>
    <xf numFmtId="1" fontId="49" fillId="3" borderId="0" xfId="0" applyNumberFormat="1" applyFont="1" applyFill="1" applyAlignment="1">
      <alignment horizontal="center" vertical="center"/>
    </xf>
    <xf numFmtId="1" fontId="51" fillId="3" borderId="0" xfId="0" applyNumberFormat="1" applyFont="1" applyFill="1" applyAlignment="1">
      <alignment horizontal="center" vertical="center"/>
    </xf>
    <xf numFmtId="1" fontId="96" fillId="4" borderId="10" xfId="0" applyNumberFormat="1" applyFont="1" applyFill="1" applyBorder="1" applyAlignment="1">
      <alignment horizontal="center" vertical="center"/>
    </xf>
    <xf numFmtId="1" fontId="96" fillId="4" borderId="0" xfId="0" applyNumberFormat="1" applyFont="1" applyFill="1" applyAlignment="1">
      <alignment horizontal="center" vertical="center"/>
    </xf>
    <xf numFmtId="1" fontId="85" fillId="3" borderId="17" xfId="0" applyNumberFormat="1" applyFont="1" applyFill="1" applyBorder="1" applyAlignment="1">
      <alignment horizontal="center" vertical="center"/>
    </xf>
    <xf numFmtId="1" fontId="11" fillId="3" borderId="7" xfId="0" applyNumberFormat="1" applyFont="1" applyFill="1" applyBorder="1" applyAlignment="1">
      <alignment horizontal="center" vertical="center"/>
    </xf>
    <xf numFmtId="1" fontId="11" fillId="3" borderId="5" xfId="0" applyNumberFormat="1" applyFont="1" applyFill="1" applyBorder="1" applyAlignment="1">
      <alignment horizontal="center" vertical="center"/>
    </xf>
    <xf numFmtId="1" fontId="11" fillId="3" borderId="19" xfId="0" applyNumberFormat="1" applyFont="1" applyFill="1" applyBorder="1" applyAlignment="1">
      <alignment horizontal="center" vertical="center"/>
    </xf>
    <xf numFmtId="1" fontId="11" fillId="3" borderId="0" xfId="0" applyNumberFormat="1" applyFont="1" applyFill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1" fontId="51" fillId="5" borderId="0" xfId="0" applyNumberFormat="1" applyFont="1" applyFill="1" applyAlignment="1">
      <alignment horizontal="center" vertical="center"/>
    </xf>
    <xf numFmtId="1" fontId="51" fillId="5" borderId="17" xfId="0" applyNumberFormat="1" applyFont="1" applyFill="1" applyBorder="1" applyAlignment="1">
      <alignment horizontal="center" vertical="center"/>
    </xf>
    <xf numFmtId="1" fontId="49" fillId="5" borderId="10" xfId="0" applyNumberFormat="1" applyFont="1" applyFill="1" applyBorder="1" applyAlignment="1">
      <alignment horizontal="center" vertical="center"/>
    </xf>
    <xf numFmtId="1" fontId="49" fillId="5" borderId="0" xfId="0" applyNumberFormat="1" applyFont="1" applyFill="1" applyAlignment="1">
      <alignment horizontal="center" vertical="center"/>
    </xf>
    <xf numFmtId="167" fontId="7" fillId="3" borderId="1" xfId="1" applyNumberFormat="1" applyFont="1" applyFill="1" applyBorder="1" applyAlignment="1">
      <alignment horizontal="center" vertical="center"/>
    </xf>
    <xf numFmtId="0" fontId="97" fillId="2" borderId="1" xfId="0" applyFont="1" applyFill="1" applyBorder="1" applyAlignment="1">
      <alignment vertical="center"/>
    </xf>
    <xf numFmtId="3" fontId="97" fillId="2" borderId="1" xfId="0" applyNumberFormat="1" applyFont="1" applyFill="1" applyBorder="1" applyAlignment="1">
      <alignment horizontal="center" vertical="center"/>
    </xf>
    <xf numFmtId="167" fontId="97" fillId="2" borderId="1" xfId="1" applyNumberFormat="1" applyFont="1" applyFill="1" applyBorder="1" applyAlignment="1">
      <alignment horizontal="center" vertical="center"/>
    </xf>
    <xf numFmtId="167" fontId="62" fillId="2" borderId="1" xfId="0" applyNumberFormat="1" applyFont="1" applyFill="1" applyBorder="1" applyAlignment="1">
      <alignment vertical="center"/>
    </xf>
    <xf numFmtId="0" fontId="43" fillId="3" borderId="0" xfId="0" applyFont="1" applyFill="1"/>
    <xf numFmtId="0" fontId="98" fillId="3" borderId="0" xfId="0" applyFont="1" applyFill="1" applyAlignment="1">
      <alignment vertical="center"/>
    </xf>
    <xf numFmtId="168" fontId="42" fillId="3" borderId="0" xfId="0" applyNumberFormat="1" applyFont="1" applyFill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41" fontId="15" fillId="12" borderId="1" xfId="5" applyFont="1" applyFill="1" applyBorder="1" applyAlignment="1">
      <alignment horizontal="center" vertical="center"/>
    </xf>
    <xf numFmtId="0" fontId="97" fillId="12" borderId="1" xfId="0" applyFont="1" applyFill="1" applyBorder="1" applyAlignment="1">
      <alignment vertical="center"/>
    </xf>
    <xf numFmtId="3" fontId="97" fillId="12" borderId="1" xfId="0" applyNumberFormat="1" applyFont="1" applyFill="1" applyBorder="1" applyAlignment="1">
      <alignment horizontal="center" vertical="center"/>
    </xf>
    <xf numFmtId="9" fontId="97" fillId="12" borderId="1" xfId="1" applyFont="1" applyFill="1" applyBorder="1" applyAlignment="1">
      <alignment horizontal="center" vertical="center"/>
    </xf>
    <xf numFmtId="167" fontId="62" fillId="12" borderId="1" xfId="0" applyNumberFormat="1" applyFont="1" applyFill="1" applyBorder="1" applyAlignment="1">
      <alignment vertical="center"/>
    </xf>
    <xf numFmtId="3" fontId="15" fillId="3" borderId="1" xfId="0" applyNumberFormat="1" applyFont="1" applyFill="1" applyBorder="1" applyAlignment="1">
      <alignment horizontal="center" vertical="center"/>
    </xf>
    <xf numFmtId="0" fontId="32" fillId="3" borderId="1" xfId="0" applyFont="1" applyFill="1" applyBorder="1" applyAlignment="1">
      <alignment horizontal="center" vertical="center"/>
    </xf>
    <xf numFmtId="3" fontId="100" fillId="2" borderId="1" xfId="0" applyNumberFormat="1" applyFont="1" applyFill="1" applyBorder="1" applyAlignment="1">
      <alignment horizontal="center" vertical="center"/>
    </xf>
    <xf numFmtId="9" fontId="11" fillId="3" borderId="0" xfId="1" applyFont="1" applyFill="1" applyAlignment="1">
      <alignment horizontal="center" vertical="center"/>
    </xf>
    <xf numFmtId="41" fontId="11" fillId="3" borderId="0" xfId="5" applyFont="1" applyFill="1" applyAlignment="1">
      <alignment horizontal="center" vertical="center"/>
    </xf>
    <xf numFmtId="0" fontId="80" fillId="0" borderId="0" xfId="0" applyFont="1"/>
    <xf numFmtId="3" fontId="101" fillId="3" borderId="18" xfId="0" applyNumberFormat="1" applyFont="1" applyFill="1" applyBorder="1" applyAlignment="1">
      <alignment vertical="center"/>
    </xf>
    <xf numFmtId="3" fontId="101" fillId="3" borderId="18" xfId="0" applyNumberFormat="1" applyFont="1" applyFill="1" applyBorder="1" applyAlignment="1">
      <alignment horizontal="center" vertical="center"/>
    </xf>
    <xf numFmtId="10" fontId="102" fillId="0" borderId="0" xfId="0" applyNumberFormat="1" applyFont="1"/>
    <xf numFmtId="9" fontId="102" fillId="0" borderId="0" xfId="0" applyNumberFormat="1" applyFont="1"/>
    <xf numFmtId="9" fontId="18" fillId="0" borderId="0" xfId="0" applyNumberFormat="1" applyFont="1"/>
    <xf numFmtId="0" fontId="34" fillId="9" borderId="4" xfId="2" applyFont="1" applyFill="1" applyBorder="1" applyAlignment="1">
      <alignment horizontal="center" vertical="center" wrapText="1"/>
    </xf>
    <xf numFmtId="0" fontId="34" fillId="9" borderId="1" xfId="2" applyFont="1" applyFill="1" applyBorder="1" applyAlignment="1">
      <alignment horizontal="center" vertical="center" wrapText="1"/>
    </xf>
    <xf numFmtId="164" fontId="39" fillId="9" borderId="1" xfId="0" applyNumberFormat="1" applyFont="1" applyFill="1" applyBorder="1" applyAlignment="1">
      <alignment horizontal="left" vertical="center"/>
    </xf>
    <xf numFmtId="3" fontId="39" fillId="9" borderId="2" xfId="0" applyNumberFormat="1" applyFont="1" applyFill="1" applyBorder="1" applyAlignment="1">
      <alignment horizontal="center" vertical="center"/>
    </xf>
    <xf numFmtId="3" fontId="39" fillId="9" borderId="3" xfId="0" applyNumberFormat="1" applyFont="1" applyFill="1" applyBorder="1" applyAlignment="1">
      <alignment horizontal="center" vertical="center"/>
    </xf>
    <xf numFmtId="9" fontId="39" fillId="9" borderId="3" xfId="1" applyFont="1" applyFill="1" applyBorder="1" applyAlignment="1">
      <alignment horizontal="center" vertical="center"/>
    </xf>
    <xf numFmtId="0" fontId="53" fillId="3" borderId="0" xfId="0" applyFont="1" applyFill="1"/>
    <xf numFmtId="0" fontId="41" fillId="3" borderId="0" xfId="0" applyFont="1" applyFill="1" applyAlignment="1">
      <alignment vertical="center"/>
    </xf>
    <xf numFmtId="0" fontId="39" fillId="9" borderId="2" xfId="2" applyFont="1" applyFill="1" applyBorder="1" applyAlignment="1">
      <alignment horizontal="center" vertical="center" wrapText="1"/>
    </xf>
    <xf numFmtId="0" fontId="79" fillId="9" borderId="4" xfId="0" applyFont="1" applyFill="1" applyBorder="1" applyAlignment="1">
      <alignment vertical="center"/>
    </xf>
    <xf numFmtId="0" fontId="79" fillId="9" borderId="1" xfId="0" applyFont="1" applyFill="1" applyBorder="1" applyAlignment="1">
      <alignment vertical="center"/>
    </xf>
    <xf numFmtId="0" fontId="39" fillId="9" borderId="2" xfId="0" applyFont="1" applyFill="1" applyBorder="1" applyAlignment="1">
      <alignment vertical="center"/>
    </xf>
    <xf numFmtId="0" fontId="39" fillId="9" borderId="3" xfId="0" applyFont="1" applyFill="1" applyBorder="1" applyAlignment="1">
      <alignment vertical="center"/>
    </xf>
    <xf numFmtId="0" fontId="39" fillId="9" borderId="4" xfId="0" applyFont="1" applyFill="1" applyBorder="1" applyAlignment="1">
      <alignment vertical="center"/>
    </xf>
    <xf numFmtId="0" fontId="79" fillId="9" borderId="2" xfId="0" applyFont="1" applyFill="1" applyBorder="1" applyAlignment="1">
      <alignment vertical="center"/>
    </xf>
    <xf numFmtId="0" fontId="34" fillId="15" borderId="1" xfId="2" applyFont="1" applyFill="1" applyBorder="1" applyAlignment="1">
      <alignment horizontal="center" vertical="center" wrapText="1"/>
    </xf>
    <xf numFmtId="0" fontId="39" fillId="15" borderId="2" xfId="0" applyFont="1" applyFill="1" applyBorder="1" applyAlignment="1">
      <alignment vertical="center"/>
    </xf>
    <xf numFmtId="0" fontId="39" fillId="15" borderId="3" xfId="0" applyFont="1" applyFill="1" applyBorder="1" applyAlignment="1">
      <alignment vertical="center"/>
    </xf>
    <xf numFmtId="0" fontId="39" fillId="15" borderId="4" xfId="0" applyFont="1" applyFill="1" applyBorder="1" applyAlignment="1">
      <alignment vertical="center"/>
    </xf>
    <xf numFmtId="0" fontId="39" fillId="15" borderId="1" xfId="2" applyFont="1" applyFill="1" applyBorder="1" applyAlignment="1">
      <alignment horizontal="center" vertical="center" wrapText="1"/>
    </xf>
    <xf numFmtId="0" fontId="34" fillId="15" borderId="1" xfId="0" applyFont="1" applyFill="1" applyBorder="1" applyAlignment="1">
      <alignment vertical="center" wrapText="1"/>
    </xf>
    <xf numFmtId="0" fontId="79" fillId="15" borderId="4" xfId="0" applyFont="1" applyFill="1" applyBorder="1" applyAlignment="1">
      <alignment vertical="center"/>
    </xf>
    <xf numFmtId="0" fontId="79" fillId="15" borderId="1" xfId="0" applyFont="1" applyFill="1" applyBorder="1" applyAlignment="1">
      <alignment vertical="center"/>
    </xf>
    <xf numFmtId="0" fontId="34" fillId="15" borderId="4" xfId="2" applyFont="1" applyFill="1" applyBorder="1" applyAlignment="1">
      <alignment horizontal="center" vertical="center" wrapText="1"/>
    </xf>
    <xf numFmtId="0" fontId="14" fillId="3" borderId="0" xfId="0" applyFont="1" applyFill="1" applyAlignment="1">
      <alignment vertical="center"/>
    </xf>
    <xf numFmtId="0" fontId="104" fillId="3" borderId="0" xfId="0" applyFont="1" applyFill="1"/>
    <xf numFmtId="0" fontId="28" fillId="3" borderId="0" xfId="0" applyFont="1" applyFill="1" applyAlignment="1">
      <alignment vertical="center"/>
    </xf>
    <xf numFmtId="0" fontId="47" fillId="3" borderId="0" xfId="0" applyFont="1" applyFill="1" applyAlignment="1">
      <alignment vertical="center"/>
    </xf>
    <xf numFmtId="0" fontId="106" fillId="0" borderId="0" xfId="0" applyFont="1" applyAlignment="1">
      <alignment vertical="center"/>
    </xf>
    <xf numFmtId="0" fontId="107" fillId="0" borderId="0" xfId="0" applyFont="1" applyAlignment="1">
      <alignment vertical="center"/>
    </xf>
    <xf numFmtId="3" fontId="0" fillId="3" borderId="0" xfId="0" applyNumberFormat="1" applyFill="1"/>
    <xf numFmtId="3" fontId="7" fillId="3" borderId="0" xfId="0" applyNumberFormat="1" applyFont="1" applyFill="1" applyAlignment="1">
      <alignment vertical="center"/>
    </xf>
    <xf numFmtId="0" fontId="7" fillId="3" borderId="0" xfId="0" applyFont="1" applyFill="1" applyAlignment="1">
      <alignment horizontal="left" vertical="center"/>
    </xf>
    <xf numFmtId="0" fontId="63" fillId="0" borderId="5" xfId="0" applyFont="1" applyBorder="1" applyAlignment="1">
      <alignment vertical="center"/>
    </xf>
    <xf numFmtId="0" fontId="78" fillId="0" borderId="5" xfId="0" applyFont="1" applyBorder="1" applyAlignment="1">
      <alignment vertical="center"/>
    </xf>
    <xf numFmtId="3" fontId="110" fillId="3" borderId="0" xfId="0" applyNumberFormat="1" applyFont="1" applyFill="1"/>
    <xf numFmtId="3" fontId="82" fillId="3" borderId="33" xfId="0" applyNumberFormat="1" applyFont="1" applyFill="1" applyBorder="1" applyAlignment="1">
      <alignment vertical="center"/>
    </xf>
    <xf numFmtId="0" fontId="55" fillId="0" borderId="0" xfId="0" applyFont="1" applyAlignment="1">
      <alignment wrapText="1"/>
    </xf>
    <xf numFmtId="0" fontId="111" fillId="0" borderId="0" xfId="0" applyFont="1"/>
    <xf numFmtId="170" fontId="75" fillId="3" borderId="0" xfId="0" applyNumberFormat="1" applyFont="1" applyFill="1" applyAlignment="1">
      <alignment horizontal="center" vertical="center"/>
    </xf>
    <xf numFmtId="41" fontId="70" fillId="6" borderId="0" xfId="5" applyFont="1" applyFill="1" applyBorder="1" applyAlignment="1">
      <alignment horizontal="center" vertical="center"/>
    </xf>
    <xf numFmtId="9" fontId="70" fillId="6" borderId="0" xfId="1" applyFont="1" applyFill="1" applyBorder="1" applyAlignment="1">
      <alignment horizontal="center" vertical="center"/>
    </xf>
    <xf numFmtId="3" fontId="1" fillId="3" borderId="3" xfId="0" applyNumberFormat="1" applyFont="1" applyFill="1" applyBorder="1" applyAlignment="1">
      <alignment vertical="center"/>
    </xf>
    <xf numFmtId="3" fontId="1" fillId="3" borderId="3" xfId="0" applyNumberFormat="1" applyFont="1" applyFill="1" applyBorder="1" applyAlignment="1">
      <alignment horizontal="left" vertical="center"/>
    </xf>
    <xf numFmtId="0" fontId="1" fillId="3" borderId="3" xfId="0" applyFont="1" applyFill="1" applyBorder="1" applyAlignment="1">
      <alignment vertical="center"/>
    </xf>
    <xf numFmtId="0" fontId="115" fillId="3" borderId="0" xfId="0" applyFont="1" applyFill="1" applyAlignment="1">
      <alignment vertical="center"/>
    </xf>
    <xf numFmtId="3" fontId="1" fillId="3" borderId="38" xfId="0" applyNumberFormat="1" applyFont="1" applyFill="1" applyBorder="1" applyAlignment="1">
      <alignment horizontal="right" vertical="center"/>
    </xf>
    <xf numFmtId="9" fontId="1" fillId="3" borderId="39" xfId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right" vertical="center"/>
    </xf>
    <xf numFmtId="3" fontId="81" fillId="7" borderId="40" xfId="0" applyNumberFormat="1" applyFont="1" applyFill="1" applyBorder="1" applyAlignment="1">
      <alignment vertical="center"/>
    </xf>
    <xf numFmtId="3" fontId="81" fillId="7" borderId="40" xfId="0" applyNumberFormat="1" applyFont="1" applyFill="1" applyBorder="1" applyAlignment="1">
      <alignment horizontal="left" vertical="center"/>
    </xf>
    <xf numFmtId="0" fontId="81" fillId="7" borderId="40" xfId="0" applyFont="1" applyFill="1" applyBorder="1" applyAlignment="1">
      <alignment vertical="center"/>
    </xf>
    <xf numFmtId="9" fontId="81" fillId="7" borderId="41" xfId="1" applyFont="1" applyFill="1" applyBorder="1" applyAlignment="1">
      <alignment horizontal="left" vertical="center"/>
    </xf>
    <xf numFmtId="3" fontId="1" fillId="3" borderId="3" xfId="0" applyNumberFormat="1" applyFont="1" applyFill="1" applyBorder="1" applyAlignment="1">
      <alignment horizontal="center" vertical="center"/>
    </xf>
    <xf numFmtId="3" fontId="1" fillId="3" borderId="38" xfId="0" applyNumberFormat="1" applyFont="1" applyFill="1" applyBorder="1" applyAlignment="1">
      <alignment horizontal="center" vertical="center"/>
    </xf>
    <xf numFmtId="3" fontId="81" fillId="7" borderId="32" xfId="0" applyNumberFormat="1" applyFont="1" applyFill="1" applyBorder="1" applyAlignment="1">
      <alignment horizontal="center" vertical="center"/>
    </xf>
    <xf numFmtId="3" fontId="1" fillId="3" borderId="2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3" fontId="81" fillId="7" borderId="40" xfId="0" applyNumberFormat="1" applyFont="1" applyFill="1" applyBorder="1" applyAlignment="1">
      <alignment horizontal="center" vertical="center"/>
    </xf>
    <xf numFmtId="0" fontId="81" fillId="7" borderId="40" xfId="0" applyFont="1" applyFill="1" applyBorder="1" applyAlignment="1">
      <alignment horizontal="center" vertical="center"/>
    </xf>
    <xf numFmtId="9" fontId="81" fillId="7" borderId="41" xfId="1" applyFont="1" applyFill="1" applyBorder="1" applyAlignment="1">
      <alignment horizontal="center" vertical="center"/>
    </xf>
    <xf numFmtId="0" fontId="114" fillId="3" borderId="45" xfId="0" applyFont="1" applyFill="1" applyBorder="1" applyAlignment="1">
      <alignment horizontal="left" vertical="center"/>
    </xf>
    <xf numFmtId="0" fontId="114" fillId="3" borderId="31" xfId="0" applyFont="1" applyFill="1" applyBorder="1" applyAlignment="1">
      <alignment horizontal="left" vertical="center"/>
    </xf>
    <xf numFmtId="0" fontId="6" fillId="3" borderId="31" xfId="0" applyFont="1" applyFill="1" applyBorder="1" applyAlignment="1">
      <alignment horizontal="left" vertical="center"/>
    </xf>
    <xf numFmtId="3" fontId="81" fillId="21" borderId="40" xfId="0" applyNumberFormat="1" applyFont="1" applyFill="1" applyBorder="1" applyAlignment="1">
      <alignment vertical="center"/>
    </xf>
    <xf numFmtId="3" fontId="81" fillId="21" borderId="40" xfId="0" applyNumberFormat="1" applyFont="1" applyFill="1" applyBorder="1" applyAlignment="1">
      <alignment horizontal="left" vertical="center"/>
    </xf>
    <xf numFmtId="0" fontId="81" fillId="21" borderId="40" xfId="0" applyFont="1" applyFill="1" applyBorder="1" applyAlignment="1">
      <alignment vertical="center"/>
    </xf>
    <xf numFmtId="9" fontId="81" fillId="21" borderId="41" xfId="1" applyFont="1" applyFill="1" applyBorder="1" applyAlignment="1">
      <alignment horizontal="left" vertical="center"/>
    </xf>
    <xf numFmtId="3" fontId="81" fillId="21" borderId="32" xfId="0" applyNumberFormat="1" applyFont="1" applyFill="1" applyBorder="1" applyAlignment="1">
      <alignment horizontal="center" vertical="center"/>
    </xf>
    <xf numFmtId="3" fontId="81" fillId="21" borderId="40" xfId="0" applyNumberFormat="1" applyFont="1" applyFill="1" applyBorder="1" applyAlignment="1">
      <alignment horizontal="center" vertical="center"/>
    </xf>
    <xf numFmtId="0" fontId="81" fillId="21" borderId="40" xfId="0" applyFont="1" applyFill="1" applyBorder="1" applyAlignment="1">
      <alignment horizontal="center" vertical="center"/>
    </xf>
    <xf numFmtId="9" fontId="81" fillId="21" borderId="41" xfId="1" applyFont="1" applyFill="1" applyBorder="1" applyAlignment="1">
      <alignment horizontal="center" vertical="center"/>
    </xf>
    <xf numFmtId="3" fontId="81" fillId="21" borderId="32" xfId="0" applyNumberFormat="1" applyFont="1" applyFill="1" applyBorder="1" applyAlignment="1">
      <alignment horizontal="right" vertical="center"/>
    </xf>
    <xf numFmtId="0" fontId="24" fillId="0" borderId="1" xfId="0" applyFont="1" applyBorder="1" applyAlignment="1">
      <alignment horizontal="center" vertical="center"/>
    </xf>
    <xf numFmtId="3" fontId="110" fillId="0" borderId="0" xfId="0" applyNumberFormat="1" applyFont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117" fillId="0" borderId="0" xfId="0" applyFont="1" applyAlignment="1">
      <alignment wrapText="1"/>
    </xf>
    <xf numFmtId="0" fontId="118" fillId="0" borderId="0" xfId="0" applyFont="1"/>
    <xf numFmtId="0" fontId="117" fillId="0" borderId="0" xfId="0" applyFont="1"/>
    <xf numFmtId="10" fontId="119" fillId="0" borderId="0" xfId="0" applyNumberFormat="1" applyFont="1"/>
    <xf numFmtId="9" fontId="119" fillId="0" borderId="0" xfId="0" applyNumberFormat="1" applyFont="1"/>
    <xf numFmtId="10" fontId="120" fillId="0" borderId="0" xfId="0" applyNumberFormat="1" applyFont="1"/>
    <xf numFmtId="0" fontId="121" fillId="0" borderId="0" xfId="0" applyFont="1"/>
    <xf numFmtId="0" fontId="117" fillId="4" borderId="0" xfId="0" applyFont="1" applyFill="1" applyAlignment="1">
      <alignment wrapText="1"/>
    </xf>
    <xf numFmtId="0" fontId="117" fillId="4" borderId="0" xfId="0" applyFont="1" applyFill="1"/>
    <xf numFmtId="0" fontId="122" fillId="11" borderId="1" xfId="0" applyFont="1" applyFill="1" applyBorder="1" applyAlignment="1">
      <alignment horizontal="left" vertical="center"/>
    </xf>
    <xf numFmtId="9" fontId="123" fillId="11" borderId="1" xfId="1" applyFont="1" applyFill="1" applyBorder="1" applyAlignment="1">
      <alignment horizontal="center" vertical="center"/>
    </xf>
    <xf numFmtId="0" fontId="125" fillId="18" borderId="0" xfId="0" applyFont="1" applyFill="1" applyAlignment="1">
      <alignment horizontal="center" vertical="center"/>
    </xf>
    <xf numFmtId="9" fontId="124" fillId="18" borderId="0" xfId="1" applyFont="1" applyFill="1" applyAlignment="1">
      <alignment horizontal="center" vertical="center"/>
    </xf>
    <xf numFmtId="0" fontId="125" fillId="6" borderId="0" xfId="0" applyFont="1" applyFill="1" applyAlignment="1">
      <alignment horizontal="center" vertical="center"/>
    </xf>
    <xf numFmtId="9" fontId="124" fillId="6" borderId="0" xfId="1" applyFont="1" applyFill="1" applyAlignment="1">
      <alignment horizontal="center" vertical="center"/>
    </xf>
    <xf numFmtId="0" fontId="122" fillId="11" borderId="0" xfId="0" applyFont="1" applyFill="1" applyAlignment="1">
      <alignment horizontal="left" vertical="center"/>
    </xf>
    <xf numFmtId="0" fontId="0" fillId="4" borderId="0" xfId="0" applyFill="1"/>
    <xf numFmtId="0" fontId="14" fillId="4" borderId="0" xfId="0" applyFont="1" applyFill="1"/>
    <xf numFmtId="0" fontId="126" fillId="0" borderId="0" xfId="6"/>
    <xf numFmtId="0" fontId="108" fillId="3" borderId="0" xfId="0" applyFont="1" applyFill="1" applyAlignment="1">
      <alignment horizontal="left" vertical="center"/>
    </xf>
    <xf numFmtId="166" fontId="1" fillId="3" borderId="2" xfId="0" applyNumberFormat="1" applyFont="1" applyFill="1" applyBorder="1" applyAlignment="1">
      <alignment horizontal="center" vertical="center"/>
    </xf>
    <xf numFmtId="10" fontId="72" fillId="2" borderId="1" xfId="0" applyNumberFormat="1" applyFont="1" applyFill="1" applyBorder="1" applyAlignment="1">
      <alignment horizontal="center" vertical="center" wrapText="1"/>
    </xf>
    <xf numFmtId="10" fontId="74" fillId="2" borderId="1" xfId="0" applyNumberFormat="1" applyFont="1" applyFill="1" applyBorder="1" applyAlignment="1">
      <alignment horizontal="center" vertical="center" wrapText="1"/>
    </xf>
    <xf numFmtId="10" fontId="70" fillId="13" borderId="1" xfId="0" applyNumberFormat="1" applyFont="1" applyFill="1" applyBorder="1" applyAlignment="1">
      <alignment horizontal="center" vertical="center" wrapText="1"/>
    </xf>
    <xf numFmtId="10" fontId="38" fillId="13" borderId="1" xfId="0" applyNumberFormat="1" applyFont="1" applyFill="1" applyBorder="1" applyAlignment="1">
      <alignment horizontal="center" vertical="center" wrapText="1"/>
    </xf>
    <xf numFmtId="10" fontId="67" fillId="13" borderId="1" xfId="0" applyNumberFormat="1" applyFont="1" applyFill="1" applyBorder="1" applyAlignment="1">
      <alignment horizontal="center" vertical="center" wrapText="1"/>
    </xf>
    <xf numFmtId="0" fontId="63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164" fontId="12" fillId="0" borderId="0" xfId="0" applyNumberFormat="1" applyFont="1" applyAlignment="1">
      <alignment horizontal="center" vertical="center"/>
    </xf>
    <xf numFmtId="0" fontId="78" fillId="0" borderId="0" xfId="0" applyFont="1" applyAlignment="1">
      <alignment vertical="center"/>
    </xf>
    <xf numFmtId="9" fontId="11" fillId="0" borderId="0" xfId="1" applyFont="1" applyBorder="1" applyAlignment="1">
      <alignment horizontal="center" vertical="center"/>
    </xf>
    <xf numFmtId="9" fontId="86" fillId="0" borderId="0" xfId="1" applyFont="1" applyBorder="1"/>
    <xf numFmtId="3" fontId="11" fillId="0" borderId="0" xfId="1" applyNumberFormat="1" applyFont="1" applyBorder="1" applyAlignment="1">
      <alignment horizontal="center" vertical="center"/>
    </xf>
    <xf numFmtId="0" fontId="12" fillId="3" borderId="0" xfId="0" applyFont="1" applyFill="1" applyAlignment="1">
      <alignment horizontal="center" vertical="center" wrapText="1"/>
    </xf>
    <xf numFmtId="3" fontId="83" fillId="3" borderId="0" xfId="0" applyNumberFormat="1" applyFont="1" applyFill="1" applyAlignment="1">
      <alignment horizontal="center" vertical="center"/>
    </xf>
    <xf numFmtId="166" fontId="82" fillId="3" borderId="0" xfId="1" applyNumberFormat="1" applyFont="1" applyFill="1" applyBorder="1" applyAlignment="1">
      <alignment horizontal="center" vertical="center" wrapText="1"/>
    </xf>
    <xf numFmtId="1" fontId="52" fillId="3" borderId="0" xfId="0" applyNumberFormat="1" applyFont="1" applyFill="1" applyAlignment="1">
      <alignment horizontal="center" vertical="center"/>
    </xf>
    <xf numFmtId="41" fontId="117" fillId="0" borderId="0" xfId="5" applyFont="1" applyFill="1" applyBorder="1" applyAlignment="1">
      <alignment horizontal="center"/>
    </xf>
    <xf numFmtId="41" fontId="117" fillId="0" borderId="0" xfId="5" applyFont="1" applyFill="1" applyAlignment="1">
      <alignment horizontal="center"/>
    </xf>
    <xf numFmtId="0" fontId="50" fillId="0" borderId="0" xfId="0" applyFont="1" applyAlignment="1">
      <alignment horizontal="left" vertical="center"/>
    </xf>
    <xf numFmtId="0" fontId="81" fillId="7" borderId="29" xfId="0" applyFont="1" applyFill="1" applyBorder="1" applyAlignment="1">
      <alignment horizontal="center" vertical="center"/>
    </xf>
    <xf numFmtId="0" fontId="2" fillId="25" borderId="50" xfId="0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vertical="center"/>
    </xf>
    <xf numFmtId="0" fontId="2" fillId="25" borderId="15" xfId="0" applyFont="1" applyFill="1" applyBorder="1" applyAlignment="1">
      <alignment vertical="center"/>
    </xf>
    <xf numFmtId="9" fontId="2" fillId="25" borderId="51" xfId="1" applyFont="1" applyFill="1" applyBorder="1" applyAlignment="1">
      <alignment horizontal="center" vertical="center"/>
    </xf>
    <xf numFmtId="3" fontId="2" fillId="25" borderId="15" xfId="0" applyNumberFormat="1" applyFont="1" applyFill="1" applyBorder="1" applyAlignment="1">
      <alignment horizontal="center" vertical="center"/>
    </xf>
    <xf numFmtId="3" fontId="2" fillId="25" borderId="52" xfId="0" applyNumberFormat="1" applyFont="1" applyFill="1" applyBorder="1" applyAlignment="1">
      <alignment horizontal="right" vertical="center"/>
    </xf>
    <xf numFmtId="3" fontId="2" fillId="25" borderId="15" xfId="0" applyNumberFormat="1" applyFont="1" applyFill="1" applyBorder="1" applyAlignment="1">
      <alignment horizontal="left" vertical="center"/>
    </xf>
    <xf numFmtId="0" fontId="2" fillId="16" borderId="50" xfId="0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vertical="center"/>
    </xf>
    <xf numFmtId="0" fontId="2" fillId="16" borderId="15" xfId="0" applyFont="1" applyFill="1" applyBorder="1" applyAlignment="1">
      <alignment vertical="center"/>
    </xf>
    <xf numFmtId="9" fontId="2" fillId="16" borderId="51" xfId="1" applyFont="1" applyFill="1" applyBorder="1" applyAlignment="1">
      <alignment horizontal="center" vertical="center"/>
    </xf>
    <xf numFmtId="3" fontId="2" fillId="16" borderId="15" xfId="0" applyNumberFormat="1" applyFont="1" applyFill="1" applyBorder="1" applyAlignment="1">
      <alignment horizontal="center" vertical="center"/>
    </xf>
    <xf numFmtId="3" fontId="2" fillId="16" borderId="52" xfId="0" applyNumberFormat="1" applyFont="1" applyFill="1" applyBorder="1" applyAlignment="1">
      <alignment horizontal="right" vertical="center"/>
    </xf>
    <xf numFmtId="3" fontId="2" fillId="16" borderId="15" xfId="0" applyNumberFormat="1" applyFont="1" applyFill="1" applyBorder="1" applyAlignment="1">
      <alignment horizontal="left" vertical="center"/>
    </xf>
    <xf numFmtId="0" fontId="128" fillId="3" borderId="0" xfId="2" applyFont="1" applyFill="1" applyAlignment="1">
      <alignment horizontal="center" vertical="center" wrapText="1"/>
    </xf>
    <xf numFmtId="1" fontId="128" fillId="3" borderId="0" xfId="2" applyNumberFormat="1" applyFont="1" applyFill="1" applyAlignment="1">
      <alignment horizontal="center" vertical="center" wrapText="1"/>
    </xf>
    <xf numFmtId="0" fontId="128" fillId="3" borderId="0" xfId="2" applyFont="1" applyFill="1" applyAlignment="1">
      <alignment horizontal="right" vertical="center"/>
    </xf>
    <xf numFmtId="3" fontId="128" fillId="3" borderId="0" xfId="2" applyNumberFormat="1" applyFont="1" applyFill="1" applyAlignment="1">
      <alignment horizontal="center" vertical="center"/>
    </xf>
    <xf numFmtId="0" fontId="128" fillId="3" borderId="0" xfId="2" applyFont="1" applyFill="1" applyAlignment="1">
      <alignment horizontal="right" vertical="center" wrapText="1"/>
    </xf>
    <xf numFmtId="169" fontId="128" fillId="3" borderId="0" xfId="2" applyNumberFormat="1" applyFont="1" applyFill="1" applyAlignment="1">
      <alignment horizontal="center" vertical="center" wrapText="1" shrinkToFit="1"/>
    </xf>
    <xf numFmtId="169" fontId="128" fillId="3" borderId="0" xfId="2" applyNumberFormat="1" applyFont="1" applyFill="1" applyAlignment="1">
      <alignment horizontal="right" vertical="center" shrinkToFit="1"/>
    </xf>
    <xf numFmtId="0" fontId="81" fillId="21" borderId="29" xfId="0" applyFont="1" applyFill="1" applyBorder="1" applyAlignment="1">
      <alignment horizontal="center" vertical="center"/>
    </xf>
    <xf numFmtId="0" fontId="81" fillId="17" borderId="29" xfId="0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vertical="center"/>
    </xf>
    <xf numFmtId="3" fontId="81" fillId="17" borderId="40" xfId="0" applyNumberFormat="1" applyFont="1" applyFill="1" applyBorder="1" applyAlignment="1">
      <alignment horizontal="left" vertical="center"/>
    </xf>
    <xf numFmtId="0" fontId="81" fillId="17" borderId="40" xfId="0" applyFont="1" applyFill="1" applyBorder="1" applyAlignment="1">
      <alignment vertical="center"/>
    </xf>
    <xf numFmtId="9" fontId="81" fillId="17" borderId="41" xfId="1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center" vertical="center"/>
    </xf>
    <xf numFmtId="3" fontId="81" fillId="17" borderId="40" xfId="0" applyNumberFormat="1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3" fontId="81" fillId="17" borderId="32" xfId="0" applyNumberFormat="1" applyFont="1" applyFill="1" applyBorder="1" applyAlignment="1">
      <alignment horizontal="right" vertical="center"/>
    </xf>
    <xf numFmtId="9" fontId="81" fillId="17" borderId="41" xfId="1" applyFont="1" applyFill="1" applyBorder="1" applyAlignment="1">
      <alignment horizontal="left" vertical="center"/>
    </xf>
    <xf numFmtId="0" fontId="38" fillId="0" borderId="0" xfId="0" applyFont="1" applyAlignment="1">
      <alignment horizontal="center" vertical="center"/>
    </xf>
    <xf numFmtId="0" fontId="36" fillId="26" borderId="8" xfId="0" applyFont="1" applyFill="1" applyBorder="1" applyAlignment="1">
      <alignment horizontal="left" vertical="center"/>
    </xf>
    <xf numFmtId="0" fontId="36" fillId="26" borderId="8" xfId="0" applyFont="1" applyFill="1" applyBorder="1" applyAlignment="1">
      <alignment horizontal="center" vertical="center"/>
    </xf>
    <xf numFmtId="0" fontId="78" fillId="26" borderId="9" xfId="0" applyFont="1" applyFill="1" applyBorder="1" applyAlignment="1">
      <alignment horizontal="center" vertical="center"/>
    </xf>
    <xf numFmtId="0" fontId="78" fillId="26" borderId="15" xfId="0" applyFont="1" applyFill="1" applyBorder="1" applyAlignment="1">
      <alignment horizontal="center" vertical="center"/>
    </xf>
    <xf numFmtId="0" fontId="24" fillId="0" borderId="15" xfId="0" applyFont="1" applyBorder="1" applyAlignment="1">
      <alignment horizontal="center" vertical="center"/>
    </xf>
    <xf numFmtId="0" fontId="46" fillId="28" borderId="8" xfId="0" applyFont="1" applyFill="1" applyBorder="1" applyAlignment="1">
      <alignment horizontal="left" vertical="center"/>
    </xf>
    <xf numFmtId="0" fontId="46" fillId="28" borderId="8" xfId="0" applyFont="1" applyFill="1" applyBorder="1" applyAlignment="1">
      <alignment horizontal="center" vertical="center"/>
    </xf>
    <xf numFmtId="0" fontId="70" fillId="28" borderId="9" xfId="0" applyFont="1" applyFill="1" applyBorder="1" applyAlignment="1">
      <alignment horizontal="center" vertical="center"/>
    </xf>
    <xf numFmtId="0" fontId="70" fillId="28" borderId="15" xfId="0" applyFont="1" applyFill="1" applyBorder="1" applyAlignment="1">
      <alignment horizontal="center" vertical="center"/>
    </xf>
    <xf numFmtId="9" fontId="24" fillId="0" borderId="0" xfId="1" applyFont="1" applyBorder="1" applyAlignment="1">
      <alignment horizontal="center" vertical="center"/>
    </xf>
    <xf numFmtId="0" fontId="34" fillId="3" borderId="0" xfId="0" applyFont="1" applyFill="1" applyAlignment="1">
      <alignment vertical="center" wrapText="1"/>
    </xf>
    <xf numFmtId="0" fontId="132" fillId="0" borderId="0" xfId="0" applyFont="1"/>
    <xf numFmtId="0" fontId="133" fillId="3" borderId="0" xfId="0" applyFont="1" applyFill="1" applyAlignment="1">
      <alignment vertical="center"/>
    </xf>
    <xf numFmtId="0" fontId="133" fillId="0" borderId="0" xfId="0" applyFont="1" applyAlignment="1">
      <alignment vertical="center"/>
    </xf>
    <xf numFmtId="0" fontId="112" fillId="3" borderId="10" xfId="0" applyFont="1" applyFill="1" applyBorder="1" applyAlignment="1">
      <alignment horizontal="left" vertical="center"/>
    </xf>
    <xf numFmtId="3" fontId="134" fillId="10" borderId="0" xfId="0" applyNumberFormat="1" applyFont="1" applyFill="1" applyAlignment="1">
      <alignment horizontal="center" vertical="center"/>
    </xf>
    <xf numFmtId="9" fontId="135" fillId="3" borderId="0" xfId="0" applyNumberFormat="1" applyFont="1" applyFill="1" applyAlignment="1">
      <alignment horizontal="center" vertical="center" wrapText="1"/>
    </xf>
    <xf numFmtId="9" fontId="135" fillId="3" borderId="17" xfId="0" applyNumberFormat="1" applyFont="1" applyFill="1" applyBorder="1" applyAlignment="1">
      <alignment horizontal="center" vertical="center" wrapText="1"/>
    </xf>
    <xf numFmtId="0" fontId="8" fillId="3" borderId="10" xfId="0" applyFont="1" applyFill="1" applyBorder="1" applyAlignment="1">
      <alignment horizontal="left" vertical="center"/>
    </xf>
    <xf numFmtId="10" fontId="51" fillId="2" borderId="1" xfId="0" applyNumberFormat="1" applyFont="1" applyFill="1" applyBorder="1" applyAlignment="1">
      <alignment horizontal="center" vertical="center" wrapText="1"/>
    </xf>
    <xf numFmtId="0" fontId="88" fillId="3" borderId="0" xfId="0" applyFont="1" applyFill="1"/>
    <xf numFmtId="0" fontId="89" fillId="5" borderId="25" xfId="0" applyFont="1" applyFill="1" applyBorder="1" applyAlignment="1">
      <alignment horizontal="center" vertical="center"/>
    </xf>
    <xf numFmtId="0" fontId="89" fillId="5" borderId="63" xfId="0" applyFont="1" applyFill="1" applyBorder="1" applyAlignment="1">
      <alignment horizontal="center" vertical="center"/>
    </xf>
    <xf numFmtId="0" fontId="89" fillId="3" borderId="62" xfId="0" applyFont="1" applyFill="1" applyBorder="1" applyAlignment="1">
      <alignment horizontal="center" vertical="center"/>
    </xf>
    <xf numFmtId="0" fontId="89" fillId="3" borderId="25" xfId="0" applyFont="1" applyFill="1" applyBorder="1" applyAlignment="1">
      <alignment horizontal="center" vertical="center"/>
    </xf>
    <xf numFmtId="0" fontId="89" fillId="3" borderId="61" xfId="0" applyFont="1" applyFill="1" applyBorder="1" applyAlignment="1">
      <alignment horizontal="center" vertical="center"/>
    </xf>
    <xf numFmtId="0" fontId="89" fillId="5" borderId="53" xfId="0" applyFont="1" applyFill="1" applyBorder="1" applyAlignment="1">
      <alignment horizontal="center" vertical="center"/>
    </xf>
    <xf numFmtId="0" fontId="114" fillId="11" borderId="65" xfId="0" applyFont="1" applyFill="1" applyBorder="1" applyAlignment="1">
      <alignment horizontal="center" vertical="center"/>
    </xf>
    <xf numFmtId="0" fontId="131" fillId="29" borderId="72" xfId="0" applyFont="1" applyFill="1" applyBorder="1" applyAlignment="1">
      <alignment horizontal="center" vertical="center"/>
    </xf>
    <xf numFmtId="0" fontId="1" fillId="3" borderId="73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left" vertical="center"/>
    </xf>
    <xf numFmtId="0" fontId="114" fillId="11" borderId="79" xfId="0" applyFont="1" applyFill="1" applyBorder="1" applyAlignment="1">
      <alignment horizontal="center" vertical="center"/>
    </xf>
    <xf numFmtId="0" fontId="1" fillId="3" borderId="80" xfId="0" applyFont="1" applyFill="1" applyBorder="1" applyAlignment="1">
      <alignment horizontal="center" vertical="center"/>
    </xf>
    <xf numFmtId="0" fontId="114" fillId="3" borderId="78" xfId="0" applyFont="1" applyFill="1" applyBorder="1" applyAlignment="1">
      <alignment horizontal="center" vertical="center"/>
    </xf>
    <xf numFmtId="0" fontId="114" fillId="3" borderId="79" xfId="0" applyFont="1" applyFill="1" applyBorder="1" applyAlignment="1">
      <alignment horizontal="center" vertical="center"/>
    </xf>
    <xf numFmtId="0" fontId="114" fillId="3" borderId="81" xfId="0" applyFont="1" applyFill="1" applyBorder="1" applyAlignment="1">
      <alignment horizontal="center" vertical="center"/>
    </xf>
    <xf numFmtId="164" fontId="114" fillId="3" borderId="80" xfId="0" applyNumberFormat="1" applyFont="1" applyFill="1" applyBorder="1" applyAlignment="1">
      <alignment horizontal="center" vertical="center"/>
    </xf>
    <xf numFmtId="0" fontId="114" fillId="3" borderId="80" xfId="0" applyFont="1" applyFill="1" applyBorder="1" applyAlignment="1">
      <alignment horizontal="center" vertical="center"/>
    </xf>
    <xf numFmtId="164" fontId="114" fillId="3" borderId="81" xfId="0" applyNumberFormat="1" applyFont="1" applyFill="1" applyBorder="1" applyAlignment="1">
      <alignment horizontal="center" vertical="center"/>
    </xf>
    <xf numFmtId="0" fontId="114" fillId="3" borderId="82" xfId="0" applyFont="1" applyFill="1" applyBorder="1" applyAlignment="1">
      <alignment horizontal="center" vertical="center"/>
    </xf>
    <xf numFmtId="0" fontId="131" fillId="29" borderId="79" xfId="0" applyFont="1" applyFill="1" applyBorder="1" applyAlignment="1">
      <alignment horizontal="center" vertical="center"/>
    </xf>
    <xf numFmtId="0" fontId="1" fillId="3" borderId="78" xfId="0" applyFont="1" applyFill="1" applyBorder="1" applyAlignment="1">
      <alignment horizontal="center" vertical="center"/>
    </xf>
    <xf numFmtId="0" fontId="1" fillId="3" borderId="79" xfId="0" applyFont="1" applyFill="1" applyBorder="1" applyAlignment="1">
      <alignment horizontal="center" vertical="center"/>
    </xf>
    <xf numFmtId="0" fontId="1" fillId="3" borderId="81" xfId="0" applyFont="1" applyFill="1" applyBorder="1" applyAlignment="1">
      <alignment horizontal="center" vertical="center"/>
    </xf>
    <xf numFmtId="0" fontId="1" fillId="3" borderId="82" xfId="0" applyFont="1" applyFill="1" applyBorder="1" applyAlignment="1">
      <alignment horizontal="center" vertical="center"/>
    </xf>
    <xf numFmtId="0" fontId="114" fillId="3" borderId="65" xfId="0" applyFont="1" applyFill="1" applyBorder="1" applyAlignment="1">
      <alignment horizontal="center" vertical="center"/>
    </xf>
    <xf numFmtId="164" fontId="114" fillId="3" borderId="68" xfId="0" applyNumberFormat="1" applyFont="1" applyFill="1" applyBorder="1" applyAlignment="1">
      <alignment horizontal="center" vertical="center"/>
    </xf>
    <xf numFmtId="0" fontId="114" fillId="3" borderId="67" xfId="0" applyFont="1" applyFill="1" applyBorder="1" applyAlignment="1">
      <alignment horizontal="center" vertical="center"/>
    </xf>
    <xf numFmtId="164" fontId="114" fillId="3" borderId="66" xfId="0" applyNumberFormat="1" applyFont="1" applyFill="1" applyBorder="1" applyAlignment="1">
      <alignment horizontal="center" vertical="center"/>
    </xf>
    <xf numFmtId="0" fontId="114" fillId="3" borderId="68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164" fontId="114" fillId="3" borderId="70" xfId="0" applyNumberFormat="1" applyFont="1" applyFill="1" applyBorder="1" applyAlignment="1">
      <alignment horizontal="center" vertical="center"/>
    </xf>
    <xf numFmtId="0" fontId="1" fillId="3" borderId="72" xfId="0" applyFont="1" applyFill="1" applyBorder="1" applyAlignment="1">
      <alignment horizontal="center" vertical="center"/>
    </xf>
    <xf numFmtId="0" fontId="1" fillId="3" borderId="75" xfId="0" applyFont="1" applyFill="1" applyBorder="1" applyAlignment="1">
      <alignment horizontal="center" vertical="center"/>
    </xf>
    <xf numFmtId="0" fontId="1" fillId="3" borderId="74" xfId="0" applyFont="1" applyFill="1" applyBorder="1" applyAlignment="1">
      <alignment horizontal="center" vertical="center"/>
    </xf>
    <xf numFmtId="0" fontId="1" fillId="3" borderId="76" xfId="0" applyFont="1" applyFill="1" applyBorder="1" applyAlignment="1">
      <alignment horizontal="center" vertical="center"/>
    </xf>
    <xf numFmtId="0" fontId="1" fillId="3" borderId="77" xfId="0" applyFont="1" applyFill="1" applyBorder="1" applyAlignment="1">
      <alignment horizontal="center" vertical="center"/>
    </xf>
    <xf numFmtId="0" fontId="2" fillId="3" borderId="66" xfId="0" applyFont="1" applyFill="1" applyBorder="1" applyAlignment="1">
      <alignment horizontal="center" vertical="center"/>
    </xf>
    <xf numFmtId="0" fontId="2" fillId="3" borderId="73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170" fontId="0" fillId="3" borderId="0" xfId="0" applyNumberFormat="1" applyFill="1"/>
    <xf numFmtId="170" fontId="138" fillId="6" borderId="8" xfId="0" applyNumberFormat="1" applyFont="1" applyFill="1" applyBorder="1" applyAlignment="1">
      <alignment horizontal="center" vertical="center"/>
    </xf>
    <xf numFmtId="170" fontId="138" fillId="6" borderId="15" xfId="0" applyNumberFormat="1" applyFont="1" applyFill="1" applyBorder="1" applyAlignment="1">
      <alignment horizontal="center" vertical="center"/>
    </xf>
    <xf numFmtId="0" fontId="89" fillId="3" borderId="63" xfId="0" applyFont="1" applyFill="1" applyBorder="1" applyAlignment="1">
      <alignment horizontal="center" vertical="center"/>
    </xf>
    <xf numFmtId="0" fontId="89" fillId="3" borderId="53" xfId="0" applyFont="1" applyFill="1" applyBorder="1" applyAlignment="1">
      <alignment horizontal="center" vertical="center"/>
    </xf>
    <xf numFmtId="0" fontId="140" fillId="31" borderId="54" xfId="0" applyFont="1" applyFill="1" applyBorder="1" applyAlignment="1">
      <alignment horizontal="center" vertical="center"/>
    </xf>
    <xf numFmtId="0" fontId="140" fillId="31" borderId="17" xfId="0" applyFont="1" applyFill="1" applyBorder="1" applyAlignment="1">
      <alignment horizontal="center" vertical="center"/>
    </xf>
    <xf numFmtId="0" fontId="140" fillId="31" borderId="0" xfId="0" applyFont="1" applyFill="1" applyAlignment="1">
      <alignment horizontal="center" vertical="center"/>
    </xf>
    <xf numFmtId="0" fontId="140" fillId="31" borderId="98" xfId="0" applyFont="1" applyFill="1" applyBorder="1" applyAlignment="1">
      <alignment horizontal="center" vertical="center"/>
    </xf>
    <xf numFmtId="0" fontId="140" fillId="32" borderId="54" xfId="0" applyFont="1" applyFill="1" applyBorder="1" applyAlignment="1">
      <alignment horizontal="center" vertical="center"/>
    </xf>
    <xf numFmtId="0" fontId="140" fillId="32" borderId="17" xfId="0" applyFont="1" applyFill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3" fontId="109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center"/>
    </xf>
    <xf numFmtId="9" fontId="24" fillId="0" borderId="0" xfId="1" applyFont="1" applyFill="1" applyBorder="1" applyAlignment="1">
      <alignment horizontal="center" vertical="center"/>
    </xf>
    <xf numFmtId="3" fontId="11" fillId="0" borderId="0" xfId="0" applyNumberFormat="1" applyFont="1" applyAlignment="1">
      <alignment horizontal="center"/>
    </xf>
    <xf numFmtId="0" fontId="112" fillId="3" borderId="85" xfId="0" applyFont="1" applyFill="1" applyBorder="1" applyAlignment="1">
      <alignment horizontal="left" vertical="center"/>
    </xf>
    <xf numFmtId="0" fontId="34" fillId="3" borderId="85" xfId="0" applyFont="1" applyFill="1" applyBorder="1" applyAlignment="1">
      <alignment vertical="center"/>
    </xf>
    <xf numFmtId="0" fontId="34" fillId="3" borderId="85" xfId="0" applyFont="1" applyFill="1" applyBorder="1" applyAlignment="1">
      <alignment horizontal="center" vertical="center"/>
    </xf>
    <xf numFmtId="0" fontId="34" fillId="0" borderId="85" xfId="0" applyFont="1" applyBorder="1" applyAlignment="1">
      <alignment vertical="center"/>
    </xf>
    <xf numFmtId="0" fontId="8" fillId="3" borderId="85" xfId="0" applyFont="1" applyFill="1" applyBorder="1" applyAlignment="1">
      <alignment horizontal="left" vertical="center"/>
    </xf>
    <xf numFmtId="0" fontId="142" fillId="31" borderId="85" xfId="0" applyFont="1" applyFill="1" applyBorder="1" applyAlignment="1">
      <alignment horizontal="center" vertical="center"/>
    </xf>
    <xf numFmtId="0" fontId="142" fillId="31" borderId="94" xfId="0" applyFont="1" applyFill="1" applyBorder="1" applyAlignment="1">
      <alignment horizontal="center" vertical="center"/>
    </xf>
    <xf numFmtId="0" fontId="14" fillId="27" borderId="104" xfId="0" applyFont="1" applyFill="1" applyBorder="1"/>
    <xf numFmtId="0" fontId="14" fillId="0" borderId="104" xfId="0" applyFont="1" applyBorder="1"/>
    <xf numFmtId="3" fontId="143" fillId="3" borderId="18" xfId="0" applyNumberFormat="1" applyFont="1" applyFill="1" applyBorder="1" applyAlignment="1">
      <alignment vertical="center"/>
    </xf>
    <xf numFmtId="3" fontId="143" fillId="3" borderId="18" xfId="0" applyNumberFormat="1" applyFont="1" applyFill="1" applyBorder="1" applyAlignment="1">
      <alignment horizontal="center" vertical="center"/>
    </xf>
    <xf numFmtId="3" fontId="144" fillId="3" borderId="18" xfId="0" applyNumberFormat="1" applyFont="1" applyFill="1" applyBorder="1" applyAlignment="1">
      <alignment horizontal="center" vertical="center"/>
    </xf>
    <xf numFmtId="9" fontId="145" fillId="3" borderId="18" xfId="1" applyFont="1" applyFill="1" applyBorder="1" applyAlignment="1">
      <alignment horizontal="center" vertical="center"/>
    </xf>
    <xf numFmtId="166" fontId="144" fillId="3" borderId="18" xfId="1" applyNumberFormat="1" applyFont="1" applyFill="1" applyBorder="1" applyAlignment="1">
      <alignment horizontal="center" vertical="center"/>
    </xf>
    <xf numFmtId="0" fontId="81" fillId="3" borderId="0" xfId="0" applyFont="1" applyFill="1" applyAlignment="1">
      <alignment vertical="center"/>
    </xf>
    <xf numFmtId="0" fontId="15" fillId="16" borderId="1" xfId="0" applyFont="1" applyFill="1" applyBorder="1" applyAlignment="1">
      <alignment horizontal="center" vertical="center"/>
    </xf>
    <xf numFmtId="41" fontId="15" fillId="16" borderId="1" xfId="5" applyFont="1" applyFill="1" applyBorder="1" applyAlignment="1">
      <alignment horizontal="center" vertical="center"/>
    </xf>
    <xf numFmtId="0" fontId="39" fillId="9" borderId="105" xfId="0" applyFont="1" applyFill="1" applyBorder="1" applyAlignment="1">
      <alignment vertical="center"/>
    </xf>
    <xf numFmtId="0" fontId="39" fillId="9" borderId="106" xfId="0" applyFont="1" applyFill="1" applyBorder="1" applyAlignment="1">
      <alignment vertical="center"/>
    </xf>
    <xf numFmtId="0" fontId="39" fillId="9" borderId="107" xfId="0" applyFont="1" applyFill="1" applyBorder="1" applyAlignment="1">
      <alignment vertical="center"/>
    </xf>
    <xf numFmtId="0" fontId="39" fillId="9" borderId="108" xfId="2" applyFont="1" applyFill="1" applyBorder="1" applyAlignment="1">
      <alignment horizontal="center" vertical="center" wrapText="1"/>
    </xf>
    <xf numFmtId="0" fontId="79" fillId="9" borderId="110" xfId="0" applyFont="1" applyFill="1" applyBorder="1" applyAlignment="1">
      <alignment vertical="center"/>
    </xf>
    <xf numFmtId="0" fontId="34" fillId="9" borderId="110" xfId="2" applyFont="1" applyFill="1" applyBorder="1" applyAlignment="1">
      <alignment horizontal="center" vertical="center" wrapText="1"/>
    </xf>
    <xf numFmtId="3" fontId="77" fillId="3" borderId="112" xfId="0" applyNumberFormat="1" applyFont="1" applyFill="1" applyBorder="1" applyAlignment="1">
      <alignment vertical="center"/>
    </xf>
    <xf numFmtId="9" fontId="11" fillId="3" borderId="113" xfId="1" applyFont="1" applyFill="1" applyBorder="1" applyAlignment="1">
      <alignment horizontal="center" vertical="center"/>
    </xf>
    <xf numFmtId="3" fontId="143" fillId="3" borderId="112" xfId="0" applyNumberFormat="1" applyFont="1" applyFill="1" applyBorder="1" applyAlignment="1">
      <alignment vertical="center"/>
    </xf>
    <xf numFmtId="3" fontId="101" fillId="3" borderId="112" xfId="0" applyNumberFormat="1" applyFont="1" applyFill="1" applyBorder="1" applyAlignment="1">
      <alignment vertical="center"/>
    </xf>
    <xf numFmtId="164" fontId="64" fillId="7" borderId="114" xfId="0" applyNumberFormat="1" applyFont="1" applyFill="1" applyBorder="1" applyAlignment="1">
      <alignment horizontal="left" vertical="center"/>
    </xf>
    <xf numFmtId="9" fontId="64" fillId="7" borderId="115" xfId="1" applyFont="1" applyFill="1" applyBorder="1" applyAlignment="1">
      <alignment horizontal="center" vertical="center"/>
    </xf>
    <xf numFmtId="164" fontId="39" fillId="5" borderId="116" xfId="0" applyNumberFormat="1" applyFont="1" applyFill="1" applyBorder="1" applyAlignment="1">
      <alignment horizontal="left" vertical="center"/>
    </xf>
    <xf numFmtId="3" fontId="39" fillId="5" borderId="117" xfId="0" applyNumberFormat="1" applyFont="1" applyFill="1" applyBorder="1" applyAlignment="1">
      <alignment horizontal="center" vertical="center"/>
    </xf>
    <xf numFmtId="3" fontId="39" fillId="5" borderId="118" xfId="0" applyNumberFormat="1" applyFont="1" applyFill="1" applyBorder="1" applyAlignment="1">
      <alignment horizontal="center" vertical="center"/>
    </xf>
    <xf numFmtId="9" fontId="39" fillId="5" borderId="91" xfId="1" applyFont="1" applyFill="1" applyBorder="1" applyAlignment="1">
      <alignment horizontal="center" vertical="center"/>
    </xf>
    <xf numFmtId="0" fontId="39" fillId="15" borderId="105" xfId="0" applyFont="1" applyFill="1" applyBorder="1" applyAlignment="1">
      <alignment vertical="center"/>
    </xf>
    <xf numFmtId="0" fontId="39" fillId="15" borderId="106" xfId="0" applyFont="1" applyFill="1" applyBorder="1" applyAlignment="1">
      <alignment vertical="center"/>
    </xf>
    <xf numFmtId="0" fontId="39" fillId="15" borderId="107" xfId="0" applyFont="1" applyFill="1" applyBorder="1" applyAlignment="1">
      <alignment vertical="center"/>
    </xf>
    <xf numFmtId="0" fontId="39" fillId="15" borderId="108" xfId="2" applyFont="1" applyFill="1" applyBorder="1" applyAlignment="1">
      <alignment horizontal="center" vertical="center" wrapText="1"/>
    </xf>
    <xf numFmtId="0" fontId="79" fillId="15" borderId="110" xfId="0" applyFont="1" applyFill="1" applyBorder="1" applyAlignment="1">
      <alignment vertical="center"/>
    </xf>
    <xf numFmtId="0" fontId="34" fillId="15" borderId="110" xfId="2" applyFont="1" applyFill="1" applyBorder="1" applyAlignment="1">
      <alignment horizontal="center" vertical="center" wrapText="1"/>
    </xf>
    <xf numFmtId="164" fontId="39" fillId="9" borderId="114" xfId="0" applyNumberFormat="1" applyFont="1" applyFill="1" applyBorder="1" applyAlignment="1">
      <alignment horizontal="left" vertical="center"/>
    </xf>
    <xf numFmtId="9" fontId="39" fillId="9" borderId="115" xfId="1" applyFont="1" applyFill="1" applyBorder="1" applyAlignment="1">
      <alignment horizontal="center" vertical="center"/>
    </xf>
    <xf numFmtId="0" fontId="2" fillId="15" borderId="105" xfId="0" applyFont="1" applyFill="1" applyBorder="1" applyAlignment="1">
      <alignment vertical="center"/>
    </xf>
    <xf numFmtId="0" fontId="147" fillId="0" borderId="0" xfId="0" applyFont="1"/>
    <xf numFmtId="4" fontId="22" fillId="0" borderId="0" xfId="0" applyNumberFormat="1" applyFont="1"/>
    <xf numFmtId="0" fontId="114" fillId="3" borderId="84" xfId="0" applyFont="1" applyFill="1" applyBorder="1" applyAlignment="1">
      <alignment vertical="center"/>
    </xf>
    <xf numFmtId="0" fontId="114" fillId="3" borderId="66" xfId="0" applyFont="1" applyFill="1" applyBorder="1" applyAlignment="1">
      <alignment vertical="center"/>
    </xf>
    <xf numFmtId="0" fontId="114" fillId="3" borderId="103" xfId="0" applyFont="1" applyFill="1" applyBorder="1" applyAlignment="1">
      <alignment vertical="center"/>
    </xf>
    <xf numFmtId="0" fontId="0" fillId="0" borderId="10" xfId="0" applyBorder="1"/>
    <xf numFmtId="9" fontId="24" fillId="0" borderId="0" xfId="1" applyFont="1" applyAlignment="1">
      <alignment vertical="center"/>
    </xf>
    <xf numFmtId="3" fontId="33" fillId="0" borderId="1" xfId="0" applyNumberFormat="1" applyFont="1" applyBorder="1" applyAlignment="1">
      <alignment horizontal="center" vertical="center"/>
    </xf>
    <xf numFmtId="3" fontId="69" fillId="0" borderId="1" xfId="0" applyNumberFormat="1" applyFont="1" applyBorder="1" applyAlignment="1">
      <alignment horizontal="center" vertical="center"/>
    </xf>
    <xf numFmtId="3" fontId="13" fillId="0" borderId="1" xfId="0" applyNumberFormat="1" applyFont="1" applyBorder="1" applyAlignment="1">
      <alignment horizontal="center" vertical="center"/>
    </xf>
    <xf numFmtId="3" fontId="109" fillId="0" borderId="1" xfId="0" applyNumberFormat="1" applyFont="1" applyBorder="1" applyAlignment="1">
      <alignment horizontal="center" vertical="center"/>
    </xf>
    <xf numFmtId="0" fontId="152" fillId="3" borderId="0" xfId="0" applyFont="1" applyFill="1" applyAlignment="1">
      <alignment vertical="center"/>
    </xf>
    <xf numFmtId="166" fontId="82" fillId="3" borderId="21" xfId="1" applyNumberFormat="1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vertical="center"/>
    </xf>
    <xf numFmtId="0" fontId="70" fillId="3" borderId="0" xfId="0" applyFont="1" applyFill="1" applyAlignment="1">
      <alignment vertical="center"/>
    </xf>
    <xf numFmtId="0" fontId="149" fillId="3" borderId="0" xfId="0" applyFont="1" applyFill="1"/>
    <xf numFmtId="0" fontId="153" fillId="3" borderId="0" xfId="0" applyFont="1" applyFill="1"/>
    <xf numFmtId="0" fontId="70" fillId="3" borderId="0" xfId="0" applyFont="1" applyFill="1" applyAlignment="1">
      <alignment horizontal="center" vertical="center"/>
    </xf>
    <xf numFmtId="0" fontId="150" fillId="3" borderId="123" xfId="0" applyFont="1" applyFill="1" applyBorder="1" applyAlignment="1">
      <alignment vertical="center" wrapText="1"/>
    </xf>
    <xf numFmtId="0" fontId="150" fillId="3" borderId="124" xfId="0" applyFont="1" applyFill="1" applyBorder="1" applyAlignment="1">
      <alignment horizontal="center" vertical="center" wrapText="1"/>
    </xf>
    <xf numFmtId="41" fontId="117" fillId="3" borderId="124" xfId="5" applyFont="1" applyFill="1" applyBorder="1" applyAlignment="1">
      <alignment horizontal="center"/>
    </xf>
    <xf numFmtId="41" fontId="88" fillId="3" borderId="124" xfId="5" applyFont="1" applyFill="1" applyBorder="1" applyAlignment="1">
      <alignment horizontal="center"/>
    </xf>
    <xf numFmtId="41" fontId="0" fillId="3" borderId="124" xfId="5" applyFont="1" applyFill="1" applyBorder="1" applyAlignment="1">
      <alignment horizontal="center"/>
    </xf>
    <xf numFmtId="3" fontId="83" fillId="3" borderId="121" xfId="0" applyNumberFormat="1" applyFont="1" applyFill="1" applyBorder="1" applyAlignment="1">
      <alignment horizontal="center" vertical="center"/>
    </xf>
    <xf numFmtId="166" fontId="146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/>
    </xf>
    <xf numFmtId="166" fontId="142" fillId="31" borderId="22" xfId="0" applyNumberFormat="1" applyFont="1" applyFill="1" applyBorder="1" applyAlignment="1">
      <alignment horizontal="center" vertical="center" wrapText="1"/>
    </xf>
    <xf numFmtId="3" fontId="24" fillId="31" borderId="22" xfId="0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/>
    </xf>
    <xf numFmtId="166" fontId="34" fillId="3" borderId="21" xfId="1" applyNumberFormat="1" applyFont="1" applyFill="1" applyBorder="1" applyAlignment="1">
      <alignment horizontal="center" vertical="center" wrapText="1"/>
    </xf>
    <xf numFmtId="0" fontId="0" fillId="0" borderId="17" xfId="0" applyBorder="1"/>
    <xf numFmtId="1" fontId="52" fillId="7" borderId="121" xfId="0" applyNumberFormat="1" applyFont="1" applyFill="1" applyBorder="1" applyAlignment="1">
      <alignment horizontal="center" vertical="center"/>
    </xf>
    <xf numFmtId="1" fontId="52" fillId="7" borderId="119" xfId="0" applyNumberFormat="1" applyFont="1" applyFill="1" applyBorder="1" applyAlignment="1">
      <alignment horizontal="center" vertical="center"/>
    </xf>
    <xf numFmtId="166" fontId="82" fillId="3" borderId="21" xfId="1" applyNumberFormat="1" applyFont="1" applyFill="1" applyBorder="1" applyAlignment="1">
      <alignment horizontal="center" vertical="center" wrapText="1"/>
    </xf>
    <xf numFmtId="3" fontId="24" fillId="3" borderId="21" xfId="0" applyNumberFormat="1" applyFont="1" applyFill="1" applyBorder="1" applyAlignment="1">
      <alignment horizontal="center" vertical="center" wrapText="1"/>
    </xf>
    <xf numFmtId="3" fontId="95" fillId="3" borderId="121" xfId="0" applyNumberFormat="1" applyFont="1" applyFill="1" applyBorder="1" applyAlignment="1">
      <alignment horizontal="center" vertical="center"/>
    </xf>
    <xf numFmtId="0" fontId="46" fillId="6" borderId="9" xfId="0" applyFont="1" applyFill="1" applyBorder="1" applyAlignment="1">
      <alignment vertical="center" wrapText="1"/>
    </xf>
    <xf numFmtId="3" fontId="77" fillId="3" borderId="33" xfId="0" applyNumberFormat="1" applyFont="1" applyFill="1" applyBorder="1" applyAlignment="1">
      <alignment vertical="center"/>
    </xf>
    <xf numFmtId="3" fontId="92" fillId="3" borderId="33" xfId="0" applyNumberFormat="1" applyFont="1" applyFill="1" applyBorder="1" applyAlignment="1">
      <alignment vertical="center"/>
    </xf>
    <xf numFmtId="0" fontId="52" fillId="7" borderId="33" xfId="0" applyFont="1" applyFill="1" applyBorder="1" applyAlignment="1">
      <alignment vertical="center"/>
    </xf>
    <xf numFmtId="0" fontId="52" fillId="7" borderId="126" xfId="0" applyFont="1" applyFill="1" applyBorder="1" applyAlignment="1">
      <alignment vertical="center" wrapText="1"/>
    </xf>
    <xf numFmtId="0" fontId="10" fillId="3" borderId="15" xfId="0" applyFont="1" applyFill="1" applyBorder="1" applyAlignment="1">
      <alignment vertical="center"/>
    </xf>
    <xf numFmtId="0" fontId="12" fillId="2" borderId="16" xfId="0" applyFont="1" applyFill="1" applyBorder="1" applyAlignment="1">
      <alignment vertical="center" wrapText="1"/>
    </xf>
    <xf numFmtId="3" fontId="77" fillId="3" borderId="128" xfId="0" applyNumberFormat="1" applyFont="1" applyFill="1" applyBorder="1" applyAlignment="1">
      <alignment vertical="center"/>
    </xf>
    <xf numFmtId="3" fontId="143" fillId="3" borderId="128" xfId="0" applyNumberFormat="1" applyFont="1" applyFill="1" applyBorder="1" applyAlignment="1">
      <alignment vertical="center"/>
    </xf>
    <xf numFmtId="3" fontId="101" fillId="3" borderId="128" xfId="0" applyNumberFormat="1" applyFont="1" applyFill="1" applyBorder="1" applyAlignment="1">
      <alignment vertical="center"/>
    </xf>
    <xf numFmtId="0" fontId="79" fillId="24" borderId="128" xfId="0" applyFont="1" applyFill="1" applyBorder="1" applyAlignment="1">
      <alignment vertical="center"/>
    </xf>
    <xf numFmtId="9" fontId="103" fillId="3" borderId="1" xfId="1" applyFont="1" applyFill="1" applyBorder="1" applyAlignment="1">
      <alignment horizontal="center" vertical="center"/>
    </xf>
    <xf numFmtId="3" fontId="9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vertical="center"/>
    </xf>
    <xf numFmtId="0" fontId="79" fillId="24" borderId="129" xfId="0" applyFont="1" applyFill="1" applyBorder="1" applyAlignment="1">
      <alignment vertical="center" wrapText="1"/>
    </xf>
    <xf numFmtId="1" fontId="79" fillId="24" borderId="121" xfId="0" applyNumberFormat="1" applyFont="1" applyFill="1" applyBorder="1" applyAlignment="1">
      <alignment horizontal="center" vertical="center"/>
    </xf>
    <xf numFmtId="1" fontId="79" fillId="24" borderId="119" xfId="0" applyNumberFormat="1" applyFont="1" applyFill="1" applyBorder="1" applyAlignment="1">
      <alignment horizontal="center" vertical="center"/>
    </xf>
    <xf numFmtId="166" fontId="129" fillId="3" borderId="21" xfId="1" applyNumberFormat="1" applyFont="1" applyFill="1" applyBorder="1" applyAlignment="1">
      <alignment horizontal="left" vertical="center"/>
    </xf>
    <xf numFmtId="3" fontId="94" fillId="9" borderId="1" xfId="0" applyNumberFormat="1" applyFont="1" applyFill="1" applyBorder="1" applyAlignment="1">
      <alignment vertical="center"/>
    </xf>
    <xf numFmtId="3" fontId="77" fillId="3" borderId="127" xfId="0" applyNumberFormat="1" applyFont="1" applyFill="1" applyBorder="1" applyAlignment="1">
      <alignment vertical="center"/>
    </xf>
    <xf numFmtId="3" fontId="83" fillId="3" borderId="130" xfId="0" applyNumberFormat="1" applyFont="1" applyFill="1" applyBorder="1" applyAlignment="1">
      <alignment horizontal="center" vertical="center"/>
    </xf>
    <xf numFmtId="166" fontId="82" fillId="3" borderId="22" xfId="1" applyNumberFormat="1" applyFont="1" applyFill="1" applyBorder="1" applyAlignment="1">
      <alignment horizontal="center" vertical="center"/>
    </xf>
    <xf numFmtId="0" fontId="0" fillId="3" borderId="15" xfId="0" applyFill="1" applyBorder="1"/>
    <xf numFmtId="0" fontId="11" fillId="3" borderId="5" xfId="0" applyFont="1" applyFill="1" applyBorder="1" applyAlignment="1">
      <alignment vertical="center" wrapText="1"/>
    </xf>
    <xf numFmtId="0" fontId="46" fillId="35" borderId="119" xfId="0" applyFont="1" applyFill="1" applyBorder="1" applyAlignment="1">
      <alignment horizontal="center" vertical="center" wrapText="1"/>
    </xf>
    <xf numFmtId="0" fontId="46" fillId="35" borderId="120" xfId="0" applyFont="1" applyFill="1" applyBorder="1" applyAlignment="1">
      <alignment horizontal="center" vertical="center" wrapText="1"/>
    </xf>
    <xf numFmtId="0" fontId="0" fillId="3" borderId="5" xfId="0" applyFill="1" applyBorder="1"/>
    <xf numFmtId="0" fontId="46" fillId="33" borderId="119" xfId="0" applyFont="1" applyFill="1" applyBorder="1" applyAlignment="1">
      <alignment horizontal="center" vertical="center" wrapText="1"/>
    </xf>
    <xf numFmtId="0" fontId="46" fillId="33" borderId="120" xfId="0" applyFont="1" applyFill="1" applyBorder="1" applyAlignment="1">
      <alignment horizontal="center" vertical="center" wrapText="1"/>
    </xf>
    <xf numFmtId="0" fontId="46" fillId="34" borderId="119" xfId="0" applyFont="1" applyFill="1" applyBorder="1" applyAlignment="1">
      <alignment horizontal="center" vertical="center" wrapText="1"/>
    </xf>
    <xf numFmtId="0" fontId="46" fillId="34" borderId="120" xfId="0" applyFont="1" applyFill="1" applyBorder="1" applyAlignment="1">
      <alignment horizontal="center" vertical="center" wrapText="1"/>
    </xf>
    <xf numFmtId="3" fontId="77" fillId="3" borderId="125" xfId="0" applyNumberFormat="1" applyFont="1" applyFill="1" applyBorder="1" applyAlignment="1">
      <alignment vertical="center"/>
    </xf>
    <xf numFmtId="3" fontId="24" fillId="3" borderId="22" xfId="0" applyNumberFormat="1" applyFont="1" applyFill="1" applyBorder="1" applyAlignment="1">
      <alignment horizontal="center" vertical="center"/>
    </xf>
    <xf numFmtId="0" fontId="79" fillId="3" borderId="15" xfId="0" applyFont="1" applyFill="1" applyBorder="1" applyAlignment="1">
      <alignment vertical="center"/>
    </xf>
    <xf numFmtId="0" fontId="70" fillId="7" borderId="119" xfId="0" applyFont="1" applyFill="1" applyBorder="1" applyAlignment="1">
      <alignment horizontal="center" vertical="center" wrapText="1"/>
    </xf>
    <xf numFmtId="0" fontId="70" fillId="7" borderId="120" xfId="0" applyFont="1" applyFill="1" applyBorder="1" applyAlignment="1">
      <alignment horizontal="center" vertical="center" wrapText="1"/>
    </xf>
    <xf numFmtId="0" fontId="72" fillId="12" borderId="119" xfId="0" applyFont="1" applyFill="1" applyBorder="1" applyAlignment="1">
      <alignment horizontal="center" vertical="center" wrapText="1"/>
    </xf>
    <xf numFmtId="0" fontId="72" fillId="12" borderId="120" xfId="0" applyFont="1" applyFill="1" applyBorder="1" applyAlignment="1">
      <alignment horizontal="center" vertical="center" wrapText="1"/>
    </xf>
    <xf numFmtId="0" fontId="72" fillId="8" borderId="119" xfId="0" applyFont="1" applyFill="1" applyBorder="1" applyAlignment="1">
      <alignment horizontal="center" vertical="center" wrapText="1"/>
    </xf>
    <xf numFmtId="0" fontId="72" fillId="8" borderId="120" xfId="0" applyFont="1" applyFill="1" applyBorder="1" applyAlignment="1">
      <alignment horizontal="center" vertical="center" wrapText="1"/>
    </xf>
    <xf numFmtId="0" fontId="106" fillId="3" borderId="5" xfId="0" applyFont="1" applyFill="1" applyBorder="1"/>
    <xf numFmtId="0" fontId="72" fillId="9" borderId="119" xfId="0" applyFont="1" applyFill="1" applyBorder="1" applyAlignment="1">
      <alignment horizontal="center" vertical="center" wrapText="1"/>
    </xf>
    <xf numFmtId="0" fontId="72" fillId="9" borderId="120" xfId="0" applyFont="1" applyFill="1" applyBorder="1" applyAlignment="1">
      <alignment horizontal="center" vertical="center" wrapText="1"/>
    </xf>
    <xf numFmtId="0" fontId="151" fillId="6" borderId="6" xfId="0" applyFont="1" applyFill="1" applyBorder="1" applyAlignment="1">
      <alignment vertical="center" wrapText="1"/>
    </xf>
    <xf numFmtId="0" fontId="154" fillId="2" borderId="19" xfId="0" applyFont="1" applyFill="1" applyBorder="1" applyAlignment="1">
      <alignment vertical="center" wrapText="1"/>
    </xf>
    <xf numFmtId="166" fontId="159" fillId="3" borderId="21" xfId="1" applyNumberFormat="1" applyFont="1" applyFill="1" applyBorder="1" applyAlignment="1">
      <alignment horizontal="center" vertical="center" wrapText="1"/>
    </xf>
    <xf numFmtId="166" fontId="160" fillId="31" borderId="22" xfId="0" applyNumberFormat="1" applyFont="1" applyFill="1" applyBorder="1" applyAlignment="1">
      <alignment horizontal="center" vertical="center" wrapText="1"/>
    </xf>
    <xf numFmtId="3" fontId="109" fillId="27" borderId="104" xfId="0" applyNumberFormat="1" applyFont="1" applyFill="1" applyBorder="1" applyAlignment="1">
      <alignment horizontal="center"/>
    </xf>
    <xf numFmtId="3" fontId="109" fillId="27" borderId="1" xfId="0" applyNumberFormat="1" applyFont="1" applyFill="1" applyBorder="1" applyAlignment="1">
      <alignment horizontal="center"/>
    </xf>
    <xf numFmtId="3" fontId="11" fillId="0" borderId="1" xfId="1" applyNumberFormat="1" applyFont="1" applyBorder="1" applyAlignment="1">
      <alignment horizontal="center" vertical="center"/>
    </xf>
    <xf numFmtId="3" fontId="123" fillId="3" borderId="1" xfId="1" applyNumberFormat="1" applyFont="1" applyFill="1" applyBorder="1" applyAlignment="1">
      <alignment horizontal="center" vertical="center"/>
    </xf>
    <xf numFmtId="0" fontId="161" fillId="3" borderId="0" xfId="0" applyFont="1" applyFill="1"/>
    <xf numFmtId="0" fontId="130" fillId="0" borderId="0" xfId="0" applyFont="1"/>
    <xf numFmtId="0" fontId="133" fillId="11" borderId="10" xfId="0" applyFont="1" applyFill="1" applyBorder="1" applyAlignment="1">
      <alignment horizontal="center" vertical="center"/>
    </xf>
    <xf numFmtId="3" fontId="133" fillId="11" borderId="0" xfId="0" applyNumberFormat="1" applyFont="1" applyFill="1" applyAlignment="1">
      <alignment horizontal="center" vertical="center"/>
    </xf>
    <xf numFmtId="0" fontId="133" fillId="11" borderId="0" xfId="0" applyFont="1" applyFill="1" applyAlignment="1">
      <alignment horizontal="center" vertical="center"/>
    </xf>
    <xf numFmtId="9" fontId="39" fillId="11" borderId="0" xfId="0" applyNumberFormat="1" applyFont="1" applyFill="1" applyAlignment="1">
      <alignment horizontal="center" vertical="center" wrapText="1"/>
    </xf>
    <xf numFmtId="9" fontId="39" fillId="11" borderId="17" xfId="0" applyNumberFormat="1" applyFont="1" applyFill="1" applyBorder="1" applyAlignment="1">
      <alignment horizontal="center" vertical="center" wrapText="1"/>
    </xf>
    <xf numFmtId="0" fontId="133" fillId="36" borderId="10" xfId="0" applyFont="1" applyFill="1" applyBorder="1" applyAlignment="1">
      <alignment horizontal="center" vertical="center"/>
    </xf>
    <xf numFmtId="3" fontId="133" fillId="36" borderId="0" xfId="0" applyNumberFormat="1" applyFont="1" applyFill="1" applyAlignment="1">
      <alignment horizontal="center" vertical="center"/>
    </xf>
    <xf numFmtId="0" fontId="133" fillId="36" borderId="0" xfId="0" applyFont="1" applyFill="1" applyAlignment="1">
      <alignment horizontal="center" vertical="center"/>
    </xf>
    <xf numFmtId="9" fontId="39" fillId="36" borderId="0" xfId="0" applyNumberFormat="1" applyFont="1" applyFill="1" applyAlignment="1">
      <alignment horizontal="center" vertical="center" wrapText="1"/>
    </xf>
    <xf numFmtId="9" fontId="39" fillId="36" borderId="17" xfId="0" applyNumberFormat="1" applyFont="1" applyFill="1" applyBorder="1" applyAlignment="1">
      <alignment horizontal="center" vertical="center" wrapText="1"/>
    </xf>
    <xf numFmtId="0" fontId="89" fillId="0" borderId="62" xfId="0" applyFont="1" applyBorder="1" applyAlignment="1">
      <alignment horizontal="center" vertical="center"/>
    </xf>
    <xf numFmtId="0" fontId="89" fillId="0" borderId="25" xfId="0" applyFont="1" applyBorder="1" applyAlignment="1">
      <alignment horizontal="center" vertical="center"/>
    </xf>
    <xf numFmtId="0" fontId="89" fillId="0" borderId="63" xfId="0" applyFont="1" applyBorder="1" applyAlignment="1">
      <alignment horizontal="center" vertical="center"/>
    </xf>
    <xf numFmtId="0" fontId="89" fillId="0" borderId="61" xfId="0" applyFont="1" applyBorder="1" applyAlignment="1">
      <alignment horizontal="center" vertical="center"/>
    </xf>
    <xf numFmtId="0" fontId="89" fillId="0" borderId="53" xfId="0" applyFont="1" applyBorder="1" applyAlignment="1">
      <alignment horizontal="center" vertical="center"/>
    </xf>
    <xf numFmtId="0" fontId="163" fillId="0" borderId="0" xfId="0" applyFont="1"/>
    <xf numFmtId="0" fontId="137" fillId="0" borderId="0" xfId="0" applyFont="1"/>
    <xf numFmtId="9" fontId="0" fillId="0" borderId="0" xfId="0" applyNumberFormat="1"/>
    <xf numFmtId="0" fontId="22" fillId="0" borderId="0" xfId="0" applyFont="1" applyAlignment="1">
      <alignment wrapText="1"/>
    </xf>
    <xf numFmtId="0" fontId="0" fillId="4" borderId="0" xfId="0" applyFill="1" applyAlignment="1">
      <alignment wrapText="1"/>
    </xf>
    <xf numFmtId="0" fontId="0" fillId="0" borderId="0" xfId="0" applyAlignment="1">
      <alignment horizontal="right" wrapText="1"/>
    </xf>
    <xf numFmtId="0" fontId="0" fillId="0" borderId="0" xfId="0" applyAlignment="1">
      <alignment horizontal="right"/>
    </xf>
    <xf numFmtId="0" fontId="117" fillId="0" borderId="0" xfId="0" applyFont="1" applyAlignment="1">
      <alignment horizontal="right" wrapText="1"/>
    </xf>
    <xf numFmtId="3" fontId="109" fillId="0" borderId="104" xfId="0" applyNumberFormat="1" applyFont="1" applyBorder="1" applyAlignment="1">
      <alignment horizontal="center"/>
    </xf>
    <xf numFmtId="3" fontId="11" fillId="0" borderId="104" xfId="0" applyNumberFormat="1" applyFont="1" applyBorder="1" applyAlignment="1">
      <alignment horizontal="center"/>
    </xf>
    <xf numFmtId="3" fontId="11" fillId="27" borderId="104" xfId="0" applyNumberFormat="1" applyFont="1" applyFill="1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53" fillId="27" borderId="104" xfId="0" applyFont="1" applyFill="1" applyBorder="1"/>
    <xf numFmtId="0" fontId="53" fillId="0" borderId="104" xfId="0" applyFont="1" applyBorder="1"/>
    <xf numFmtId="164" fontId="12" fillId="0" borderId="2" xfId="0" applyNumberFormat="1" applyFont="1" applyBorder="1" applyAlignment="1">
      <alignment horizontal="center" vertical="center"/>
    </xf>
    <xf numFmtId="0" fontId="24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164" fontId="12" fillId="0" borderId="4" xfId="0" applyNumberFormat="1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12" fillId="0" borderId="4" xfId="0" applyFont="1" applyBorder="1" applyAlignment="1">
      <alignment horizontal="center" vertical="center"/>
    </xf>
    <xf numFmtId="0" fontId="24" fillId="0" borderId="1" xfId="0" applyFont="1" applyBorder="1" applyAlignment="1">
      <alignment vertical="center"/>
    </xf>
    <xf numFmtId="3" fontId="82" fillId="3" borderId="18" xfId="0" applyNumberFormat="1" applyFont="1" applyFill="1" applyBorder="1" applyAlignment="1">
      <alignment vertical="center"/>
    </xf>
    <xf numFmtId="0" fontId="70" fillId="6" borderId="9" xfId="0" applyFont="1" applyFill="1" applyBorder="1" applyAlignment="1">
      <alignment vertical="center" wrapText="1"/>
    </xf>
    <xf numFmtId="0" fontId="70" fillId="6" borderId="9" xfId="0" applyFont="1" applyFill="1" applyBorder="1" applyAlignment="1">
      <alignment horizontal="center" vertical="center" wrapText="1"/>
    </xf>
    <xf numFmtId="0" fontId="70" fillId="6" borderId="8" xfId="0" applyFont="1" applyFill="1" applyBorder="1" applyAlignment="1">
      <alignment horizontal="center" vertical="center" wrapText="1"/>
    </xf>
    <xf numFmtId="0" fontId="12" fillId="6" borderId="9" xfId="0" applyFont="1" applyFill="1" applyBorder="1" applyAlignment="1">
      <alignment horizontal="center" vertical="center" wrapText="1"/>
    </xf>
    <xf numFmtId="0" fontId="72" fillId="6" borderId="9" xfId="0" applyFont="1" applyFill="1" applyBorder="1" applyAlignment="1">
      <alignment horizontal="center" vertical="center" wrapText="1"/>
    </xf>
    <xf numFmtId="3" fontId="64" fillId="7" borderId="6" xfId="0" applyNumberFormat="1" applyFont="1" applyFill="1" applyBorder="1" applyAlignment="1">
      <alignment horizontal="center" vertical="center"/>
    </xf>
    <xf numFmtId="0" fontId="52" fillId="14" borderId="6" xfId="0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vertical="center"/>
    </xf>
    <xf numFmtId="0" fontId="155" fillId="2" borderId="8" xfId="0" applyFont="1" applyFill="1" applyBorder="1" applyAlignment="1">
      <alignment vertical="center" wrapText="1"/>
    </xf>
    <xf numFmtId="0" fontId="155" fillId="2" borderId="9" xfId="0" applyFont="1" applyFill="1" applyBorder="1" applyAlignment="1">
      <alignment horizontal="center" vertical="center" wrapText="1"/>
    </xf>
    <xf numFmtId="0" fontId="155" fillId="2" borderId="8" xfId="0" applyFont="1" applyFill="1" applyBorder="1" applyAlignment="1">
      <alignment horizontal="center" vertical="center" wrapText="1"/>
    </xf>
    <xf numFmtId="0" fontId="158" fillId="2" borderId="9" xfId="0" applyFont="1" applyFill="1" applyBorder="1" applyAlignment="1">
      <alignment horizontal="center" vertical="center" wrapText="1"/>
    </xf>
    <xf numFmtId="3" fontId="127" fillId="18" borderId="6" xfId="0" applyNumberFormat="1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vertical="center"/>
    </xf>
    <xf numFmtId="0" fontId="20" fillId="0" borderId="0" xfId="0" applyFont="1"/>
    <xf numFmtId="0" fontId="50" fillId="0" borderId="18" xfId="0" applyFont="1" applyBorder="1" applyAlignment="1">
      <alignment horizontal="center" vertical="center"/>
    </xf>
    <xf numFmtId="3" fontId="33" fillId="0" borderId="18" xfId="0" applyNumberFormat="1" applyFont="1" applyBorder="1" applyAlignment="1">
      <alignment horizontal="center" vertical="center"/>
    </xf>
    <xf numFmtId="3" fontId="69" fillId="0" borderId="18" xfId="0" applyNumberFormat="1" applyFont="1" applyBorder="1" applyAlignment="1">
      <alignment horizontal="center" vertical="center"/>
    </xf>
    <xf numFmtId="3" fontId="13" fillId="0" borderId="18" xfId="0" applyNumberFormat="1" applyFont="1" applyBorder="1" applyAlignment="1">
      <alignment horizontal="center" vertical="center"/>
    </xf>
    <xf numFmtId="3" fontId="109" fillId="0" borderId="18" xfId="0" applyNumberFormat="1" applyFont="1" applyBorder="1" applyAlignment="1">
      <alignment horizontal="center" vertical="center"/>
    </xf>
    <xf numFmtId="3" fontId="109" fillId="27" borderId="18" xfId="0" applyNumberFormat="1" applyFont="1" applyFill="1" applyBorder="1" applyAlignment="1">
      <alignment horizontal="center"/>
    </xf>
    <xf numFmtId="0" fontId="122" fillId="11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horizontal="center" vertical="center"/>
    </xf>
    <xf numFmtId="0" fontId="8" fillId="3" borderId="18" xfId="0" applyFont="1" applyFill="1" applyBorder="1" applyAlignment="1">
      <alignment horizontal="left" vertical="center"/>
    </xf>
    <xf numFmtId="0" fontId="24" fillId="0" borderId="18" xfId="0" applyFont="1" applyBorder="1" applyAlignment="1">
      <alignment vertical="center"/>
    </xf>
    <xf numFmtId="9" fontId="103" fillId="0" borderId="0" xfId="1" applyFont="1" applyAlignment="1">
      <alignment vertical="center"/>
    </xf>
    <xf numFmtId="9" fontId="26" fillId="0" borderId="0" xfId="1" applyFont="1"/>
    <xf numFmtId="9" fontId="165" fillId="17" borderId="0" xfId="1" applyFont="1" applyFill="1" applyAlignment="1">
      <alignment horizontal="center" vertical="center" wrapText="1"/>
    </xf>
    <xf numFmtId="3" fontId="166" fillId="11" borderId="0" xfId="2" applyNumberFormat="1" applyFont="1" applyFill="1" applyAlignment="1">
      <alignment horizontal="center" vertical="center" wrapText="1"/>
    </xf>
    <xf numFmtId="0" fontId="0" fillId="9" borderId="0" xfId="0" applyFill="1"/>
    <xf numFmtId="0" fontId="9" fillId="9" borderId="0" xfId="0" applyFont="1" applyFill="1"/>
    <xf numFmtId="0" fontId="26" fillId="9" borderId="0" xfId="2" applyFont="1" applyFill="1"/>
    <xf numFmtId="0" fontId="25" fillId="9" borderId="0" xfId="2" applyFont="1" applyFill="1" applyAlignment="1">
      <alignment horizontal="right" vertical="center" wrapText="1"/>
    </xf>
    <xf numFmtId="165" fontId="25" fillId="9" borderId="0" xfId="2" applyNumberFormat="1" applyFont="1" applyFill="1" applyAlignment="1">
      <alignment horizontal="right" vertical="center" shrinkToFit="1"/>
    </xf>
    <xf numFmtId="164" fontId="11" fillId="9" borderId="0" xfId="0" applyNumberFormat="1" applyFont="1" applyFill="1" applyAlignment="1">
      <alignment horizontal="left" vertical="center"/>
    </xf>
    <xf numFmtId="0" fontId="8" fillId="9" borderId="0" xfId="0" applyFont="1" applyFill="1" applyAlignment="1">
      <alignment horizontal="left" vertical="center"/>
    </xf>
    <xf numFmtId="0" fontId="11" fillId="9" borderId="0" xfId="0" applyFont="1" applyFill="1"/>
    <xf numFmtId="164" fontId="33" fillId="9" borderId="0" xfId="0" applyNumberFormat="1" applyFont="1" applyFill="1" applyAlignment="1">
      <alignment horizontal="left" vertical="center"/>
    </xf>
    <xf numFmtId="0" fontId="118" fillId="0" borderId="0" xfId="0" applyFont="1" applyAlignment="1">
      <alignment horizontal="center" vertical="center" wrapText="1"/>
    </xf>
    <xf numFmtId="0" fontId="117" fillId="0" borderId="0" xfId="0" applyFont="1" applyAlignment="1">
      <alignment horizontal="center" vertical="center" wrapText="1"/>
    </xf>
    <xf numFmtId="4" fontId="118" fillId="0" borderId="0" xfId="0" applyNumberFormat="1" applyFont="1" applyAlignment="1">
      <alignment horizontal="center" vertical="center" wrapText="1"/>
    </xf>
    <xf numFmtId="0" fontId="120" fillId="0" borderId="0" xfId="0" applyFont="1" applyAlignment="1">
      <alignment horizontal="center" vertical="center" wrapText="1"/>
    </xf>
    <xf numFmtId="3" fontId="165" fillId="17" borderId="0" xfId="2" applyNumberFormat="1" applyFont="1" applyFill="1" applyAlignment="1">
      <alignment horizontal="center" vertical="center" wrapText="1"/>
    </xf>
    <xf numFmtId="3" fontId="26" fillId="0" borderId="0" xfId="2" applyNumberFormat="1" applyFont="1"/>
    <xf numFmtId="3" fontId="109" fillId="27" borderId="0" xfId="0" applyNumberFormat="1" applyFont="1" applyFill="1" applyAlignment="1">
      <alignment horizontal="center"/>
    </xf>
    <xf numFmtId="9" fontId="24" fillId="0" borderId="0" xfId="0" applyNumberFormat="1" applyFont="1" applyAlignment="1">
      <alignment vertical="center"/>
    </xf>
    <xf numFmtId="1" fontId="24" fillId="0" borderId="18" xfId="0" applyNumberFormat="1" applyFont="1" applyBorder="1" applyAlignment="1">
      <alignment horizontal="center" vertical="center"/>
    </xf>
    <xf numFmtId="9" fontId="123" fillId="11" borderId="0" xfId="1" applyFont="1" applyFill="1" applyBorder="1" applyAlignment="1">
      <alignment horizontal="center" vertical="center"/>
    </xf>
    <xf numFmtId="3" fontId="123" fillId="3" borderId="0" xfId="1" applyNumberFormat="1" applyFont="1" applyFill="1" applyBorder="1" applyAlignment="1">
      <alignment horizontal="center" vertical="center"/>
    </xf>
    <xf numFmtId="3" fontId="66" fillId="11" borderId="1" xfId="0" applyNumberFormat="1" applyFont="1" applyFill="1" applyBorder="1" applyAlignment="1">
      <alignment horizontal="center" vertical="center"/>
    </xf>
    <xf numFmtId="3" fontId="167" fillId="11" borderId="1" xfId="0" applyNumberFormat="1" applyFont="1" applyFill="1" applyBorder="1" applyAlignment="1">
      <alignment horizontal="center" vertical="center"/>
    </xf>
    <xf numFmtId="3" fontId="11" fillId="0" borderId="1" xfId="0" applyNumberFormat="1" applyFont="1" applyBorder="1" applyAlignment="1">
      <alignment horizontal="center" vertical="center"/>
    </xf>
    <xf numFmtId="0" fontId="168" fillId="0" borderId="0" xfId="0" applyFont="1"/>
    <xf numFmtId="0" fontId="169" fillId="0" borderId="0" xfId="0" applyFont="1"/>
    <xf numFmtId="0" fontId="170" fillId="0" borderId="0" xfId="0" applyFont="1"/>
    <xf numFmtId="0" fontId="1" fillId="3" borderId="131" xfId="0" applyFont="1" applyFill="1" applyBorder="1" applyAlignment="1">
      <alignment horizontal="center" vertical="center"/>
    </xf>
    <xf numFmtId="0" fontId="1" fillId="3" borderId="132" xfId="0" applyFont="1" applyFill="1" applyBorder="1" applyAlignment="1">
      <alignment horizontal="center" vertical="center"/>
    </xf>
    <xf numFmtId="0" fontId="1" fillId="3" borderId="65" xfId="0" applyFont="1" applyFill="1" applyBorder="1" applyAlignment="1">
      <alignment horizontal="left" vertical="center"/>
    </xf>
    <xf numFmtId="0" fontId="1" fillId="3" borderId="72" xfId="0" applyFont="1" applyFill="1" applyBorder="1" applyAlignment="1">
      <alignment horizontal="left" vertical="center"/>
    </xf>
    <xf numFmtId="0" fontId="138" fillId="6" borderId="8" xfId="0" applyFont="1" applyFill="1" applyBorder="1" applyAlignment="1">
      <alignment horizontal="center" vertical="center"/>
    </xf>
    <xf numFmtId="0" fontId="138" fillId="6" borderId="15" xfId="0" applyFont="1" applyFill="1" applyBorder="1" applyAlignment="1">
      <alignment horizontal="center" vertical="center"/>
    </xf>
    <xf numFmtId="0" fontId="138" fillId="6" borderId="3" xfId="0" applyFont="1" applyFill="1" applyBorder="1" applyAlignment="1">
      <alignment horizontal="center" vertical="center"/>
    </xf>
    <xf numFmtId="0" fontId="138" fillId="6" borderId="4" xfId="0" applyFont="1" applyFill="1" applyBorder="1" applyAlignment="1">
      <alignment horizontal="center" vertical="center"/>
    </xf>
    <xf numFmtId="0" fontId="1" fillId="5" borderId="59" xfId="0" applyFont="1" applyFill="1" applyBorder="1" applyAlignment="1">
      <alignment horizontal="center" vertical="center"/>
    </xf>
    <xf numFmtId="0" fontId="1" fillId="5" borderId="56" xfId="0" applyFont="1" applyFill="1" applyBorder="1" applyAlignment="1">
      <alignment horizontal="center" vertical="center"/>
    </xf>
    <xf numFmtId="0" fontId="1" fillId="5" borderId="57" xfId="0" applyFont="1" applyFill="1" applyBorder="1" applyAlignment="1">
      <alignment horizontal="center" vertical="center"/>
    </xf>
    <xf numFmtId="170" fontId="1" fillId="3" borderId="60" xfId="0" applyNumberFormat="1" applyFont="1" applyFill="1" applyBorder="1" applyAlignment="1">
      <alignment horizontal="center" vertical="center"/>
    </xf>
    <xf numFmtId="170" fontId="1" fillId="3" borderId="56" xfId="0" applyNumberFormat="1" applyFont="1" applyFill="1" applyBorder="1" applyAlignment="1">
      <alignment horizontal="center" vertical="center"/>
    </xf>
    <xf numFmtId="170" fontId="1" fillId="3" borderId="57" xfId="0" applyNumberFormat="1" applyFont="1" applyFill="1" applyBorder="1" applyAlignment="1">
      <alignment horizontal="center" vertical="center"/>
    </xf>
    <xf numFmtId="170" fontId="1" fillId="5" borderId="60" xfId="0" applyNumberFormat="1" applyFont="1" applyFill="1" applyBorder="1" applyAlignment="1">
      <alignment horizontal="center" vertical="center"/>
    </xf>
    <xf numFmtId="170" fontId="1" fillId="5" borderId="56" xfId="0" applyNumberFormat="1" applyFont="1" applyFill="1" applyBorder="1" applyAlignment="1">
      <alignment horizontal="center" vertical="center"/>
    </xf>
    <xf numFmtId="170" fontId="1" fillId="5" borderId="57" xfId="0" applyNumberFormat="1" applyFont="1" applyFill="1" applyBorder="1" applyAlignment="1">
      <alignment horizontal="center" vertical="center"/>
    </xf>
    <xf numFmtId="0" fontId="1" fillId="3" borderId="60" xfId="0" applyFont="1" applyFill="1" applyBorder="1" applyAlignment="1">
      <alignment horizontal="center" vertical="center"/>
    </xf>
    <xf numFmtId="0" fontId="1" fillId="3" borderId="56" xfId="0" applyFont="1" applyFill="1" applyBorder="1" applyAlignment="1">
      <alignment horizontal="center" vertical="center"/>
    </xf>
    <xf numFmtId="0" fontId="1" fillId="3" borderId="57" xfId="0" applyFont="1" applyFill="1" applyBorder="1" applyAlignment="1">
      <alignment horizontal="center" vertical="center"/>
    </xf>
    <xf numFmtId="0" fontId="1" fillId="3" borderId="59" xfId="0" applyFont="1" applyFill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/>
    </xf>
    <xf numFmtId="0" fontId="1" fillId="3" borderId="97" xfId="0" applyFont="1" applyFill="1" applyBorder="1" applyAlignment="1">
      <alignment horizontal="center" vertical="center"/>
    </xf>
    <xf numFmtId="0" fontId="1" fillId="3" borderId="96" xfId="0" applyFont="1" applyFill="1" applyBorder="1" applyAlignment="1">
      <alignment horizontal="center" vertical="center"/>
    </xf>
    <xf numFmtId="0" fontId="1" fillId="3" borderId="102" xfId="0" applyFont="1" applyFill="1" applyBorder="1" applyAlignment="1">
      <alignment horizontal="center" vertical="center"/>
    </xf>
    <xf numFmtId="0" fontId="138" fillId="6" borderId="2" xfId="0" applyFont="1" applyFill="1" applyBorder="1" applyAlignment="1">
      <alignment horizontal="center" vertical="center"/>
    </xf>
    <xf numFmtId="0" fontId="1" fillId="3" borderId="64" xfId="0" applyFont="1" applyFill="1" applyBorder="1" applyAlignment="1">
      <alignment horizontal="center" vertical="center"/>
    </xf>
    <xf numFmtId="0" fontId="1" fillId="3" borderId="71" xfId="0" applyFont="1" applyFill="1" applyBorder="1" applyAlignment="1">
      <alignment horizontal="center" vertical="center"/>
    </xf>
    <xf numFmtId="0" fontId="1" fillId="0" borderId="60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58" xfId="0" applyFont="1" applyBorder="1" applyAlignment="1">
      <alignment horizontal="center" vertical="center"/>
    </xf>
    <xf numFmtId="0" fontId="1" fillId="0" borderId="59" xfId="0" applyFont="1" applyBorder="1" applyAlignment="1">
      <alignment horizontal="center" vertical="center"/>
    </xf>
    <xf numFmtId="170" fontId="1" fillId="0" borderId="59" xfId="0" applyNumberFormat="1" applyFont="1" applyBorder="1" applyAlignment="1">
      <alignment horizontal="center" vertical="center"/>
    </xf>
    <xf numFmtId="170" fontId="1" fillId="0" borderId="56" xfId="0" applyNumberFormat="1" applyFont="1" applyBorder="1" applyAlignment="1">
      <alignment horizontal="center" vertical="center"/>
    </xf>
    <xf numFmtId="170" fontId="1" fillId="0" borderId="57" xfId="0" applyNumberFormat="1" applyFont="1" applyBorder="1" applyAlignment="1">
      <alignment horizontal="center" vertical="center"/>
    </xf>
    <xf numFmtId="170" fontId="1" fillId="0" borderId="60" xfId="0" applyNumberFormat="1" applyFont="1" applyBorder="1" applyAlignment="1">
      <alignment horizontal="center" vertical="center"/>
    </xf>
    <xf numFmtId="0" fontId="1" fillId="3" borderId="58" xfId="0" applyFont="1" applyFill="1" applyBorder="1" applyAlignment="1">
      <alignment horizontal="center" vertical="center" wrapText="1"/>
    </xf>
    <xf numFmtId="0" fontId="1" fillId="3" borderId="61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center" vertical="center"/>
    </xf>
    <xf numFmtId="0" fontId="4" fillId="3" borderId="55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center" vertical="center"/>
    </xf>
    <xf numFmtId="0" fontId="4" fillId="3" borderId="54" xfId="0" applyFont="1" applyFill="1" applyBorder="1" applyAlignment="1">
      <alignment horizontal="center" vertical="center"/>
    </xf>
    <xf numFmtId="170" fontId="4" fillId="5" borderId="60" xfId="0" applyNumberFormat="1" applyFont="1" applyFill="1" applyBorder="1" applyAlignment="1">
      <alignment horizontal="center" vertical="center"/>
    </xf>
    <xf numFmtId="170" fontId="4" fillId="5" borderId="56" xfId="0" applyNumberFormat="1" applyFont="1" applyFill="1" applyBorder="1" applyAlignment="1">
      <alignment horizontal="center" vertical="center"/>
    </xf>
    <xf numFmtId="170" fontId="4" fillId="5" borderId="57" xfId="0" applyNumberFormat="1" applyFont="1" applyFill="1" applyBorder="1" applyAlignment="1">
      <alignment horizontal="center" vertical="center"/>
    </xf>
    <xf numFmtId="170" fontId="1" fillId="3" borderId="59" xfId="0" applyNumberFormat="1" applyFont="1" applyFill="1" applyBorder="1" applyAlignment="1">
      <alignment horizontal="center" vertical="center"/>
    </xf>
    <xf numFmtId="170" fontId="1" fillId="3" borderId="2" xfId="0" applyNumberFormat="1" applyFont="1" applyFill="1" applyBorder="1" applyAlignment="1">
      <alignment horizontal="center" vertical="center"/>
    </xf>
    <xf numFmtId="170" fontId="1" fillId="3" borderId="3" xfId="0" applyNumberFormat="1" applyFont="1" applyFill="1" applyBorder="1" applyAlignment="1">
      <alignment horizontal="center" vertical="center"/>
    </xf>
    <xf numFmtId="170" fontId="1" fillId="3" borderId="4" xfId="0" applyNumberFormat="1" applyFont="1" applyFill="1" applyBorder="1" applyAlignment="1">
      <alignment horizontal="center" vertical="center"/>
    </xf>
    <xf numFmtId="170" fontId="4" fillId="3" borderId="60" xfId="0" applyNumberFormat="1" applyFont="1" applyFill="1" applyBorder="1" applyAlignment="1">
      <alignment horizontal="center" vertical="center"/>
    </xf>
    <xf numFmtId="170" fontId="4" fillId="3" borderId="56" xfId="0" applyNumberFormat="1" applyFont="1" applyFill="1" applyBorder="1" applyAlignment="1">
      <alignment horizontal="center" vertical="center"/>
    </xf>
    <xf numFmtId="170" fontId="4" fillId="3" borderId="57" xfId="0" applyNumberFormat="1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0" fontId="1" fillId="3" borderId="85" xfId="0" applyFont="1" applyFill="1" applyBorder="1" applyAlignment="1">
      <alignment horizontal="center" vertical="center"/>
    </xf>
    <xf numFmtId="0" fontId="1" fillId="3" borderId="85" xfId="0" applyFont="1" applyFill="1" applyBorder="1" applyAlignment="1">
      <alignment horizontal="center" vertical="center" wrapText="1"/>
    </xf>
    <xf numFmtId="0" fontId="3" fillId="3" borderId="83" xfId="0" applyFont="1" applyFill="1" applyBorder="1" applyAlignment="1">
      <alignment horizontal="center" vertical="center"/>
    </xf>
    <xf numFmtId="0" fontId="3" fillId="3" borderId="84" xfId="0" applyFont="1" applyFill="1" applyBorder="1" applyAlignment="1">
      <alignment horizontal="center" vertical="center"/>
    </xf>
    <xf numFmtId="0" fontId="3" fillId="3" borderId="103" xfId="0" applyFont="1" applyFill="1" applyBorder="1" applyAlignment="1">
      <alignment horizontal="center" vertical="center"/>
    </xf>
    <xf numFmtId="0" fontId="139" fillId="32" borderId="101" xfId="0" applyFont="1" applyFill="1" applyBorder="1" applyAlignment="1">
      <alignment horizontal="center" vertical="center"/>
    </xf>
    <xf numFmtId="0" fontId="139" fillId="32" borderId="96" xfId="0" applyFont="1" applyFill="1" applyBorder="1" applyAlignment="1">
      <alignment horizontal="center" vertical="center"/>
    </xf>
    <xf numFmtId="0" fontId="139" fillId="32" borderId="95" xfId="0" applyFont="1" applyFill="1" applyBorder="1" applyAlignment="1">
      <alignment horizontal="center" vertical="center"/>
    </xf>
    <xf numFmtId="0" fontId="138" fillId="30" borderId="8" xfId="0" applyFont="1" applyFill="1" applyBorder="1" applyAlignment="1">
      <alignment horizontal="center" vertical="center"/>
    </xf>
    <xf numFmtId="0" fontId="138" fillId="30" borderId="15" xfId="0" applyFont="1" applyFill="1" applyBorder="1" applyAlignment="1">
      <alignment horizontal="center" vertical="center"/>
    </xf>
    <xf numFmtId="0" fontId="138" fillId="30" borderId="99" xfId="0" applyFont="1" applyFill="1" applyBorder="1" applyAlignment="1">
      <alignment horizontal="center" vertical="center"/>
    </xf>
    <xf numFmtId="0" fontId="139" fillId="31" borderId="100" xfId="0" applyFont="1" applyFill="1" applyBorder="1" applyAlignment="1">
      <alignment horizontal="center" vertical="center"/>
    </xf>
    <xf numFmtId="0" fontId="139" fillId="31" borderId="96" xfId="0" applyFont="1" applyFill="1" applyBorder="1" applyAlignment="1">
      <alignment horizontal="center" vertical="center"/>
    </xf>
    <xf numFmtId="0" fontId="139" fillId="31" borderId="95" xfId="0" applyFont="1" applyFill="1" applyBorder="1" applyAlignment="1">
      <alignment horizontal="center" vertical="center"/>
    </xf>
    <xf numFmtId="0" fontId="139" fillId="31" borderId="101" xfId="0" applyFont="1" applyFill="1" applyBorder="1" applyAlignment="1">
      <alignment horizontal="center" vertical="center"/>
    </xf>
    <xf numFmtId="0" fontId="139" fillId="31" borderId="102" xfId="0" applyFont="1" applyFill="1" applyBorder="1" applyAlignment="1">
      <alignment horizontal="center" vertical="center"/>
    </xf>
    <xf numFmtId="0" fontId="139" fillId="31" borderId="97" xfId="0" applyFont="1" applyFill="1" applyBorder="1" applyAlignment="1">
      <alignment horizontal="center" vertical="center"/>
    </xf>
    <xf numFmtId="0" fontId="4" fillId="31" borderId="86" xfId="0" applyFont="1" applyFill="1" applyBorder="1" applyAlignment="1">
      <alignment horizontal="center" vertical="center"/>
    </xf>
    <xf numFmtId="0" fontId="4" fillId="31" borderId="87" xfId="0" applyFont="1" applyFill="1" applyBorder="1" applyAlignment="1">
      <alignment horizontal="center" vertical="center"/>
    </xf>
    <xf numFmtId="0" fontId="4" fillId="31" borderId="88" xfId="0" applyFont="1" applyFill="1" applyBorder="1" applyAlignment="1">
      <alignment horizontal="center" vertical="center"/>
    </xf>
    <xf numFmtId="0" fontId="4" fillId="31" borderId="89" xfId="0" applyFont="1" applyFill="1" applyBorder="1" applyAlignment="1">
      <alignment horizontal="center" vertical="center"/>
    </xf>
    <xf numFmtId="0" fontId="4" fillId="31" borderId="90" xfId="0" applyFont="1" applyFill="1" applyBorder="1" applyAlignment="1">
      <alignment horizontal="center" vertical="center"/>
    </xf>
    <xf numFmtId="0" fontId="4" fillId="31" borderId="91" xfId="0" applyFont="1" applyFill="1" applyBorder="1" applyAlignment="1">
      <alignment horizontal="center" vertical="center"/>
    </xf>
    <xf numFmtId="0" fontId="139" fillId="31" borderId="92" xfId="0" applyFont="1" applyFill="1" applyBorder="1" applyAlignment="1">
      <alignment horizontal="center" vertical="center"/>
    </xf>
    <xf numFmtId="0" fontId="139" fillId="31" borderId="93" xfId="0" applyFont="1" applyFill="1" applyBorder="1" applyAlignment="1">
      <alignment horizontal="center" vertical="center"/>
    </xf>
    <xf numFmtId="0" fontId="139" fillId="31" borderId="94" xfId="0" applyFont="1" applyFill="1" applyBorder="1" applyAlignment="1">
      <alignment horizontal="center" vertical="center"/>
    </xf>
    <xf numFmtId="0" fontId="139" fillId="31" borderId="92" xfId="0" applyFont="1" applyFill="1" applyBorder="1" applyAlignment="1">
      <alignment horizontal="center" vertical="center" wrapText="1"/>
    </xf>
    <xf numFmtId="0" fontId="139" fillId="31" borderId="93" xfId="0" applyFont="1" applyFill="1" applyBorder="1" applyAlignment="1">
      <alignment horizontal="center" vertical="center" wrapText="1"/>
    </xf>
    <xf numFmtId="0" fontId="139" fillId="31" borderId="94" xfId="0" applyFont="1" applyFill="1" applyBorder="1" applyAlignment="1">
      <alignment horizontal="center" vertical="center" wrapText="1"/>
    </xf>
    <xf numFmtId="0" fontId="114" fillId="3" borderId="83" xfId="0" applyFont="1" applyFill="1" applyBorder="1" applyAlignment="1">
      <alignment horizontal="center" vertical="center"/>
    </xf>
    <xf numFmtId="0" fontId="114" fillId="3" borderId="69" xfId="0" applyFont="1" applyFill="1" applyBorder="1" applyAlignment="1">
      <alignment horizontal="center" vertical="center"/>
    </xf>
    <xf numFmtId="0" fontId="114" fillId="3" borderId="66" xfId="0" applyFont="1" applyFill="1" applyBorder="1" applyAlignment="1">
      <alignment horizontal="center" vertical="center"/>
    </xf>
    <xf numFmtId="0" fontId="114" fillId="3" borderId="84" xfId="0" applyFont="1" applyFill="1" applyBorder="1" applyAlignment="1">
      <alignment horizontal="center" vertical="center"/>
    </xf>
    <xf numFmtId="0" fontId="114" fillId="3" borderId="103" xfId="0" applyFont="1" applyFill="1" applyBorder="1" applyAlignment="1">
      <alignment horizontal="center" vertical="center"/>
    </xf>
    <xf numFmtId="0" fontId="56" fillId="3" borderId="0" xfId="0" quotePrefix="1" applyFont="1" applyFill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7" fillId="2" borderId="0" xfId="0" applyFont="1" applyFill="1" applyAlignment="1">
      <alignment horizontal="center" vertical="center"/>
    </xf>
    <xf numFmtId="0" fontId="4" fillId="0" borderId="9" xfId="0" applyFont="1" applyBorder="1" applyAlignment="1">
      <alignment horizontal="left" vertical="center"/>
    </xf>
    <xf numFmtId="0" fontId="4" fillId="0" borderId="6" xfId="0" applyFont="1" applyBorder="1" applyAlignment="1">
      <alignment horizontal="left" vertical="center"/>
    </xf>
    <xf numFmtId="0" fontId="4" fillId="0" borderId="9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59" fillId="5" borderId="0" xfId="0" applyFont="1" applyFill="1" applyAlignment="1">
      <alignment horizontal="left" vertical="center"/>
    </xf>
    <xf numFmtId="0" fontId="59" fillId="5" borderId="0" xfId="0" applyFont="1" applyFill="1" applyAlignment="1">
      <alignment horizontal="center" vertical="center"/>
    </xf>
    <xf numFmtId="0" fontId="59" fillId="9" borderId="0" xfId="0" applyFont="1" applyFill="1" applyAlignment="1">
      <alignment horizontal="left" vertical="center"/>
    </xf>
    <xf numFmtId="0" fontId="59" fillId="11" borderId="0" xfId="0" applyFont="1" applyFill="1" applyAlignment="1">
      <alignment horizontal="left" vertical="center"/>
    </xf>
    <xf numFmtId="0" fontId="34" fillId="9" borderId="9" xfId="0" applyFont="1" applyFill="1" applyBorder="1" applyAlignment="1">
      <alignment horizontal="center" vertical="center" wrapText="1"/>
    </xf>
    <xf numFmtId="0" fontId="34" fillId="9" borderId="6" xfId="0" applyFont="1" applyFill="1" applyBorder="1" applyAlignment="1">
      <alignment horizontal="center" vertical="center" wrapText="1"/>
    </xf>
    <xf numFmtId="0" fontId="34" fillId="15" borderId="109" xfId="0" applyFont="1" applyFill="1" applyBorder="1" applyAlignment="1">
      <alignment horizontal="center" vertical="center" wrapText="1"/>
    </xf>
    <xf numFmtId="0" fontId="34" fillId="15" borderId="111" xfId="0" applyFont="1" applyFill="1" applyBorder="1" applyAlignment="1">
      <alignment horizontal="center" vertical="center" wrapText="1"/>
    </xf>
    <xf numFmtId="0" fontId="34" fillId="9" borderId="109" xfId="0" applyFont="1" applyFill="1" applyBorder="1" applyAlignment="1">
      <alignment horizontal="center" vertical="center" wrapText="1"/>
    </xf>
    <xf numFmtId="0" fontId="34" fillId="9" borderId="111" xfId="0" applyFont="1" applyFill="1" applyBorder="1" applyAlignment="1">
      <alignment horizontal="center" vertical="center" wrapText="1"/>
    </xf>
    <xf numFmtId="168" fontId="70" fillId="6" borderId="8" xfId="0" applyNumberFormat="1" applyFont="1" applyFill="1" applyBorder="1" applyAlignment="1">
      <alignment horizontal="center" vertical="center"/>
    </xf>
    <xf numFmtId="168" fontId="70" fillId="6" borderId="15" xfId="0" applyNumberFormat="1" applyFont="1" applyFill="1" applyBorder="1" applyAlignment="1">
      <alignment horizontal="center" vertical="center"/>
    </xf>
    <xf numFmtId="168" fontId="70" fillId="6" borderId="16" xfId="0" applyNumberFormat="1" applyFont="1" applyFill="1" applyBorder="1" applyAlignment="1">
      <alignment horizontal="center" vertical="center"/>
    </xf>
    <xf numFmtId="0" fontId="12" fillId="8" borderId="12" xfId="0" applyFont="1" applyFill="1" applyBorder="1" applyAlignment="1">
      <alignment horizontal="center" vertical="center"/>
    </xf>
    <xf numFmtId="0" fontId="12" fillId="8" borderId="13" xfId="0" applyFont="1" applyFill="1" applyBorder="1" applyAlignment="1">
      <alignment horizontal="center" vertical="center"/>
    </xf>
    <xf numFmtId="0" fontId="12" fillId="8" borderId="14" xfId="0" applyFont="1" applyFill="1" applyBorder="1" applyAlignment="1">
      <alignment horizontal="center" vertical="center"/>
    </xf>
    <xf numFmtId="168" fontId="35" fillId="9" borderId="8" xfId="0" applyNumberFormat="1" applyFont="1" applyFill="1" applyBorder="1" applyAlignment="1">
      <alignment horizontal="center" vertical="center"/>
    </xf>
    <xf numFmtId="168" fontId="35" fillId="9" borderId="15" xfId="0" applyNumberFormat="1" applyFont="1" applyFill="1" applyBorder="1" applyAlignment="1">
      <alignment horizontal="center" vertical="center"/>
    </xf>
    <xf numFmtId="168" fontId="35" fillId="9" borderId="16" xfId="0" applyNumberFormat="1" applyFont="1" applyFill="1" applyBorder="1" applyAlignment="1">
      <alignment horizontal="center" vertical="center"/>
    </xf>
    <xf numFmtId="0" fontId="12" fillId="9" borderId="12" xfId="0" applyFont="1" applyFill="1" applyBorder="1" applyAlignment="1">
      <alignment horizontal="center" vertical="center"/>
    </xf>
    <xf numFmtId="0" fontId="12" fillId="9" borderId="13" xfId="0" applyFont="1" applyFill="1" applyBorder="1" applyAlignment="1">
      <alignment horizontal="center" vertical="center"/>
    </xf>
    <xf numFmtId="0" fontId="12" fillId="9" borderId="14" xfId="0" applyFont="1" applyFill="1" applyBorder="1" applyAlignment="1">
      <alignment horizontal="center" vertical="center"/>
    </xf>
    <xf numFmtId="0" fontId="99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5" fillId="2" borderId="2" xfId="0" applyFont="1" applyFill="1" applyBorder="1" applyAlignment="1">
      <alignment horizontal="center" vertic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7" fillId="16" borderId="1" xfId="0" applyFont="1" applyFill="1" applyBorder="1" applyAlignment="1">
      <alignment horizontal="center" vertical="center"/>
    </xf>
    <xf numFmtId="0" fontId="99" fillId="16" borderId="1" xfId="0" applyFont="1" applyFill="1" applyBorder="1" applyAlignment="1">
      <alignment horizontal="center" vertical="center"/>
    </xf>
    <xf numFmtId="0" fontId="15" fillId="16" borderId="1" xfId="0" applyFont="1" applyFill="1" applyBorder="1" applyAlignment="1">
      <alignment horizontal="center" vertical="center"/>
    </xf>
    <xf numFmtId="0" fontId="15" fillId="16" borderId="2" xfId="0" applyFont="1" applyFill="1" applyBorder="1" applyAlignment="1">
      <alignment horizontal="center" vertical="center"/>
    </xf>
    <xf numFmtId="0" fontId="15" fillId="16" borderId="3" xfId="0" applyFont="1" applyFill="1" applyBorder="1" applyAlignment="1">
      <alignment horizontal="center" vertical="center"/>
    </xf>
    <xf numFmtId="0" fontId="15" fillId="1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12" borderId="1" xfId="0" applyFont="1" applyFill="1" applyBorder="1" applyAlignment="1">
      <alignment horizontal="center" vertical="center"/>
    </xf>
    <xf numFmtId="0" fontId="99" fillId="12" borderId="1" xfId="0" applyFont="1" applyFill="1" applyBorder="1" applyAlignment="1">
      <alignment horizontal="center" vertical="center"/>
    </xf>
    <xf numFmtId="0" fontId="15" fillId="12" borderId="1" xfId="0" applyFont="1" applyFill="1" applyBorder="1" applyAlignment="1">
      <alignment horizontal="center" vertical="center"/>
    </xf>
    <xf numFmtId="0" fontId="15" fillId="12" borderId="2" xfId="0" applyFont="1" applyFill="1" applyBorder="1" applyAlignment="1">
      <alignment horizontal="center" vertical="center"/>
    </xf>
    <xf numFmtId="0" fontId="15" fillId="12" borderId="3" xfId="0" applyFont="1" applyFill="1" applyBorder="1" applyAlignment="1">
      <alignment horizontal="center" vertical="center"/>
    </xf>
    <xf numFmtId="0" fontId="15" fillId="12" borderId="4" xfId="0" applyFont="1" applyFill="1" applyBorder="1" applyAlignment="1">
      <alignment horizontal="center" vertical="center"/>
    </xf>
    <xf numFmtId="0" fontId="136" fillId="5" borderId="1" xfId="0" applyFont="1" applyFill="1" applyBorder="1" applyAlignment="1">
      <alignment horizontal="center" vertical="center"/>
    </xf>
    <xf numFmtId="0" fontId="50" fillId="5" borderId="1" xfId="0" applyFont="1" applyFill="1" applyBorder="1" applyAlignment="1">
      <alignment horizontal="center" vertical="center" wrapText="1"/>
    </xf>
    <xf numFmtId="0" fontId="64" fillId="7" borderId="11" xfId="0" applyFont="1" applyFill="1" applyBorder="1" applyAlignment="1">
      <alignment horizontal="center" vertical="center"/>
    </xf>
    <xf numFmtId="0" fontId="64" fillId="7" borderId="35" xfId="0" applyFont="1" applyFill="1" applyBorder="1" applyAlignment="1">
      <alignment horizontal="center" vertical="center"/>
    </xf>
    <xf numFmtId="0" fontId="113" fillId="18" borderId="42" xfId="0" applyFont="1" applyFill="1" applyBorder="1" applyAlignment="1">
      <alignment horizontal="center"/>
    </xf>
    <xf numFmtId="0" fontId="113" fillId="18" borderId="42" xfId="0" applyFont="1" applyFill="1" applyBorder="1" applyAlignment="1">
      <alignment horizontal="center" vertical="top"/>
    </xf>
    <xf numFmtId="0" fontId="113" fillId="18" borderId="43" xfId="0" applyFont="1" applyFill="1" applyBorder="1" applyAlignment="1">
      <alignment horizontal="center" vertical="top"/>
    </xf>
    <xf numFmtId="0" fontId="108" fillId="7" borderId="5" xfId="0" applyFont="1" applyFill="1" applyBorder="1" applyAlignment="1">
      <alignment horizontal="center" vertical="center"/>
    </xf>
    <xf numFmtId="0" fontId="108" fillId="7" borderId="37" xfId="0" applyFont="1" applyFill="1" applyBorder="1" applyAlignment="1">
      <alignment horizontal="center" vertical="center"/>
    </xf>
    <xf numFmtId="0" fontId="113" fillId="6" borderId="49" xfId="0" applyFont="1" applyFill="1" applyBorder="1" applyAlignment="1">
      <alignment horizontal="center"/>
    </xf>
    <xf numFmtId="0" fontId="113" fillId="6" borderId="42" xfId="0" applyFont="1" applyFill="1" applyBorder="1" applyAlignment="1">
      <alignment horizontal="center"/>
    </xf>
    <xf numFmtId="0" fontId="39" fillId="8" borderId="34" xfId="0" applyFont="1" applyFill="1" applyBorder="1" applyAlignment="1">
      <alignment horizontal="center" vertical="center"/>
    </xf>
    <xf numFmtId="0" fontId="39" fillId="8" borderId="11" xfId="0" applyFont="1" applyFill="1" applyBorder="1" applyAlignment="1">
      <alignment horizontal="center" vertical="center"/>
    </xf>
    <xf numFmtId="0" fontId="39" fillId="8" borderId="35" xfId="0" applyFont="1" applyFill="1" applyBorder="1" applyAlignment="1">
      <alignment horizontal="center" vertical="center"/>
    </xf>
    <xf numFmtId="0" fontId="1" fillId="8" borderId="36" xfId="0" applyFont="1" applyFill="1" applyBorder="1" applyAlignment="1">
      <alignment horizontal="center" vertical="center"/>
    </xf>
    <xf numFmtId="0" fontId="1" fillId="8" borderId="5" xfId="0" applyFont="1" applyFill="1" applyBorder="1" applyAlignment="1">
      <alignment horizontal="center" vertical="center"/>
    </xf>
    <xf numFmtId="0" fontId="1" fillId="8" borderId="37" xfId="0" applyFont="1" applyFill="1" applyBorder="1" applyAlignment="1">
      <alignment horizontal="center" vertical="center"/>
    </xf>
    <xf numFmtId="0" fontId="39" fillId="12" borderId="11" xfId="0" applyFont="1" applyFill="1" applyBorder="1" applyAlignment="1">
      <alignment horizontal="center" vertical="center"/>
    </xf>
    <xf numFmtId="0" fontId="1" fillId="12" borderId="5" xfId="0" applyFont="1" applyFill="1" applyBorder="1" applyAlignment="1">
      <alignment horizontal="center" vertical="center"/>
    </xf>
    <xf numFmtId="0" fontId="39" fillId="12" borderId="34" xfId="0" applyFont="1" applyFill="1" applyBorder="1" applyAlignment="1">
      <alignment horizontal="center" vertical="center"/>
    </xf>
    <xf numFmtId="0" fontId="39" fillId="12" borderId="35" xfId="0" applyFont="1" applyFill="1" applyBorder="1" applyAlignment="1">
      <alignment horizontal="center" vertical="center"/>
    </xf>
    <xf numFmtId="0" fontId="1" fillId="12" borderId="36" xfId="0" applyFont="1" applyFill="1" applyBorder="1" applyAlignment="1">
      <alignment horizontal="center" vertical="center"/>
    </xf>
    <xf numFmtId="0" fontId="1" fillId="12" borderId="37" xfId="0" applyFont="1" applyFill="1" applyBorder="1" applyAlignment="1">
      <alignment horizontal="center" vertical="center"/>
    </xf>
    <xf numFmtId="0" fontId="84" fillId="7" borderId="46" xfId="0" applyFont="1" applyFill="1" applyBorder="1" applyAlignment="1">
      <alignment horizontal="center" vertical="center"/>
    </xf>
    <xf numFmtId="0" fontId="84" fillId="7" borderId="47" xfId="0" applyFont="1" applyFill="1" applyBorder="1" applyAlignment="1">
      <alignment horizontal="center" vertical="center"/>
    </xf>
    <xf numFmtId="0" fontId="84" fillId="7" borderId="48" xfId="0" applyFont="1" applyFill="1" applyBorder="1" applyAlignment="1">
      <alignment horizontal="center" vertical="center"/>
    </xf>
    <xf numFmtId="0" fontId="84" fillId="21" borderId="46" xfId="0" applyFont="1" applyFill="1" applyBorder="1" applyAlignment="1">
      <alignment horizontal="center" vertical="center"/>
    </xf>
    <xf numFmtId="0" fontId="84" fillId="21" borderId="47" xfId="0" applyFont="1" applyFill="1" applyBorder="1" applyAlignment="1">
      <alignment horizontal="center" vertical="center"/>
    </xf>
    <xf numFmtId="0" fontId="84" fillId="21" borderId="48" xfId="0" applyFont="1" applyFill="1" applyBorder="1" applyAlignment="1">
      <alignment horizontal="center" vertical="center"/>
    </xf>
    <xf numFmtId="0" fontId="116" fillId="21" borderId="28" xfId="0" applyFont="1" applyFill="1" applyBorder="1" applyAlignment="1">
      <alignment horizontal="center" vertical="center"/>
    </xf>
    <xf numFmtId="0" fontId="116" fillId="21" borderId="30" xfId="0" applyFont="1" applyFill="1" applyBorder="1" applyAlignment="1">
      <alignment horizontal="center" vertical="center"/>
    </xf>
    <xf numFmtId="0" fontId="116" fillId="21" borderId="44" xfId="0" applyFont="1" applyFill="1" applyBorder="1" applyAlignment="1">
      <alignment horizontal="center" vertical="center"/>
    </xf>
    <xf numFmtId="0" fontId="116" fillId="21" borderId="31" xfId="0" applyFont="1" applyFill="1" applyBorder="1" applyAlignment="1">
      <alignment horizontal="center" vertical="center"/>
    </xf>
    <xf numFmtId="0" fontId="64" fillId="21" borderId="11" xfId="0" applyFont="1" applyFill="1" applyBorder="1" applyAlignment="1">
      <alignment horizontal="center" vertical="center"/>
    </xf>
    <xf numFmtId="0" fontId="64" fillId="21" borderId="35" xfId="0" applyFont="1" applyFill="1" applyBorder="1" applyAlignment="1">
      <alignment horizontal="center" vertical="center"/>
    </xf>
    <xf numFmtId="0" fontId="39" fillId="20" borderId="34" xfId="0" applyFont="1" applyFill="1" applyBorder="1" applyAlignment="1">
      <alignment horizontal="center" vertical="center"/>
    </xf>
    <xf numFmtId="0" fontId="39" fillId="20" borderId="11" xfId="0" applyFont="1" applyFill="1" applyBorder="1" applyAlignment="1">
      <alignment horizontal="center" vertical="center"/>
    </xf>
    <xf numFmtId="0" fontId="39" fillId="20" borderId="35" xfId="0" applyFont="1" applyFill="1" applyBorder="1" applyAlignment="1">
      <alignment horizontal="center" vertical="center"/>
    </xf>
    <xf numFmtId="0" fontId="39" fillId="19" borderId="11" xfId="0" applyFont="1" applyFill="1" applyBorder="1" applyAlignment="1">
      <alignment horizontal="center" vertical="center"/>
    </xf>
    <xf numFmtId="0" fontId="39" fillId="19" borderId="34" xfId="0" applyFont="1" applyFill="1" applyBorder="1" applyAlignment="1">
      <alignment horizontal="center" vertical="center"/>
    </xf>
    <xf numFmtId="0" fontId="39" fillId="19" borderId="35" xfId="0" applyFont="1" applyFill="1" applyBorder="1" applyAlignment="1">
      <alignment horizontal="center" vertical="center"/>
    </xf>
    <xf numFmtId="0" fontId="39" fillId="5" borderId="34" xfId="0" applyFont="1" applyFill="1" applyBorder="1" applyAlignment="1">
      <alignment horizontal="center" vertical="center"/>
    </xf>
    <xf numFmtId="0" fontId="39" fillId="5" borderId="11" xfId="0" applyFont="1" applyFill="1" applyBorder="1" applyAlignment="1">
      <alignment horizontal="center" vertical="center"/>
    </xf>
    <xf numFmtId="0" fontId="39" fillId="5" borderId="35" xfId="0" applyFont="1" applyFill="1" applyBorder="1" applyAlignment="1">
      <alignment horizontal="center" vertical="center"/>
    </xf>
    <xf numFmtId="0" fontId="39" fillId="9" borderId="34" xfId="0" applyFont="1" applyFill="1" applyBorder="1" applyAlignment="1">
      <alignment horizontal="center" vertical="center"/>
    </xf>
    <xf numFmtId="0" fontId="39" fillId="9" borderId="11" xfId="0" applyFont="1" applyFill="1" applyBorder="1" applyAlignment="1">
      <alignment horizontal="center" vertical="center"/>
    </xf>
    <xf numFmtId="0" fontId="39" fillId="9" borderId="35" xfId="0" applyFont="1" applyFill="1" applyBorder="1" applyAlignment="1">
      <alignment horizontal="center" vertical="center"/>
    </xf>
    <xf numFmtId="0" fontId="1" fillId="9" borderId="36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 vertical="center"/>
    </xf>
    <xf numFmtId="0" fontId="1" fillId="9" borderId="37" xfId="0" applyFont="1" applyFill="1" applyBorder="1" applyAlignment="1">
      <alignment horizontal="center" vertical="center"/>
    </xf>
    <xf numFmtId="0" fontId="116" fillId="7" borderId="28" xfId="0" applyFont="1" applyFill="1" applyBorder="1" applyAlignment="1">
      <alignment horizontal="center" vertical="center"/>
    </xf>
    <xf numFmtId="0" fontId="116" fillId="7" borderId="30" xfId="0" applyFont="1" applyFill="1" applyBorder="1" applyAlignment="1">
      <alignment horizontal="center" vertical="center"/>
    </xf>
    <xf numFmtId="0" fontId="116" fillId="7" borderId="44" xfId="0" applyFont="1" applyFill="1" applyBorder="1" applyAlignment="1">
      <alignment horizontal="center" vertical="center"/>
    </xf>
    <xf numFmtId="0" fontId="116" fillId="7" borderId="31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5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08" fillId="21" borderId="5" xfId="0" applyFont="1" applyFill="1" applyBorder="1" applyAlignment="1">
      <alignment horizontal="center" vertical="center"/>
    </xf>
    <xf numFmtId="0" fontId="108" fillId="21" borderId="37" xfId="0" applyFont="1" applyFill="1" applyBorder="1" applyAlignment="1">
      <alignment horizontal="center" vertical="center"/>
    </xf>
    <xf numFmtId="0" fontId="1" fillId="20" borderId="36" xfId="0" applyFont="1" applyFill="1" applyBorder="1" applyAlignment="1">
      <alignment horizontal="center" vertical="center"/>
    </xf>
    <xf numFmtId="0" fontId="1" fillId="20" borderId="5" xfId="0" applyFont="1" applyFill="1" applyBorder="1" applyAlignment="1">
      <alignment horizontal="center" vertical="center"/>
    </xf>
    <xf numFmtId="0" fontId="1" fillId="20" borderId="37" xfId="0" applyFont="1" applyFill="1" applyBorder="1" applyAlignment="1">
      <alignment horizontal="center" vertical="center"/>
    </xf>
    <xf numFmtId="0" fontId="1" fillId="19" borderId="5" xfId="0" applyFont="1" applyFill="1" applyBorder="1" applyAlignment="1">
      <alignment horizontal="center" vertical="center"/>
    </xf>
    <xf numFmtId="0" fontId="1" fillId="19" borderId="36" xfId="0" applyFont="1" applyFill="1" applyBorder="1" applyAlignment="1">
      <alignment horizontal="center" vertical="center"/>
    </xf>
    <xf numFmtId="0" fontId="1" fillId="19" borderId="37" xfId="0" applyFont="1" applyFill="1" applyBorder="1" applyAlignment="1">
      <alignment horizontal="center" vertical="center"/>
    </xf>
    <xf numFmtId="0" fontId="108" fillId="22" borderId="5" xfId="0" applyFont="1" applyFill="1" applyBorder="1" applyAlignment="1">
      <alignment horizontal="center" vertical="center"/>
    </xf>
    <xf numFmtId="0" fontId="108" fillId="22" borderId="37" xfId="0" applyFont="1" applyFill="1" applyBorder="1" applyAlignment="1">
      <alignment horizontal="center" vertical="center"/>
    </xf>
    <xf numFmtId="0" fontId="108" fillId="22" borderId="36" xfId="0" applyFont="1" applyFill="1" applyBorder="1" applyAlignment="1">
      <alignment horizontal="center" vertical="center"/>
    </xf>
    <xf numFmtId="0" fontId="1" fillId="23" borderId="5" xfId="0" applyFont="1" applyFill="1" applyBorder="1" applyAlignment="1">
      <alignment horizontal="center" vertical="center"/>
    </xf>
    <xf numFmtId="0" fontId="113" fillId="6" borderId="42" xfId="0" applyFont="1" applyFill="1" applyBorder="1" applyAlignment="1">
      <alignment horizontal="center" vertical="top"/>
    </xf>
    <xf numFmtId="0" fontId="84" fillId="22" borderId="46" xfId="0" applyFont="1" applyFill="1" applyBorder="1" applyAlignment="1">
      <alignment horizontal="center" vertical="center"/>
    </xf>
    <xf numFmtId="0" fontId="84" fillId="22" borderId="47" xfId="0" applyFont="1" applyFill="1" applyBorder="1" applyAlignment="1">
      <alignment horizontal="center" vertical="center"/>
    </xf>
    <xf numFmtId="0" fontId="84" fillId="22" borderId="48" xfId="0" applyFont="1" applyFill="1" applyBorder="1" applyAlignment="1">
      <alignment horizontal="center" vertical="center"/>
    </xf>
    <xf numFmtId="0" fontId="116" fillId="22" borderId="28" xfId="0" applyFont="1" applyFill="1" applyBorder="1" applyAlignment="1">
      <alignment horizontal="center" vertical="center"/>
    </xf>
    <xf numFmtId="0" fontId="116" fillId="22" borderId="30" xfId="0" applyFont="1" applyFill="1" applyBorder="1" applyAlignment="1">
      <alignment horizontal="center" vertical="center"/>
    </xf>
    <xf numFmtId="0" fontId="116" fillId="22" borderId="44" xfId="0" applyFont="1" applyFill="1" applyBorder="1" applyAlignment="1">
      <alignment horizontal="center" vertical="center"/>
    </xf>
    <xf numFmtId="0" fontId="116" fillId="22" borderId="31" xfId="0" applyFont="1" applyFill="1" applyBorder="1" applyAlignment="1">
      <alignment horizontal="center" vertical="center"/>
    </xf>
    <xf numFmtId="0" fontId="64" fillId="22" borderId="11" xfId="0" applyFont="1" applyFill="1" applyBorder="1" applyAlignment="1">
      <alignment horizontal="center" vertical="center"/>
    </xf>
    <xf numFmtId="0" fontId="64" fillId="22" borderId="35" xfId="0" applyFont="1" applyFill="1" applyBorder="1" applyAlignment="1">
      <alignment horizontal="center" vertical="center"/>
    </xf>
    <xf numFmtId="0" fontId="64" fillId="22" borderId="34" xfId="0" applyFont="1" applyFill="1" applyBorder="1" applyAlignment="1">
      <alignment horizontal="center" vertical="center"/>
    </xf>
    <xf numFmtId="0" fontId="39" fillId="23" borderId="11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3" borderId="39" xfId="0" applyFont="1" applyFill="1" applyBorder="1" applyAlignment="1">
      <alignment horizontal="center" vertical="center"/>
    </xf>
    <xf numFmtId="0" fontId="81" fillId="17" borderId="40" xfId="0" applyFont="1" applyFill="1" applyBorder="1" applyAlignment="1">
      <alignment horizontal="center" vertical="center"/>
    </xf>
    <xf numFmtId="0" fontId="81" fillId="17" borderId="41" xfId="0" applyFont="1" applyFill="1" applyBorder="1" applyAlignment="1">
      <alignment horizontal="center" vertical="center"/>
    </xf>
    <xf numFmtId="3" fontId="2" fillId="16" borderId="3" xfId="0" applyNumberFormat="1" applyFont="1" applyFill="1" applyBorder="1" applyAlignment="1">
      <alignment horizontal="center" vertical="center"/>
    </xf>
    <xf numFmtId="3" fontId="2" fillId="16" borderId="39" xfId="0" applyNumberFormat="1" applyFont="1" applyFill="1" applyBorder="1" applyAlignment="1">
      <alignment horizontal="center" vertical="center"/>
    </xf>
    <xf numFmtId="3" fontId="2" fillId="25" borderId="3" xfId="0" applyNumberFormat="1" applyFont="1" applyFill="1" applyBorder="1" applyAlignment="1">
      <alignment horizontal="center" vertical="center"/>
    </xf>
    <xf numFmtId="3" fontId="2" fillId="25" borderId="39" xfId="0" applyNumberFormat="1" applyFont="1" applyFill="1" applyBorder="1" applyAlignment="1">
      <alignment horizontal="center" vertical="center"/>
    </xf>
    <xf numFmtId="0" fontId="79" fillId="9" borderId="97" xfId="0" applyFont="1" applyFill="1" applyBorder="1" applyAlignment="1">
      <alignment horizontal="center" vertical="center"/>
    </xf>
    <xf numFmtId="0" fontId="79" fillId="9" borderId="102" xfId="0" applyFont="1" applyFill="1" applyBorder="1" applyAlignment="1">
      <alignment horizontal="center" vertical="center"/>
    </xf>
    <xf numFmtId="0" fontId="79" fillId="8" borderId="97" xfId="0" applyFont="1" applyFill="1" applyBorder="1" applyAlignment="1">
      <alignment horizontal="center" vertical="center"/>
    </xf>
    <xf numFmtId="0" fontId="79" fillId="8" borderId="102" xfId="0" applyFont="1" applyFill="1" applyBorder="1" applyAlignment="1">
      <alignment horizontal="center" vertical="center"/>
    </xf>
    <xf numFmtId="0" fontId="156" fillId="2" borderId="2" xfId="0" applyFont="1" applyFill="1" applyBorder="1" applyAlignment="1">
      <alignment horizontal="center" vertical="center"/>
    </xf>
    <xf numFmtId="0" fontId="156" fillId="2" borderId="3" xfId="0" applyFont="1" applyFill="1" applyBorder="1" applyAlignment="1">
      <alignment horizontal="center" vertical="center"/>
    </xf>
    <xf numFmtId="0" fontId="157" fillId="2" borderId="2" xfId="0" applyFont="1" applyFill="1" applyBorder="1" applyAlignment="1">
      <alignment horizontal="center" vertical="center"/>
    </xf>
    <xf numFmtId="0" fontId="157" fillId="2" borderId="3" xfId="0" applyFont="1" applyFill="1" applyBorder="1" applyAlignment="1">
      <alignment horizontal="center" vertical="center"/>
    </xf>
    <xf numFmtId="0" fontId="157" fillId="2" borderId="4" xfId="0" applyFont="1" applyFill="1" applyBorder="1" applyAlignment="1">
      <alignment horizontal="center" vertical="center"/>
    </xf>
    <xf numFmtId="1" fontId="64" fillId="3" borderId="0" xfId="0" applyNumberFormat="1" applyFont="1" applyFill="1" applyAlignment="1">
      <alignment horizontal="center" vertical="center"/>
    </xf>
    <xf numFmtId="3" fontId="103" fillId="3" borderId="1" xfId="0" applyNumberFormat="1" applyFont="1" applyFill="1" applyBorder="1" applyAlignment="1">
      <alignment horizontal="center" vertical="center"/>
    </xf>
    <xf numFmtId="3" fontId="94" fillId="5" borderId="1" xfId="0" applyNumberFormat="1" applyFont="1" applyFill="1" applyBorder="1" applyAlignment="1">
      <alignment horizontal="center" vertical="center"/>
    </xf>
    <xf numFmtId="1" fontId="64" fillId="4" borderId="63" xfId="0" applyNumberFormat="1" applyFont="1" applyFill="1" applyBorder="1" applyAlignment="1">
      <alignment horizontal="center" vertical="center"/>
    </xf>
    <xf numFmtId="1" fontId="64" fillId="4" borderId="122" xfId="0" applyNumberFormat="1" applyFont="1" applyFill="1" applyBorder="1" applyAlignment="1">
      <alignment horizontal="center" vertical="center"/>
    </xf>
    <xf numFmtId="0" fontId="127" fillId="18" borderId="6" xfId="0" applyFont="1" applyFill="1" applyBorder="1" applyAlignment="1">
      <alignment horizontal="center" vertical="center"/>
    </xf>
    <xf numFmtId="3" fontId="127" fillId="18" borderId="6" xfId="0" applyNumberFormat="1" applyFont="1" applyFill="1" applyBorder="1" applyAlignment="1">
      <alignment horizontal="center" vertical="center"/>
    </xf>
    <xf numFmtId="0" fontId="64" fillId="4" borderId="6" xfId="0" applyFont="1" applyFill="1" applyBorder="1" applyAlignment="1">
      <alignment horizontal="center" vertical="center"/>
    </xf>
    <xf numFmtId="0" fontId="64" fillId="4" borderId="1" xfId="0" applyFont="1" applyFill="1" applyBorder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79" fillId="12" borderId="97" xfId="0" applyFont="1" applyFill="1" applyBorder="1" applyAlignment="1">
      <alignment horizontal="center" vertical="center"/>
    </xf>
    <xf numFmtId="0" fontId="79" fillId="12" borderId="102" xfId="0" applyFont="1" applyFill="1" applyBorder="1" applyAlignment="1">
      <alignment horizontal="center" vertical="center"/>
    </xf>
    <xf numFmtId="0" fontId="81" fillId="34" borderId="97" xfId="0" applyFont="1" applyFill="1" applyBorder="1" applyAlignment="1">
      <alignment horizontal="center" vertical="center"/>
    </xf>
    <xf numFmtId="0" fontId="81" fillId="34" borderId="102" xfId="0" applyFont="1" applyFill="1" applyBorder="1" applyAlignment="1">
      <alignment horizontal="center" vertical="center"/>
    </xf>
    <xf numFmtId="0" fontId="52" fillId="35" borderId="97" xfId="0" applyFont="1" applyFill="1" applyBorder="1" applyAlignment="1">
      <alignment horizontal="center" vertical="center"/>
    </xf>
    <xf numFmtId="0" fontId="52" fillId="35" borderId="102" xfId="0" applyFont="1" applyFill="1" applyBorder="1" applyAlignment="1">
      <alignment horizontal="center" vertical="center"/>
    </xf>
    <xf numFmtId="0" fontId="81" fillId="33" borderId="97" xfId="0" applyFont="1" applyFill="1" applyBorder="1" applyAlignment="1">
      <alignment horizontal="center" vertical="center"/>
    </xf>
    <xf numFmtId="0" fontId="81" fillId="33" borderId="102" xfId="0" applyFont="1" applyFill="1" applyBorder="1" applyAlignment="1">
      <alignment horizontal="center" vertical="center"/>
    </xf>
    <xf numFmtId="0" fontId="44" fillId="3" borderId="0" xfId="0" applyFont="1" applyFill="1" applyAlignment="1">
      <alignment horizontal="right" vertical="center"/>
    </xf>
    <xf numFmtId="0" fontId="52" fillId="7" borderId="97" xfId="0" applyFont="1" applyFill="1" applyBorder="1" applyAlignment="1">
      <alignment horizontal="center" vertical="center"/>
    </xf>
    <xf numFmtId="0" fontId="52" fillId="7" borderId="102" xfId="0" applyFont="1" applyFill="1" applyBorder="1" applyAlignment="1">
      <alignment horizontal="center" vertical="center"/>
    </xf>
    <xf numFmtId="0" fontId="64" fillId="6" borderId="2" xfId="0" applyFont="1" applyFill="1" applyBorder="1" applyAlignment="1">
      <alignment horizontal="center" vertical="center"/>
    </xf>
    <xf numFmtId="0" fontId="64" fillId="6" borderId="3" xfId="0" applyFont="1" applyFill="1" applyBorder="1" applyAlignment="1">
      <alignment horizontal="center" vertical="center"/>
    </xf>
    <xf numFmtId="0" fontId="64" fillId="6" borderId="4" xfId="0" applyFont="1" applyFill="1" applyBorder="1" applyAlignment="1">
      <alignment horizontal="center" vertical="center"/>
    </xf>
    <xf numFmtId="0" fontId="37" fillId="6" borderId="2" xfId="0" applyFont="1" applyFill="1" applyBorder="1" applyAlignment="1">
      <alignment horizontal="center" vertical="center"/>
    </xf>
    <xf numFmtId="0" fontId="37" fillId="6" borderId="3" xfId="0" applyFont="1" applyFill="1" applyBorder="1" applyAlignment="1">
      <alignment horizontal="center" vertical="center"/>
    </xf>
    <xf numFmtId="0" fontId="37" fillId="6" borderId="4" xfId="0" applyFont="1" applyFill="1" applyBorder="1" applyAlignment="1">
      <alignment horizontal="center" vertical="center"/>
    </xf>
    <xf numFmtId="0" fontId="64" fillId="7" borderId="6" xfId="0" applyFont="1" applyFill="1" applyBorder="1" applyAlignment="1">
      <alignment horizontal="center" vertical="center"/>
    </xf>
    <xf numFmtId="3" fontId="64" fillId="7" borderId="6" xfId="0" applyNumberFormat="1" applyFont="1" applyFill="1" applyBorder="1" applyAlignment="1">
      <alignment horizontal="center" vertical="center"/>
    </xf>
    <xf numFmtId="0" fontId="46" fillId="17" borderId="6" xfId="0" applyFont="1" applyFill="1" applyBorder="1" applyAlignment="1">
      <alignment horizontal="center" vertical="center"/>
    </xf>
    <xf numFmtId="3" fontId="94" fillId="9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"/>
    </xf>
    <xf numFmtId="0" fontId="162" fillId="0" borderId="0" xfId="0" applyFont="1"/>
    <xf numFmtId="0" fontId="148" fillId="0" borderId="0" xfId="0" applyFont="1"/>
    <xf numFmtId="0" fontId="168" fillId="0" borderId="0" xfId="0" applyFont="1"/>
    <xf numFmtId="0" fontId="14" fillId="0" borderId="0" xfId="0" applyFont="1"/>
    <xf numFmtId="0" fontId="164" fillId="0" borderId="0" xfId="0" applyFont="1"/>
    <xf numFmtId="0" fontId="111" fillId="0" borderId="0" xfId="0" applyFont="1"/>
    <xf numFmtId="0" fontId="141" fillId="0" borderId="0" xfId="0" applyFont="1"/>
    <xf numFmtId="0" fontId="22" fillId="0" borderId="0" xfId="0" applyFont="1"/>
    <xf numFmtId="0" fontId="171" fillId="0" borderId="0" xfId="0" applyFont="1"/>
    <xf numFmtId="0" fontId="80" fillId="0" borderId="0" xfId="0" applyFont="1"/>
    <xf numFmtId="0" fontId="55" fillId="0" borderId="0" xfId="0" applyFont="1" applyAlignment="1">
      <alignment horizontal="center" wrapText="1"/>
    </xf>
    <xf numFmtId="0" fontId="172" fillId="0" borderId="0" xfId="0" applyFont="1"/>
    <xf numFmtId="0" fontId="173" fillId="0" borderId="0" xfId="0" applyFont="1"/>
  </cellXfs>
  <cellStyles count="7">
    <cellStyle name="Comma [0]" xfId="5" builtinId="6"/>
    <cellStyle name="Comma 2" xfId="4" xr:uid="{CB9FDC57-98C2-7847-B286-728FE5C453C8}"/>
    <cellStyle name="Hyperlink" xfId="6" builtinId="8"/>
    <cellStyle name="Normal" xfId="0" builtinId="0"/>
    <cellStyle name="Normal 2" xfId="2" xr:uid="{88E82FB7-41A1-A048-BA66-728AE527B989}"/>
    <cellStyle name="Percent" xfId="1" builtinId="5"/>
    <cellStyle name="Percent 2" xfId="3" xr:uid="{539D4256-6767-764F-81E4-968E44918CB0}"/>
  </cellStyles>
  <dxfs count="179"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mbria"/>
        <family val="1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58796"/>
        <name val="Helvetica Neue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FF0000"/>
        <name val="Helvetica Neue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indexed="64"/>
        </left>
      </border>
    </dxf>
    <dxf>
      <fill>
        <patternFill patternType="none">
          <fgColor indexed="64"/>
          <bgColor auto="1"/>
        </patternFill>
      </fill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color rgb="FF00B050"/>
      </font>
    </dxf>
    <dxf>
      <font>
        <color rgb="FF00B0F0"/>
      </font>
    </dxf>
    <dxf>
      <font>
        <b val="0"/>
        <i val="0"/>
        <color theme="5" tint="-0.24994659260841701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  <vertical/>
        <horizontal/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border diagonalUp="0" diagonalDown="0"/>
    </dxf>
    <dxf>
      <border diagonalUp="0" diagonalDown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ill>
        <patternFill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hair">
          <color indexed="64"/>
        </top>
        <bottom style="hair">
          <color indexed="64"/>
        </bottom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hair">
          <color indexed="64"/>
        </left>
        <right style="hair">
          <color indexed="64"/>
        </right>
        <top/>
        <bottom/>
      </border>
    </dxf>
    <dxf>
      <border diagonalUp="0" diagonalDown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/>
        <top style="hair">
          <color indexed="64"/>
        </top>
        <bottom style="hair">
          <color indexed="64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/>
        <right style="hair">
          <color indexed="64"/>
        </right>
        <top style="hair">
          <color indexed="64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fill>
        <patternFill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0000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166" formatCode="#,##0.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FFC000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0" tint="-0.499984740745262"/>
        <name val="Cambria"/>
        <family val="1"/>
        <scheme val="none"/>
      </font>
      <numFmt numFmtId="3" formatCode="#,##0"/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border outline="0">
        <right style="hair">
          <color indexed="64"/>
        </right>
      </border>
    </dxf>
    <dxf>
      <border>
        <bottom style="thin">
          <color indexed="64"/>
        </bottom>
      </border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FF0000"/>
      </font>
    </dxf>
    <dxf>
      <font>
        <b/>
        <i val="0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B050"/>
      </font>
    </dxf>
    <dxf>
      <font>
        <color rgb="FF9C5700"/>
      </font>
      <fill>
        <patternFill>
          <bgColor rgb="FFFFEB9C"/>
        </patternFill>
      </fill>
    </dxf>
    <dxf>
      <font>
        <color theme="1"/>
      </font>
    </dxf>
    <dxf>
      <font>
        <color rgb="FFFF0000"/>
      </font>
    </dxf>
    <dxf>
      <font>
        <b/>
        <i val="0"/>
        <color rgb="FF00B050"/>
      </font>
    </dxf>
    <dxf>
      <font>
        <color rgb="FF00B050"/>
      </font>
    </dxf>
    <dxf>
      <font>
        <color rgb="FFFF0000"/>
      </font>
    </dxf>
    <dxf>
      <font>
        <color rgb="FFFFC00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C00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EEFCE8"/>
      <color rgb="FFFF9D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304800</xdr:colOff>
          <xdr:row>6</xdr:row>
          <xdr:rowOff>165100</xdr:rowOff>
        </xdr:from>
        <xdr:to>
          <xdr:col>101</xdr:col>
          <xdr:colOff>203200</xdr:colOff>
          <xdr:row>8</xdr:row>
          <xdr:rowOff>139700</xdr:rowOff>
        </xdr:to>
        <xdr:sp macro="" textlink="">
          <xdr:nvSpPr>
            <xdr:cNvPr id="3073" name="Button 1" descr="Tuầ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98</xdr:col>
          <xdr:colOff>317500</xdr:colOff>
          <xdr:row>9</xdr:row>
          <xdr:rowOff>76200</xdr:rowOff>
        </xdr:from>
        <xdr:to>
          <xdr:col>101</xdr:col>
          <xdr:colOff>215900</xdr:colOff>
          <xdr:row>11</xdr:row>
          <xdr:rowOff>50800</xdr:rowOff>
        </xdr:to>
        <xdr:sp macro="" textlink="">
          <xdr:nvSpPr>
            <xdr:cNvPr id="3074" name="Button 2" descr="Tuầ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TUẦN 2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AFAC287-E2D7-094E-97EA-8E3C49C157E2}" name="Table3" displayName="Table3" ref="D39:AD52" totalsRowShown="0" headerRowBorderDxfId="99" tableBorderDxfId="98">
  <autoFilter ref="D39:AD52" xr:uid="{5AFAC287-E2D7-094E-97EA-8E3C49C157E2}"/>
  <tableColumns count="27">
    <tableColumn id="1" xr3:uid="{73A85A68-3417-934A-B146-32935A12B958}" name="NHÓM THI ĐUA2" dataDxfId="97"/>
    <tableColumn id="2" xr3:uid="{F8E1CB95-064A-5F48-AF72-574D7E8FE7A7}" name="Ghi chú" dataDxfId="96">
      <calculatedColumnFormula>VLOOKUP(A:A,Table4[[Nhóm Thi Đua]:[Ghi chú]],3,0)</calculatedColumnFormula>
    </tableColumn>
    <tableColumn id="3" xr3:uid="{3BAFD651-72BF-0D48-86FB-6AA26E728D20}" name="TARGET" dataDxfId="95">
      <calculatedColumnFormula>SUMIFS(DATA_THIDUA_ST!M:M,DATA_THIDUA_ST!K:K,STRAM!A:A)</calculatedColumnFormula>
    </tableColumn>
    <tableColumn id="4" xr3:uid="{AFCC37E5-7778-DC40-A7DC-5384802A3146}" name="Luỹ kế" dataDxfId="94">
      <calculatedColumnFormula>SUMIFS(DATA_THIDUA_ST!L:L,DATA_THIDUA_ST!K:K,STRAM!A:A)</calculatedColumnFormula>
    </tableColumn>
    <tableColumn id="5" xr3:uid="{9B131FA0-72D9-1F48-AEEC-2A5933841EAC}" name="Còn lại" dataDxfId="93">
      <calculatedColumnFormula>F40-G40</calculatedColumnFormula>
    </tableColumn>
    <tableColumn id="6" xr3:uid="{9BE88149-C6A6-EA46-B5CB-1C93232CF52A}" name="%HT" dataDxfId="92" dataCellStyle="Percent">
      <calculatedColumnFormula>SUMIFS(DATA_THIDUA_ST!O:O,DATA_THIDUA_ST!K:K,STRAM!A:A)</calculatedColumnFormula>
    </tableColumn>
    <tableColumn id="7" xr3:uid="{DFC89426-43E4-0045-89E7-C88EA9B6C6F2}" name="MỤC TIÊU TUẦN" dataDxfId="91" dataCellStyle="Percent">
      <calculatedColumnFormula>IF($E$4=1,H40*$J$2,IF($E$4=2,H40*$J$3,IF($E$4=3,H40*$J$4,IF($E$4=4,H40*$J$5,H40))))</calculatedColumnFormula>
    </tableColumn>
    <tableColumn id="8" xr3:uid="{4B29D723-B683-3C4D-9B9A-B483E088CD77}" name="Chọn chạy trong tuần" dataDxfId="90" dataCellStyle="Percent"/>
    <tableColumn id="9" xr3:uid="{40FF6DB9-DEDA-3146-8B7F-B7D5A30544EC}" name="Lý do chọn _x000a_mục tiêu tuần" dataDxfId="89" dataCellStyle="Percent"/>
    <tableColumn id="10" xr3:uid="{B6F4310D-92E7-5046-9241-9B31CEB11F15}" name="MỤC TIÊU TUẦN2" dataDxfId="88" dataCellStyle="Percent"/>
    <tableColumn id="11" xr3:uid="{9392DBAD-3CDB-C643-A7E7-AC0C9E72D104}" name="Nhập Tay" dataDxfId="87" dataCellStyle="Percent"/>
    <tableColumn id="12" xr3:uid="{AF93880D-5C5F-4040-A481-77C9475B3630}" name="Dơn Vị" dataDxfId="86"/>
    <tableColumn id="13" xr3:uid="{65EB1427-2246-6543-B80F-054D9952F8B0}" name="QUY ĐỔI  SL" dataDxfId="85" dataCellStyle="Percent"/>
    <tableColumn id="14" xr3:uid="{AFEF4EEF-E125-5C4A-AFAF-7FB6E019D976}" name="MỤC TIÊU NGÀY" dataDxfId="84"/>
    <tableColumn id="15" xr3:uid="{B69DA5A0-B55A-4345-AB78-F0775692E594}" name="Column3" dataDxfId="83"/>
    <tableColumn id="16" xr3:uid="{03DBF81B-44A8-7949-A0D5-A5DCD62D45B3}" name="Column4" dataDxfId="82"/>
    <tableColumn id="17" xr3:uid="{C3431EF2-C3CE-5D42-9759-CFCFBD06FF9E}" name="MỤC TIÊU STRAM" dataDxfId="81"/>
    <tableColumn id="18" xr3:uid="{3673AA74-00EE-6741-BA1E-D9C6FC0AC654}" name="Quy Đổi  SL5" dataDxfId="80" dataCellStyle="Percent"/>
    <tableColumn id="19" xr3:uid="{93C63E8D-CEC6-354B-BB73-C8B9D7C93265}" name="Column6" dataDxfId="79"/>
    <tableColumn id="20" xr3:uid="{A998DD47-AAD0-E845-89C8-59FC4E73C422}" name="MỤC TIÊU STRAM7" dataDxfId="78"/>
    <tableColumn id="21" xr3:uid="{0277781F-85D5-D241-922D-9DD8B34D3E5B}" name="Quy Đổi  SL2" dataDxfId="77" dataCellStyle="Percent"/>
    <tableColumn id="22" xr3:uid="{DB0E3B74-9BE2-B640-BA12-D4C0B04DB60F}" name="Column9" dataDxfId="76"/>
    <tableColumn id="23" xr3:uid="{6786055C-1899-BC41-B9B9-F574CC6E8A69}" name="MỤC TIÊU STRAM10" dataDxfId="75"/>
    <tableColumn id="24" xr3:uid="{BF47E80A-F4D6-EE4C-AB7D-57CBDA602BC1}" name="Quy Đổi  SL11" dataDxfId="74"/>
    <tableColumn id="25" xr3:uid="{CEAC1118-9412-6540-B744-6D6C0C831F26}" name="Column12" dataDxfId="73"/>
    <tableColumn id="26" xr3:uid="{BFDFC3F5-336F-DB43-9706-A9D3A5FAAD20}" name="MỤC TIÊU STRAM13" dataDxfId="72"/>
    <tableColumn id="27" xr3:uid="{8CBA3C38-575C-694D-B838-B7C50248F9B1}" name="Quy Đổi  SL14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3804362-2C7C-D44A-AA8E-49B3F28EB573}" name="Table5" displayName="Table5" ref="D9:AP32" totalsRowShown="0" headerRowDxfId="70" headerRowBorderDxfId="69" tableBorderDxfId="68">
  <autoFilter ref="D9:AP32" xr:uid="{73804362-2C7C-D44A-AA8E-49B3F28EB573}"/>
  <tableColumns count="39">
    <tableColumn id="1" xr3:uid="{C6946AA2-98B6-B74B-AA79-52195229C898}" name="NHÓM THI ĐUA" dataDxfId="67"/>
    <tableColumn id="2" xr3:uid="{D73FE5E9-E8D6-AF4C-BEA1-B07F23D963B4}" name="Ghi chú" dataDxfId="66">
      <calculatedColumnFormula>VLOOKUP(A:A,KB!C:E,3,0)</calculatedColumnFormula>
    </tableColumn>
    <tableColumn id="3" xr3:uid="{D5C7D2C2-C8A5-4A46-AC58-26F57C2B41E3}" name="TARGET" dataDxfId="65">
      <calculatedColumnFormula>SUMIFS(DATA_THIDUA_ST!C:C,DATA_THIDUA_ST!A:A,STRAM!A:A)</calculatedColumnFormula>
    </tableColumn>
    <tableColumn id="4" xr3:uid="{C129038D-0BE8-854A-88F9-43A56846DB2D}" name="Luỹ kế" dataDxfId="64">
      <calculatedColumnFormula>SUMIFS(DATA_THIDUA_ST!B:B,DATA_THIDUA_ST!A:A,STRAM!A:A)</calculatedColumnFormula>
    </tableColumn>
    <tableColumn id="5" xr3:uid="{B634C9AB-91AC-104A-A257-FA7174FBDC53}" name="Còn lại" dataDxfId="63">
      <calculatedColumnFormula>F10-G10</calculatedColumnFormula>
    </tableColumn>
    <tableColumn id="6" xr3:uid="{C1AC8504-9135-6343-81D9-5BA2E4A77A3D}" name="%HT" dataDxfId="62" dataCellStyle="Percent">
      <calculatedColumnFormula>SUMIFS(DATA_THIDUA_ST!E:E,DATA_THIDUA_ST!A:A,STRAM!A:A)</calculatedColumnFormula>
    </tableColumn>
    <tableColumn id="7" xr3:uid="{3EB2C423-A308-3F45-9BA5-0096AAB7A396}" name="MỤC TIÊU TUẦN" dataDxfId="61" dataCellStyle="Percent">
      <calculatedColumnFormula>IF($E$4=1,H10/$E$3,IF($E$4=2,H10/($E$3-1),IF($E$4=3,H10/($E$3-2),IF($E$4=4,H10/($E$3-3),H10))))</calculatedColumnFormula>
    </tableColumn>
    <tableColumn id="8" xr3:uid="{E739E3BE-C1B9-2540-9C15-7AF7AC88A780}" name="Chọn chạy trong tuần" dataDxfId="60" dataCellStyle="Percent"/>
    <tableColumn id="9" xr3:uid="{3546CD8C-BEDD-A442-94C7-428873BC1BCF}" name="Lý do chọn _x000a_mục tiêu tuần" dataDxfId="59" dataCellStyle="Percent"/>
    <tableColumn id="10" xr3:uid="{59FB70B5-5A60-3A4B-A8B7-8763AD6E98C9}" name="MỤC TIÊU TUẦN2" dataDxfId="58" dataCellStyle="Percent"/>
    <tableColumn id="11" xr3:uid="{85A21C9F-B47E-9844-B62D-59325E7F08CE}" name="Nhập Tay" dataDxfId="57" dataCellStyle="Percent"/>
    <tableColumn id="12" xr3:uid="{D772E575-8E4E-4141-90AD-7D08428F3CBF}" name="Dơn Vị" dataDxfId="56"/>
    <tableColumn id="13" xr3:uid="{98C1CE0B-AF68-1E4B-96E7-946EED1DAAA6}" name="QUY ĐỔI  SL" dataDxfId="55" dataCellStyle="Percent"/>
    <tableColumn id="14" xr3:uid="{D27985B8-8B48-594F-B240-6B6F8CAB9E6D}" name="MỤC TIÊU NGÀY" dataDxfId="54"/>
    <tableColumn id="15" xr3:uid="{09692582-2020-9048-ACB0-7F3D375D7D65}" name="Column3" dataDxfId="53"/>
    <tableColumn id="16" xr3:uid="{FD0F9F7E-99F7-754B-B913-3EDB0AF80894}" name="Column1" dataDxfId="52"/>
    <tableColumn id="17" xr3:uid="{AD98A025-4513-E342-A11D-C41D6D581393}" name="MỤC TIÊU " dataDxfId="51"/>
    <tableColumn id="18" xr3:uid="{0E3BB9F6-F83F-0940-A229-9925FD306FFE}" name="Quy Đổi  SL5" dataDxfId="50"/>
    <tableColumn id="19" xr3:uid="{FC21CC5D-A408-0541-8804-AF284F150F2A}" name="Column6" dataDxfId="49"/>
    <tableColumn id="20" xr3:uid="{8E6F1EEB-A43A-3249-8BC4-E9D1CF722002}" name="MỤC TIÊU 7" dataDxfId="48"/>
    <tableColumn id="21" xr3:uid="{385D7D09-FF65-CF43-A410-1634684AEBD8}" name="Quy Đổi  SL8" dataDxfId="47"/>
    <tableColumn id="22" xr3:uid="{D5ECABE5-A97D-364F-8278-EE15DBA60656}" name="Column9" dataDxfId="46"/>
    <tableColumn id="23" xr3:uid="{D0A52778-B26D-BF4F-80E5-2F9EB354C496}" name="MỤC TIÊU 10" dataDxfId="45"/>
    <tableColumn id="24" xr3:uid="{072025F2-05FC-DD4B-AE55-94441B68A080}" name="Quy Đổi  SL11" dataDxfId="44"/>
    <tableColumn id="25" xr3:uid="{CA9DB9D6-48E0-A246-A711-002BE096B583}" name="Column12" dataDxfId="43"/>
    <tableColumn id="26" xr3:uid="{213DBB0B-F63D-2841-BE92-389576477FAE}" name="MỤC TIÊU 13" dataDxfId="42"/>
    <tableColumn id="27" xr3:uid="{4E53BBD3-BFB1-7345-B4D4-D97B3E36F26B}" name="Quy Đổi  SL14" dataDxfId="41"/>
    <tableColumn id="28" xr3:uid="{EA79D875-456C-AD4E-8859-87BA61C36A45}" name="Column15" dataDxfId="40"/>
    <tableColumn id="29" xr3:uid="{0811EA38-C346-2545-B969-2E12B89D9D5D}" name="MỤC TIÊU STRAM" dataDxfId="39"/>
    <tableColumn id="30" xr3:uid="{E482D703-DE1B-3248-9F75-7423B8792A56}" name="Quy Đổi  SL16" dataDxfId="38"/>
    <tableColumn id="31" xr3:uid="{29FF5034-CE08-AC46-B072-49803A20C054}" name="Column17" dataDxfId="37"/>
    <tableColumn id="32" xr3:uid="{365C51DB-1AE0-894F-800C-F9A9B508AE94}" name="MỤC TIÊU 18" dataDxfId="36"/>
    <tableColumn id="33" xr3:uid="{84E5AC45-0965-5342-A62C-04F4837F674F}" name="Quy Đổi  SL19" dataDxfId="35"/>
    <tableColumn id="34" xr3:uid="{5904D376-E69C-A44E-9062-516D5F3DDDFA}" name="Column20" dataDxfId="34"/>
    <tableColumn id="35" xr3:uid="{31405B05-3D0C-5046-83BD-461CE2861883}" name="MỤC TIÊU 21" dataDxfId="33"/>
    <tableColumn id="36" xr3:uid="{E175EABC-51BF-2A4A-A7A9-F992E289CC23}" name="Quy Đổi  SL22" dataDxfId="32"/>
    <tableColumn id="37" xr3:uid="{E906E3A3-A8C4-5B43-94C1-DF61D19DEAB0}" name="Column23" dataDxfId="31"/>
    <tableColumn id="38" xr3:uid="{7F53DB2B-A136-0343-8DF6-DCAC469AB23E}" name="MỤC TIÊU STRAM24" dataDxfId="30"/>
    <tableColumn id="39" xr3:uid="{9CCA9F90-4549-B54E-A0C4-4F7E5A99B728}" name="Quy Đổi  SL25" dataDxfId="2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E2460A-2A02-5D46-87DE-5E24DCF997C5}" name="Table2" displayName="Table2" ref="B1:G37" totalsRowShown="0" dataDxfId="16" tableBorderDxfId="15">
  <autoFilter ref="B1:G37" xr:uid="{64E2460A-2A02-5D46-87DE-5E24DCF997C5}"/>
  <sortState xmlns:xlrd2="http://schemas.microsoft.com/office/spreadsheetml/2017/richdata2" ref="B2:G37">
    <sortCondition ref="E1:E37"/>
  </sortState>
  <tableColumns count="6">
    <tableColumn id="1" xr3:uid="{450D99B7-6A28-B945-A69A-C6CE09AE2D63}" name="STT" dataDxfId="14"/>
    <tableColumn id="2" xr3:uid="{E548C2F0-AC64-E44D-900C-247C985363BD}" name="Nhóm Thi Đua" dataDxfId="13"/>
    <tableColumn id="3" xr3:uid="{CEF403EF-AD51-224B-A165-93E573A9E244}" name="Viết tắt" dataDxfId="12"/>
    <tableColumn id="4" xr3:uid="{DEB4F2C8-C2FA-8C4F-B6BB-CE2BE2F09F4F}" name="Ghi chú" dataDxfId="11"/>
    <tableColumn id="5" xr3:uid="{1D2A3D8F-B9F3-F34F-8FFB-0F259F5A1A82}" name="TARGET" dataDxfId="10">
      <calculatedColumnFormula>SUMIFS(DATA_THIDUA_ST!C:C,DATA_THIDUA_ST!A:A,KB!C:C)</calculatedColumnFormula>
    </tableColumn>
    <tableColumn id="6" xr3:uid="{BEC7D99E-A363-6D41-9937-C343DFD51B5F}" name="%HT" dataDxfId="9" dataCellStyle="Percent">
      <calculatedColumnFormula>SUMIFS(DATA_THIDUA_ST!E:E,DATA_THIDUA_ST!A:A,Table2[[#This Row],[Nhóm Thi Đua]])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F92E728-2C3A-4E45-AF43-E3090199653E}" name="Table4" displayName="Table4" ref="B50:G71" totalsRowShown="0" tableBorderDxfId="8">
  <autoFilter ref="B50:G71" xr:uid="{3F92E728-2C3A-4E45-AF43-E3090199653E}"/>
  <sortState xmlns:xlrd2="http://schemas.microsoft.com/office/spreadsheetml/2017/richdata2" ref="B51:G71">
    <sortCondition ref="E50:E71"/>
  </sortState>
  <tableColumns count="6">
    <tableColumn id="1" xr3:uid="{DA63402F-0CFF-F64C-A271-00E884C014A5}" name="STT" dataDxfId="7"/>
    <tableColumn id="2" xr3:uid="{347AA158-00EE-D748-B0E3-A8230B5D959E}" name="Nhóm Thi Đua" dataDxfId="6"/>
    <tableColumn id="3" xr3:uid="{E0411EAD-BC43-9E46-9BF3-C2C3EE910CA9}" name="Viết tắt" dataDxfId="5">
      <calculatedColumnFormula>VLOOKUP(Table4[[#This Row],[Nhóm Thi Đua]],$C$2:$D$39,2,0)</calculatedColumnFormula>
    </tableColumn>
    <tableColumn id="4" xr3:uid="{8ABA5A57-CD7D-5E43-B4FE-A4B1E4072212}" name="Ghi chú" dataDxfId="4"/>
    <tableColumn id="5" xr3:uid="{39D31719-307C-A54E-99A4-743901B04FB4}" name="TARGET" dataDxfId="3">
      <calculatedColumnFormula>SUMIFS(DATA_THIDUA_ST!M:M,DATA_THIDUA_ST!K:K,KB!C:C)</calculatedColumnFormula>
    </tableColumn>
    <tableColumn id="6" xr3:uid="{4C9D840F-431F-6043-8133-B22BDFDFCBDC}" name="%HT" dataDxfId="2" dataCellStyle="Percent">
      <calculatedColumnFormula>SUMIFS(DATA_THIDUA_ST!O:O,DATA_THIDUA_ST!K:K,Table4[[#This Row],[Nhóm Thi Đua]])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hyperlink" Target="https://bi.thegioididong.com/khoi-ban-hang-sub?id=75265&amp;tab=bcdtnv&amp;rt=2&amp;dm=1" TargetMode="External"/><Relationship Id="rId13" Type="http://schemas.openxmlformats.org/officeDocument/2006/relationships/hyperlink" Target="https://bi.thegioididong.com/khoi-ban-hang-sub?id=75265&amp;tab=bcdtnv&amp;rt=2&amp;dm=1" TargetMode="External"/><Relationship Id="rId18" Type="http://schemas.openxmlformats.org/officeDocument/2006/relationships/hyperlink" Target="https://bi.thegioididong.com/sieu-thi-con?id=83131&amp;tab=bcdtnv" TargetMode="External"/><Relationship Id="rId3" Type="http://schemas.openxmlformats.org/officeDocument/2006/relationships/hyperlink" Target="https://bi.thegioididong.com/khoi-ban-hang-sub?id=75265&amp;tab=bcdtnv&amp;rt=2&amp;dm=1" TargetMode="External"/><Relationship Id="rId21" Type="http://schemas.openxmlformats.org/officeDocument/2006/relationships/hyperlink" Target="https://bi.thegioididong.com/sieu-thi-con?id=81815&amp;tab=bcdtnv" TargetMode="External"/><Relationship Id="rId7" Type="http://schemas.openxmlformats.org/officeDocument/2006/relationships/hyperlink" Target="https://bi.thegioididong.com/khoi-ban-hang-sub?id=75265&amp;tab=bcdtnv&amp;rt=2&amp;dm=1" TargetMode="External"/><Relationship Id="rId12" Type="http://schemas.openxmlformats.org/officeDocument/2006/relationships/hyperlink" Target="https://bi.thegioididong.com/khoi-ban-hang-sub?id=75265&amp;tab=bcdtnv&amp;rt=2&amp;dm=1" TargetMode="External"/><Relationship Id="rId17" Type="http://schemas.openxmlformats.org/officeDocument/2006/relationships/hyperlink" Target="https://bi.thegioididong.com/sieu-thi-con?id=83131&amp;tab=bcdtnv" TargetMode="External"/><Relationship Id="rId25" Type="http://schemas.openxmlformats.org/officeDocument/2006/relationships/hyperlink" Target="https://bi.thegioididong.com/sieu-thi-con?id=81815&amp;tab=bcdtnv" TargetMode="External"/><Relationship Id="rId2" Type="http://schemas.openxmlformats.org/officeDocument/2006/relationships/hyperlink" Target="https://bi.thegioididong.com/khoi-ban-hang-sub?id=75265&amp;tab=bcdtnv&amp;rt=2&amp;dm=1" TargetMode="External"/><Relationship Id="rId16" Type="http://schemas.openxmlformats.org/officeDocument/2006/relationships/hyperlink" Target="https://bi.thegioididong.com/sieu-thi-con?id=83131&amp;tab=bcdtnv" TargetMode="External"/><Relationship Id="rId20" Type="http://schemas.openxmlformats.org/officeDocument/2006/relationships/hyperlink" Target="https://bi.thegioididong.com/sieu-thi-con?id=81815&amp;tab=bcdtnv" TargetMode="External"/><Relationship Id="rId1" Type="http://schemas.openxmlformats.org/officeDocument/2006/relationships/hyperlink" Target="https://bi.thegioididong.com/khoi-ban-hang-sub?id=75265&amp;tab=bcdtnv&amp;rt=2&amp;dm=1" TargetMode="External"/><Relationship Id="rId6" Type="http://schemas.openxmlformats.org/officeDocument/2006/relationships/hyperlink" Target="https://bi.thegioididong.com/khoi-ban-hang-sub?id=75265&amp;tab=bcdtnv&amp;rt=2&amp;dm=1" TargetMode="External"/><Relationship Id="rId11" Type="http://schemas.openxmlformats.org/officeDocument/2006/relationships/hyperlink" Target="https://bi.thegioididong.com/khoi-ban-hang-sub?id=75265&amp;tab=bcdtnv&amp;rt=2&amp;dm=1" TargetMode="External"/><Relationship Id="rId24" Type="http://schemas.openxmlformats.org/officeDocument/2006/relationships/hyperlink" Target="https://bi.thegioididong.com/sieu-thi-con?id=81815&amp;tab=bcdtnv" TargetMode="External"/><Relationship Id="rId5" Type="http://schemas.openxmlformats.org/officeDocument/2006/relationships/hyperlink" Target="https://bi.thegioididong.com/khoi-ban-hang-sub?id=75265&amp;tab=bcdtnv&amp;rt=2&amp;dm=1" TargetMode="External"/><Relationship Id="rId15" Type="http://schemas.openxmlformats.org/officeDocument/2006/relationships/hyperlink" Target="https://bi.thegioididong.com/khoi-ban-hang-sub?id=75265&amp;tab=bcdtnv&amp;rt=2&amp;dm=1" TargetMode="External"/><Relationship Id="rId23" Type="http://schemas.openxmlformats.org/officeDocument/2006/relationships/hyperlink" Target="https://bi.thegioididong.com/sieu-thi-con?id=81815&amp;tab=bcdtnv" TargetMode="External"/><Relationship Id="rId10" Type="http://schemas.openxmlformats.org/officeDocument/2006/relationships/hyperlink" Target="https://bi.thegioididong.com/khoi-ban-hang-sub?id=75265&amp;tab=bcdtnv&amp;rt=2&amp;dm=1" TargetMode="External"/><Relationship Id="rId19" Type="http://schemas.openxmlformats.org/officeDocument/2006/relationships/hyperlink" Target="https://bi.thegioididong.com/sieu-thi-con?id=81815&amp;tab=bcdtnv" TargetMode="External"/><Relationship Id="rId4" Type="http://schemas.openxmlformats.org/officeDocument/2006/relationships/hyperlink" Target="https://bi.thegioididong.com/khoi-ban-hang-sub?id=75265&amp;tab=bcdtnv&amp;rt=2&amp;dm=1" TargetMode="External"/><Relationship Id="rId9" Type="http://schemas.openxmlformats.org/officeDocument/2006/relationships/hyperlink" Target="https://bi.thegioididong.com/khoi-ban-hang-sub?id=75265&amp;tab=bcdtnv&amp;rt=2&amp;dm=1" TargetMode="External"/><Relationship Id="rId14" Type="http://schemas.openxmlformats.org/officeDocument/2006/relationships/hyperlink" Target="https://bi.thegioididong.com/khoi-ban-hang-sub?id=75265&amp;tab=bcdtnv&amp;rt=2&amp;dm=1" TargetMode="External"/><Relationship Id="rId22" Type="http://schemas.openxmlformats.org/officeDocument/2006/relationships/hyperlink" Target="https://bi.thegioididong.com/sieu-thi-con?id=81815&amp;tab=bcdtnv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A4F1F-8EA8-274A-97D5-5A618EFFF963}">
  <sheetPr codeName="Sheet1"/>
  <dimension ref="B1:D37"/>
  <sheetViews>
    <sheetView zoomScaleNormal="100" workbookViewId="0">
      <selection activeCell="I20" sqref="I20"/>
    </sheetView>
  </sheetViews>
  <sheetFormatPr baseColWidth="10" defaultRowHeight="16"/>
  <cols>
    <col min="1" max="1" width="10.83203125" style="61"/>
    <col min="2" max="2" width="20.6640625" style="64" customWidth="1"/>
    <col min="3" max="3" width="33.5" style="65" customWidth="1"/>
    <col min="4" max="4" width="41.83203125" style="61" customWidth="1"/>
    <col min="5" max="16384" width="10.83203125" style="61"/>
  </cols>
  <sheetData>
    <row r="1" spans="2:4" ht="28">
      <c r="B1" s="771" t="s">
        <v>0</v>
      </c>
      <c r="C1" s="771"/>
      <c r="D1" s="771"/>
    </row>
    <row r="2" spans="2:4" s="62" customFormat="1" ht="20" customHeight="1">
      <c r="B2" s="5" t="s">
        <v>3</v>
      </c>
      <c r="C2" s="5" t="s">
        <v>4</v>
      </c>
      <c r="D2" s="5" t="s">
        <v>1</v>
      </c>
    </row>
    <row r="3" spans="2:4" ht="22" customHeight="1">
      <c r="B3" s="775" t="s">
        <v>83</v>
      </c>
      <c r="C3" s="4" t="s">
        <v>81</v>
      </c>
      <c r="D3" s="4" t="s">
        <v>82</v>
      </c>
    </row>
    <row r="4" spans="2:4" ht="22" customHeight="1">
      <c r="B4" s="776"/>
      <c r="C4" s="4" t="s">
        <v>98</v>
      </c>
      <c r="D4" s="4" t="s">
        <v>97</v>
      </c>
    </row>
    <row r="5" spans="2:4" ht="22" customHeight="1">
      <c r="B5" s="6" t="s">
        <v>77</v>
      </c>
      <c r="C5" s="4" t="s">
        <v>59</v>
      </c>
      <c r="D5" s="4" t="s">
        <v>59</v>
      </c>
    </row>
    <row r="6" spans="2:4" ht="22" hidden="1" customHeight="1">
      <c r="B6" s="6" t="s">
        <v>55</v>
      </c>
      <c r="C6" s="4" t="s">
        <v>49</v>
      </c>
      <c r="D6" s="4" t="s">
        <v>49</v>
      </c>
    </row>
    <row r="7" spans="2:4" ht="22" hidden="1" customHeight="1">
      <c r="B7" s="6" t="s">
        <v>5</v>
      </c>
      <c r="C7" s="4" t="s">
        <v>54</v>
      </c>
      <c r="D7" s="4" t="s">
        <v>54</v>
      </c>
    </row>
    <row r="8" spans="2:4" ht="34" customHeight="1">
      <c r="B8" s="7" t="s">
        <v>78</v>
      </c>
      <c r="C8" s="8" t="s">
        <v>49</v>
      </c>
      <c r="D8" s="4" t="s">
        <v>71</v>
      </c>
    </row>
    <row r="9" spans="2:4" ht="7" customHeight="1">
      <c r="B9" s="2"/>
      <c r="C9" s="3"/>
      <c r="D9" s="1"/>
    </row>
    <row r="10" spans="2:4" ht="28">
      <c r="B10" s="772" t="s">
        <v>9</v>
      </c>
      <c r="C10" s="773"/>
      <c r="D10" s="773"/>
    </row>
    <row r="11" spans="2:4" s="63" customFormat="1" ht="102">
      <c r="B11" s="55" t="s">
        <v>83</v>
      </c>
      <c r="C11" s="8" t="s">
        <v>102</v>
      </c>
      <c r="D11" s="8"/>
    </row>
    <row r="12" spans="2:4" ht="68" customHeight="1">
      <c r="B12" s="6" t="s">
        <v>77</v>
      </c>
      <c r="C12" s="8" t="s">
        <v>74</v>
      </c>
      <c r="D12" s="4"/>
    </row>
    <row r="13" spans="2:4" ht="85" hidden="1" customHeight="1">
      <c r="B13" s="775" t="s">
        <v>6</v>
      </c>
      <c r="C13" s="8" t="s">
        <v>50</v>
      </c>
      <c r="D13" s="779" t="s">
        <v>7</v>
      </c>
    </row>
    <row r="14" spans="2:4" ht="85" hidden="1" customHeight="1">
      <c r="B14" s="776"/>
      <c r="C14" s="8" t="s">
        <v>51</v>
      </c>
      <c r="D14" s="780"/>
    </row>
    <row r="15" spans="2:4" ht="17" hidden="1" customHeight="1">
      <c r="B15" s="56" t="s">
        <v>5</v>
      </c>
      <c r="C15" s="9" t="s">
        <v>8</v>
      </c>
      <c r="D15" s="4"/>
    </row>
    <row r="16" spans="2:4" ht="34">
      <c r="B16" s="777" t="s">
        <v>78</v>
      </c>
      <c r="C16" s="53" t="s">
        <v>72</v>
      </c>
      <c r="D16" s="4" t="s">
        <v>75</v>
      </c>
    </row>
    <row r="17" spans="2:4" ht="34">
      <c r="B17" s="778"/>
      <c r="C17" s="8" t="s">
        <v>73</v>
      </c>
      <c r="D17" s="8" t="s">
        <v>76</v>
      </c>
    </row>
    <row r="18" spans="2:4" ht="9" customHeight="1">
      <c r="B18" s="2"/>
      <c r="C18" s="3"/>
      <c r="D18" s="1"/>
    </row>
    <row r="19" spans="2:4" ht="35">
      <c r="B19" s="774" t="s">
        <v>89</v>
      </c>
      <c r="C19" s="774"/>
      <c r="D19" s="774"/>
    </row>
    <row r="20" spans="2:4" ht="12" customHeight="1">
      <c r="B20" s="2"/>
      <c r="C20" s="3"/>
      <c r="D20" s="1"/>
    </row>
    <row r="21" spans="2:4">
      <c r="B21" s="783" t="s">
        <v>88</v>
      </c>
      <c r="C21" s="59" t="s">
        <v>85</v>
      </c>
      <c r="D21" s="783" t="s">
        <v>87</v>
      </c>
    </row>
    <row r="22" spans="2:4">
      <c r="B22" s="783"/>
      <c r="C22" s="59" t="s">
        <v>91</v>
      </c>
      <c r="D22" s="783"/>
    </row>
    <row r="23" spans="2:4" ht="7" customHeight="1">
      <c r="B23" s="54"/>
      <c r="C23" s="54"/>
      <c r="D23" s="57"/>
    </row>
    <row r="24" spans="2:4">
      <c r="B24" s="784" t="s">
        <v>92</v>
      </c>
      <c r="C24" s="60" t="s">
        <v>90</v>
      </c>
      <c r="D24" s="784" t="s">
        <v>87</v>
      </c>
    </row>
    <row r="25" spans="2:4">
      <c r="B25" s="784"/>
      <c r="C25" s="60" t="s">
        <v>86</v>
      </c>
      <c r="D25" s="784"/>
    </row>
    <row r="26" spans="2:4" ht="6" customHeight="1">
      <c r="B26" s="2"/>
      <c r="C26" s="3"/>
      <c r="D26" s="1"/>
    </row>
    <row r="27" spans="2:4" ht="16" customHeight="1">
      <c r="B27" s="782" t="s">
        <v>93</v>
      </c>
      <c r="C27" s="58" t="s">
        <v>94</v>
      </c>
      <c r="D27" s="781" t="s">
        <v>87</v>
      </c>
    </row>
    <row r="28" spans="2:4" ht="16" customHeight="1">
      <c r="B28" s="782"/>
      <c r="C28" s="58" t="s">
        <v>86</v>
      </c>
      <c r="D28" s="781"/>
    </row>
    <row r="29" spans="2:4" ht="5" customHeight="1">
      <c r="B29" s="782"/>
      <c r="C29" s="3"/>
      <c r="D29" s="1"/>
    </row>
    <row r="30" spans="2:4">
      <c r="B30" s="782"/>
      <c r="C30" s="58" t="s">
        <v>94</v>
      </c>
      <c r="D30" s="781" t="s">
        <v>96</v>
      </c>
    </row>
    <row r="31" spans="2:4">
      <c r="B31" s="782"/>
      <c r="C31" s="58" t="s">
        <v>95</v>
      </c>
      <c r="D31" s="781"/>
    </row>
    <row r="33" spans="2:4" ht="23">
      <c r="B33" s="770" t="s">
        <v>84</v>
      </c>
      <c r="C33" s="770"/>
      <c r="D33" s="770"/>
    </row>
    <row r="34" spans="2:4" ht="18">
      <c r="B34" s="79" t="s">
        <v>79</v>
      </c>
      <c r="C34" s="78" t="s">
        <v>99</v>
      </c>
      <c r="D34" s="66"/>
    </row>
    <row r="35" spans="2:4" ht="18">
      <c r="B35" s="79" t="s">
        <v>80</v>
      </c>
      <c r="C35" s="78" t="s">
        <v>100</v>
      </c>
      <c r="D35" s="66"/>
    </row>
    <row r="36" spans="2:4" s="78" customFormat="1" ht="18">
      <c r="B36" s="79" t="s">
        <v>107</v>
      </c>
      <c r="C36" s="79" t="s">
        <v>101</v>
      </c>
    </row>
    <row r="37" spans="2:4">
      <c r="B37" s="80" t="s">
        <v>108</v>
      </c>
    </row>
  </sheetData>
  <customSheetViews>
    <customSheetView guid="{FEB50EEF-352C-B844-A6F4-33499875B85A}" hiddenRows="1">
      <selection activeCell="I20" sqref="I20"/>
      <pageMargins left="0.7" right="0.7" top="0.75" bottom="0.75" header="0.3" footer="0.3"/>
    </customSheetView>
  </customSheetViews>
  <mergeCells count="15">
    <mergeCell ref="B33:D33"/>
    <mergeCell ref="B1:D1"/>
    <mergeCell ref="B10:D10"/>
    <mergeCell ref="B19:D19"/>
    <mergeCell ref="B13:B14"/>
    <mergeCell ref="B16:B17"/>
    <mergeCell ref="D13:D14"/>
    <mergeCell ref="B3:B4"/>
    <mergeCell ref="D27:D28"/>
    <mergeCell ref="D30:D31"/>
    <mergeCell ref="B27:B31"/>
    <mergeCell ref="B21:B22"/>
    <mergeCell ref="D21:D22"/>
    <mergeCell ref="D24:D25"/>
    <mergeCell ref="B24:B2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571A2-77F3-D54D-B3E6-F887F88B6B9B}">
  <sheetPr codeName="Sheet4">
    <tabColor rgb="FFFFFF00"/>
  </sheetPr>
  <dimension ref="A1:CV45"/>
  <sheetViews>
    <sheetView zoomScale="70" zoomScaleNormal="70" workbookViewId="0">
      <selection activeCell="D6" sqref="D6"/>
    </sheetView>
  </sheetViews>
  <sheetFormatPr baseColWidth="10" defaultRowHeight="16" outlineLevelRow="1"/>
  <cols>
    <col min="1" max="1" width="45.33203125" style="41" bestFit="1" customWidth="1"/>
    <col min="2" max="2" width="8.33203125" style="41" customWidth="1"/>
    <col min="3" max="3" width="18.83203125" style="35" customWidth="1"/>
    <col min="4" max="4" width="8.5" style="35" customWidth="1"/>
    <col min="5" max="5" width="7.83203125" style="35" bestFit="1" customWidth="1"/>
    <col min="6" max="6" width="10.33203125" style="35" bestFit="1" customWidth="1"/>
    <col min="7" max="7" width="1.1640625" style="45" customWidth="1"/>
    <col min="8" max="8" width="18.83203125" style="35" customWidth="1"/>
    <col min="9" max="9" width="8.5" style="35" customWidth="1"/>
    <col min="10" max="10" width="7.83203125" style="35" bestFit="1" customWidth="1"/>
    <col min="11" max="11" width="10.33203125" style="35" bestFit="1" customWidth="1"/>
    <col min="12" max="12" width="1.1640625" style="45" customWidth="1"/>
    <col min="13" max="13" width="18.83203125" style="35" customWidth="1"/>
    <col min="14" max="14" width="8.5" style="35" customWidth="1"/>
    <col min="15" max="15" width="7.83203125" style="35" bestFit="1" customWidth="1"/>
    <col min="16" max="16" width="10.33203125" style="35" bestFit="1" customWidth="1"/>
    <col min="17" max="17" width="1.1640625" style="45" customWidth="1"/>
    <col min="18" max="18" width="18.83203125" style="35" customWidth="1"/>
    <col min="19" max="19" width="8.5" style="35" customWidth="1"/>
    <col min="20" max="20" width="6.6640625" style="35" bestFit="1" customWidth="1"/>
    <col min="21" max="21" width="10.33203125" style="35" bestFit="1" customWidth="1"/>
    <col min="22" max="22" width="1.1640625" style="45" customWidth="1"/>
    <col min="23" max="23" width="18.83203125" style="35" customWidth="1"/>
    <col min="24" max="24" width="8.5" style="35" customWidth="1"/>
    <col min="25" max="25" width="6.6640625" style="35" bestFit="1" customWidth="1"/>
    <col min="26" max="26" width="10.33203125" style="35" bestFit="1" customWidth="1"/>
    <col min="27" max="27" width="1.1640625" style="45" customWidth="1"/>
    <col min="28" max="28" width="18.83203125" style="35" customWidth="1"/>
    <col min="29" max="29" width="8.5" style="35" customWidth="1"/>
    <col min="30" max="30" width="6.6640625" style="35" bestFit="1" customWidth="1"/>
    <col min="31" max="31" width="10.33203125" style="35" bestFit="1" customWidth="1"/>
    <col min="32" max="32" width="1.1640625" style="45" customWidth="1"/>
    <col min="33" max="33" width="18.83203125" style="35" customWidth="1"/>
    <col min="34" max="34" width="8.5" style="35" customWidth="1"/>
    <col min="35" max="35" width="6.6640625" style="35" bestFit="1" customWidth="1"/>
    <col min="36" max="36" width="10.33203125" style="35" bestFit="1" customWidth="1"/>
    <col min="37" max="37" width="1.1640625" style="45" customWidth="1"/>
    <col min="38" max="38" width="18.83203125" style="35" customWidth="1"/>
    <col min="39" max="39" width="8.5" style="35" customWidth="1"/>
    <col min="40" max="40" width="6.6640625" style="35" bestFit="1" customWidth="1"/>
    <col min="41" max="41" width="10.33203125" style="35" bestFit="1" customWidth="1"/>
    <col min="42" max="42" width="1.1640625" style="45" customWidth="1"/>
    <col min="43" max="43" width="18.83203125" style="35" customWidth="1"/>
    <col min="44" max="44" width="8.5" style="35" customWidth="1"/>
    <col min="45" max="45" width="6.6640625" style="35" bestFit="1" customWidth="1"/>
    <col min="46" max="46" width="10.33203125" style="35" bestFit="1" customWidth="1"/>
    <col min="47" max="47" width="1.1640625" style="45" customWidth="1"/>
    <col min="48" max="48" width="18.83203125" style="35" customWidth="1"/>
    <col min="49" max="49" width="8.5" style="35" customWidth="1"/>
    <col min="50" max="50" width="6.6640625" style="35" bestFit="1" customWidth="1"/>
    <col min="51" max="51" width="10.33203125" style="35" bestFit="1" customWidth="1"/>
    <col min="52" max="52" width="1.1640625" style="45" customWidth="1"/>
    <col min="53" max="96" width="18" style="45" customWidth="1"/>
    <col min="97" max="97" width="7.83203125" style="35" bestFit="1" customWidth="1"/>
    <col min="98" max="98" width="8.5" style="35" bestFit="1" customWidth="1"/>
    <col min="99" max="99" width="7.33203125" style="35" bestFit="1" customWidth="1"/>
    <col min="100" max="100" width="5.83203125" style="35" bestFit="1" customWidth="1"/>
    <col min="101" max="101" width="8.1640625" style="35" bestFit="1" customWidth="1"/>
    <col min="102" max="102" width="7.33203125" style="35" bestFit="1" customWidth="1"/>
    <col min="103" max="16384" width="10.83203125" style="35"/>
  </cols>
  <sheetData>
    <row r="1" spans="1:100" s="15" customFormat="1">
      <c r="A1" s="41"/>
      <c r="B1" s="41"/>
      <c r="G1" s="45"/>
      <c r="L1" s="45"/>
      <c r="Q1" s="45"/>
      <c r="V1" s="45"/>
      <c r="AA1" s="45"/>
      <c r="AF1" s="45"/>
      <c r="AK1" s="45"/>
      <c r="AP1" s="45"/>
      <c r="AU1" s="45"/>
      <c r="AZ1" s="45"/>
      <c r="BA1" s="45"/>
      <c r="BB1" s="45"/>
      <c r="BC1" s="45"/>
      <c r="BD1" s="45"/>
      <c r="BE1" s="45"/>
      <c r="BF1" s="45"/>
      <c r="BG1" s="45"/>
      <c r="BH1" s="45"/>
      <c r="BI1" s="45"/>
      <c r="BJ1" s="45"/>
      <c r="BK1" s="45"/>
      <c r="BL1" s="45"/>
      <c r="BM1" s="45"/>
      <c r="BN1" s="45"/>
      <c r="BO1" s="45"/>
      <c r="BP1" s="45"/>
      <c r="BQ1" s="45"/>
      <c r="BR1" s="45"/>
      <c r="BS1" s="45"/>
      <c r="BT1" s="45"/>
      <c r="BU1" s="45"/>
      <c r="BV1" s="45"/>
      <c r="BW1" s="45"/>
      <c r="BX1" s="45"/>
      <c r="BY1" s="45"/>
      <c r="BZ1" s="45"/>
      <c r="CA1" s="45"/>
      <c r="CB1" s="45"/>
      <c r="CC1" s="45"/>
      <c r="CD1" s="45"/>
      <c r="CE1" s="45"/>
      <c r="CF1" s="45"/>
      <c r="CG1" s="45"/>
      <c r="CH1" s="45"/>
      <c r="CI1" s="45"/>
      <c r="CJ1" s="45"/>
      <c r="CK1" s="45"/>
      <c r="CL1" s="45"/>
      <c r="CM1" s="45"/>
      <c r="CN1" s="45"/>
      <c r="CO1" s="45"/>
      <c r="CP1" s="45"/>
      <c r="CQ1" s="45"/>
      <c r="CR1" s="45"/>
      <c r="CT1" s="258">
        <f ca="1">DATE(YEAR(TODAY()),MONTH(TODAY()),1)</f>
        <v>46174</v>
      </c>
      <c r="CU1" s="258" t="s">
        <v>39</v>
      </c>
      <c r="CV1" s="258">
        <f ca="1">DAY(EOMONTH(CT1,0))</f>
        <v>30</v>
      </c>
    </row>
    <row r="2" spans="1:100" s="36" customFormat="1" ht="21" customHeight="1">
      <c r="A2" s="256"/>
      <c r="B2" s="256"/>
      <c r="C2" s="475" t="str">
        <f>'Thi dua NV'!B6</f>
        <v>Đỗ Văn Duân - 62025</v>
      </c>
      <c r="D2" s="476"/>
      <c r="E2" s="477"/>
      <c r="F2" s="478" t="str">
        <f ca="1">COUNTIF(F5:F27,"&gt;=1")&amp;"/"&amp;COUNT(F5:F27)</f>
        <v>2/12</v>
      </c>
      <c r="G2" s="45"/>
      <c r="H2" s="475" t="str">
        <f>'Thi dua NV'!B7</f>
        <v>Nguyễn Viết Sơn - 94065</v>
      </c>
      <c r="I2" s="476"/>
      <c r="J2" s="477"/>
      <c r="K2" s="478" t="str">
        <f ca="1">COUNTIF(K5:K27,"&gt;=1")&amp;"/"&amp;COUNT(K5:K27)</f>
        <v>3/12</v>
      </c>
      <c r="L2" s="45"/>
      <c r="M2" s="475" t="str">
        <f>'Thi dua NV'!B8</f>
        <v>Nguyễn Thị Ngọc - 54026</v>
      </c>
      <c r="N2" s="476"/>
      <c r="O2" s="477"/>
      <c r="P2" s="478" t="str">
        <f ca="1">COUNTIF(P5:P27,"&gt;=1")&amp;"/"&amp;COUNT(P5:P27)</f>
        <v>3/12</v>
      </c>
      <c r="Q2" s="45"/>
      <c r="R2" s="475" t="str">
        <f>'Thi dua NV'!B9</f>
        <v>Trần Huy Hoàn - 270828</v>
      </c>
      <c r="S2" s="476"/>
      <c r="T2" s="477"/>
      <c r="U2" s="478" t="str">
        <f ca="1">COUNTIF(U5:U27,"&gt;=1")&amp;"/"&amp;COUNT(U5:U27)</f>
        <v>1/12</v>
      </c>
      <c r="V2" s="45"/>
      <c r="W2" s="475" t="str">
        <f>'Thi dua NV'!B10</f>
        <v>Nguyễn Trang Nhung - 25734</v>
      </c>
      <c r="X2" s="476"/>
      <c r="Y2" s="477"/>
      <c r="Z2" s="478" t="str">
        <f ca="1">COUNTIF(Z5:Z27,"&gt;=1")&amp;"/"&amp;COUNT(Z5:Z27)</f>
        <v>5/12</v>
      </c>
      <c r="AA2" s="45"/>
      <c r="AB2" s="241" t="str">
        <f>'Thi dua NV'!B12</f>
        <v>Nguyễn Thành Đạt - 280855</v>
      </c>
      <c r="AC2" s="242"/>
      <c r="AD2" s="243"/>
      <c r="AE2" s="238" t="str">
        <f ca="1">COUNTIF(AE5:AE27,"&gt;=1")&amp;"/"&amp;COUNT(AE5:AE27)</f>
        <v>2/12</v>
      </c>
      <c r="AF2" s="45"/>
      <c r="AG2" s="241"/>
      <c r="AH2" s="242"/>
      <c r="AI2" s="243"/>
      <c r="AJ2" s="238" t="str">
        <f ca="1">COUNTIF(AJ5:AJ27,"&gt;=1")&amp;"/"&amp;COUNT(AJ5:AJ27)</f>
        <v>0/0</v>
      </c>
      <c r="AK2" s="45"/>
      <c r="AL2" s="241"/>
      <c r="AM2" s="242"/>
      <c r="AN2" s="243"/>
      <c r="AO2" s="238"/>
      <c r="AP2" s="45"/>
      <c r="AQ2" s="241"/>
      <c r="AR2" s="242"/>
      <c r="AS2" s="243"/>
      <c r="AT2" s="238"/>
      <c r="AU2" s="45"/>
      <c r="AV2" s="241"/>
      <c r="AW2" s="242"/>
      <c r="AX2" s="243"/>
      <c r="AY2" s="238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  <c r="CD2" s="45"/>
      <c r="CE2" s="45"/>
      <c r="CF2" s="45"/>
      <c r="CG2" s="45"/>
      <c r="CH2" s="45"/>
      <c r="CI2" s="45"/>
      <c r="CJ2" s="45"/>
      <c r="CK2" s="45"/>
      <c r="CL2" s="45"/>
      <c r="CM2" s="45"/>
      <c r="CN2" s="45"/>
      <c r="CO2" s="45"/>
      <c r="CP2" s="45"/>
      <c r="CQ2" s="45"/>
      <c r="CR2" s="45"/>
      <c r="CT2" s="259">
        <f ca="1">TODAY()</f>
        <v>46180</v>
      </c>
      <c r="CU2" s="259" t="s">
        <v>41</v>
      </c>
      <c r="CV2" s="259">
        <f ca="1">CV1-CT3</f>
        <v>24</v>
      </c>
    </row>
    <row r="3" spans="1:100" s="36" customFormat="1" ht="21">
      <c r="A3" s="256"/>
      <c r="B3" s="256"/>
      <c r="C3" s="789" t="s">
        <v>16</v>
      </c>
      <c r="D3" s="239" t="s">
        <v>179</v>
      </c>
      <c r="E3" s="240"/>
      <c r="F3" s="479"/>
      <c r="G3" s="45"/>
      <c r="H3" s="789" t="s">
        <v>16</v>
      </c>
      <c r="I3" s="239" t="s">
        <v>179</v>
      </c>
      <c r="J3" s="240"/>
      <c r="K3" s="479"/>
      <c r="L3" s="45"/>
      <c r="M3" s="789" t="s">
        <v>16</v>
      </c>
      <c r="N3" s="239" t="s">
        <v>179</v>
      </c>
      <c r="O3" s="240"/>
      <c r="P3" s="479"/>
      <c r="Q3" s="45"/>
      <c r="R3" s="789" t="s">
        <v>16</v>
      </c>
      <c r="S3" s="239" t="s">
        <v>179</v>
      </c>
      <c r="T3" s="240"/>
      <c r="U3" s="479"/>
      <c r="V3" s="45"/>
      <c r="W3" s="789" t="s">
        <v>16</v>
      </c>
      <c r="X3" s="239" t="s">
        <v>179</v>
      </c>
      <c r="Y3" s="240"/>
      <c r="Z3" s="479"/>
      <c r="AA3" s="45"/>
      <c r="AB3" s="785" t="s">
        <v>16</v>
      </c>
      <c r="AC3" s="239" t="s">
        <v>179</v>
      </c>
      <c r="AD3" s="240"/>
      <c r="AE3" s="244"/>
      <c r="AF3" s="45"/>
      <c r="AG3" s="785" t="s">
        <v>16</v>
      </c>
      <c r="AH3" s="239" t="s">
        <v>179</v>
      </c>
      <c r="AI3" s="240"/>
      <c r="AJ3" s="244"/>
      <c r="AK3" s="45"/>
      <c r="AL3" s="785"/>
      <c r="AM3" s="239"/>
      <c r="AN3" s="240"/>
      <c r="AO3" s="244"/>
      <c r="AP3" s="45"/>
      <c r="AQ3" s="785"/>
      <c r="AR3" s="239"/>
      <c r="AS3" s="240"/>
      <c r="AT3" s="244"/>
      <c r="AU3" s="45"/>
      <c r="AV3" s="785"/>
      <c r="AW3" s="239"/>
      <c r="AX3" s="240"/>
      <c r="AY3" s="244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5"/>
      <c r="CJ3" s="45"/>
      <c r="CK3" s="45"/>
      <c r="CL3" s="45"/>
      <c r="CM3" s="45"/>
      <c r="CN3" s="45"/>
      <c r="CO3" s="45"/>
      <c r="CP3" s="45"/>
      <c r="CQ3" s="45"/>
      <c r="CR3" s="45"/>
      <c r="CT3" s="259">
        <f ca="1">DAY(TODAY()-1)</f>
        <v>6</v>
      </c>
      <c r="CU3" s="259" t="s">
        <v>44</v>
      </c>
      <c r="CV3" s="259">
        <f ca="1">CT3/CV1</f>
        <v>0.2</v>
      </c>
    </row>
    <row r="4" spans="1:100" s="15" customFormat="1">
      <c r="A4" s="41"/>
      <c r="B4" s="41"/>
      <c r="C4" s="790"/>
      <c r="D4" s="230" t="s">
        <v>10</v>
      </c>
      <c r="E4" s="231" t="s">
        <v>27</v>
      </c>
      <c r="F4" s="480" t="s">
        <v>37</v>
      </c>
      <c r="G4" s="45"/>
      <c r="H4" s="790"/>
      <c r="I4" s="230" t="s">
        <v>10</v>
      </c>
      <c r="J4" s="231" t="s">
        <v>27</v>
      </c>
      <c r="K4" s="480" t="s">
        <v>37</v>
      </c>
      <c r="L4" s="45"/>
      <c r="M4" s="790"/>
      <c r="N4" s="230" t="s">
        <v>10</v>
      </c>
      <c r="O4" s="231" t="s">
        <v>27</v>
      </c>
      <c r="P4" s="480" t="s">
        <v>37</v>
      </c>
      <c r="Q4" s="45"/>
      <c r="R4" s="790"/>
      <c r="S4" s="230" t="s">
        <v>10</v>
      </c>
      <c r="T4" s="231" t="s">
        <v>27</v>
      </c>
      <c r="U4" s="480" t="s">
        <v>37</v>
      </c>
      <c r="V4" s="45"/>
      <c r="W4" s="790"/>
      <c r="X4" s="230" t="s">
        <v>10</v>
      </c>
      <c r="Y4" s="231" t="s">
        <v>27</v>
      </c>
      <c r="Z4" s="480" t="s">
        <v>37</v>
      </c>
      <c r="AA4" s="45"/>
      <c r="AB4" s="786"/>
      <c r="AC4" s="230" t="s">
        <v>10</v>
      </c>
      <c r="AD4" s="231" t="s">
        <v>27</v>
      </c>
      <c r="AE4" s="231" t="s">
        <v>37</v>
      </c>
      <c r="AF4" s="45"/>
      <c r="AG4" s="786"/>
      <c r="AH4" s="230" t="s">
        <v>10</v>
      </c>
      <c r="AI4" s="231" t="s">
        <v>27</v>
      </c>
      <c r="AJ4" s="231" t="s">
        <v>37</v>
      </c>
      <c r="AK4" s="45"/>
      <c r="AL4" s="786"/>
      <c r="AM4" s="230"/>
      <c r="AN4" s="231"/>
      <c r="AO4" s="231"/>
      <c r="AP4" s="45"/>
      <c r="AQ4" s="786"/>
      <c r="AR4" s="230"/>
      <c r="AS4" s="231"/>
      <c r="AT4" s="231"/>
      <c r="AU4" s="45"/>
      <c r="AV4" s="786"/>
      <c r="AW4" s="230"/>
      <c r="AX4" s="231"/>
      <c r="AY4" s="231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  <c r="CD4" s="45"/>
      <c r="CE4" s="45"/>
      <c r="CF4" s="45"/>
      <c r="CG4" s="45"/>
      <c r="CH4" s="45"/>
      <c r="CI4" s="45"/>
      <c r="CJ4" s="45"/>
      <c r="CK4" s="45"/>
      <c r="CL4" s="45"/>
      <c r="CM4" s="45"/>
      <c r="CN4" s="45"/>
      <c r="CO4" s="45"/>
      <c r="CP4" s="45"/>
      <c r="CQ4" s="45"/>
      <c r="CR4" s="45"/>
    </row>
    <row r="5" spans="1:100" s="37" customFormat="1" ht="16" customHeight="1" outlineLevel="1">
      <c r="A5" s="465" t="s">
        <v>269</v>
      </c>
      <c r="B5" s="236"/>
      <c r="C5" s="481" t="s">
        <v>270</v>
      </c>
      <c r="D5" s="128" t="e">
        <f>VLOOKUP($A5&amp;C$2,XL_DT_TD!$F:$K,2,)</f>
        <v>#N/A</v>
      </c>
      <c r="E5" s="127">
        <f>IFERROR(VLOOKUP($A5&amp;C$2,XL_DT_TD!$F:$K,3,0),0)</f>
        <v>0</v>
      </c>
      <c r="F5" s="482" t="e">
        <f t="shared" ref="F5:F29" ca="1" si="0">IF(DAY(NOW())=1,(E5/D5),(E5/(DAY(NOW()-1))*$CV$1)/D5)</f>
        <v>#N/A</v>
      </c>
      <c r="G5" s="45"/>
      <c r="H5" s="481" t="s">
        <v>270</v>
      </c>
      <c r="I5" s="128" t="e">
        <f>VLOOKUP($A5&amp;H$2,XL_DT_TD!$F:$K,2,)</f>
        <v>#N/A</v>
      </c>
      <c r="J5" s="127">
        <f>IFERROR(VLOOKUP($A5&amp;H$2,XL_DT_TD!$F:$K,3,0),0)</f>
        <v>0</v>
      </c>
      <c r="K5" s="482" t="e">
        <f t="shared" ref="K5:K29" ca="1" si="1">IF(DAY(NOW())=1,(J5/I5),(J5/(DAY(NOW()-1))*$CV$1)/I5)</f>
        <v>#N/A</v>
      </c>
      <c r="L5" s="45"/>
      <c r="M5" s="481" t="s">
        <v>270</v>
      </c>
      <c r="N5" s="128" t="e">
        <f>VLOOKUP($A5&amp;M$2,XL_DT_TD!$F:$K,2,)</f>
        <v>#N/A</v>
      </c>
      <c r="O5" s="127">
        <f>IFERROR(VLOOKUP($A5&amp;M$2,XL_DT_TD!$F:$K,3,0),0)</f>
        <v>0</v>
      </c>
      <c r="P5" s="482" t="e">
        <f t="shared" ref="P5:P29" ca="1" si="2">IF(DAY(NOW())=1,(O5/N5),(O5/(DAY(NOW()-1))*$CV$1)/N5)</f>
        <v>#N/A</v>
      </c>
      <c r="Q5" s="45"/>
      <c r="R5" s="481" t="s">
        <v>270</v>
      </c>
      <c r="S5" s="128" t="e">
        <f>VLOOKUP($A5&amp;R$2,XL_DT_TD!$F:$K,2,)</f>
        <v>#N/A</v>
      </c>
      <c r="T5" s="127">
        <f>IFERROR(VLOOKUP($A5&amp;R$2,XL_DT_TD!$F:$K,3,0),0)</f>
        <v>0</v>
      </c>
      <c r="U5" s="482" t="e">
        <f t="shared" ref="U5:U29" ca="1" si="3">IF(DAY(NOW())=1,(T5/S5),(T5/(DAY(NOW()-1))*$CV$1)/S5)</f>
        <v>#N/A</v>
      </c>
      <c r="V5" s="45"/>
      <c r="W5" s="481" t="s">
        <v>270</v>
      </c>
      <c r="X5" s="128" t="e">
        <f>VLOOKUP($A5&amp;W$2,XL_DT_TD!$F:$K,2,)</f>
        <v>#N/A</v>
      </c>
      <c r="Y5" s="127">
        <f>IFERROR(VLOOKUP($A5&amp;W$2,XL_DT_TD!$F:$K,3,0),0)</f>
        <v>0</v>
      </c>
      <c r="Z5" s="482" t="e">
        <f t="shared" ref="Z5:Z29" ca="1" si="4">IF(DAY(NOW())=1,(Y5/X5),(Y5/(DAY(NOW()-1))*$CV$1)/X5)</f>
        <v>#N/A</v>
      </c>
      <c r="AA5" s="45"/>
      <c r="AB5" s="481" t="s">
        <v>270</v>
      </c>
      <c r="AC5" s="128" t="e">
        <f>VLOOKUP($A5&amp;AB$2,XL_DT_TD!$F:$K,2,)</f>
        <v>#N/A</v>
      </c>
      <c r="AD5" s="127">
        <f>IFERROR(VLOOKUP($A5&amp;AB$2,XL_DT_TD!$F:$K,3,0),0)</f>
        <v>0</v>
      </c>
      <c r="AE5" s="129" t="e">
        <f t="shared" ref="AE5:AE29" ca="1" si="5">IF(DAY(NOW())=1,(AD5/AC5),(AD5/(DAY(NOW()-1))*$CV$1)/AC5)</f>
        <v>#N/A</v>
      </c>
      <c r="AF5" s="45"/>
      <c r="AG5" s="481" t="s">
        <v>270</v>
      </c>
      <c r="AH5" s="128" t="e">
        <f>VLOOKUP($A5&amp;AG$2,XL_DT_TD!$F:$K,2,)</f>
        <v>#N/A</v>
      </c>
      <c r="AI5" s="127">
        <f>IFERROR(VLOOKUP($A5&amp;AG$2,XL_DT_TD!$F:$K,3,0),0)</f>
        <v>0</v>
      </c>
      <c r="AJ5" s="129" t="e">
        <f t="shared" ref="AJ5:AJ29" ca="1" si="6">IF(DAY(NOW())=1,(AI5/AH5),(AI5/(DAY(NOW()-1))*$CV$1)/AH5)</f>
        <v>#N/A</v>
      </c>
      <c r="AK5" s="45"/>
      <c r="AL5" s="111"/>
      <c r="AM5" s="128"/>
      <c r="AN5" s="127"/>
      <c r="AO5" s="129"/>
      <c r="AP5" s="45"/>
      <c r="AQ5" s="111"/>
      <c r="AR5" s="128"/>
      <c r="AS5" s="127"/>
      <c r="AT5" s="129"/>
      <c r="AU5" s="45"/>
      <c r="AV5" s="111"/>
      <c r="AW5" s="128"/>
      <c r="AX5" s="127"/>
      <c r="AY5" s="129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  <c r="CD5" s="45"/>
      <c r="CE5" s="45"/>
      <c r="CF5" s="45"/>
      <c r="CG5" s="45"/>
      <c r="CH5" s="45"/>
      <c r="CI5" s="45"/>
      <c r="CJ5" s="45"/>
      <c r="CK5" s="45"/>
      <c r="CL5" s="45"/>
      <c r="CM5" s="45"/>
      <c r="CN5" s="45"/>
      <c r="CO5" s="45"/>
      <c r="CP5" s="45"/>
      <c r="CQ5" s="45"/>
      <c r="CR5" s="45"/>
    </row>
    <row r="6" spans="1:100" s="37" customFormat="1" ht="16" customHeight="1" outlineLevel="1">
      <c r="A6" s="466" t="s">
        <v>388</v>
      </c>
      <c r="B6" s="236"/>
      <c r="C6" s="481" t="s">
        <v>271</v>
      </c>
      <c r="D6" s="128" t="e">
        <f>VLOOKUP($A6&amp;C$2,XL_DT_TD!$F:$K,2,)</f>
        <v>#N/A</v>
      </c>
      <c r="E6" s="127">
        <f>IFERROR(VLOOKUP($A6&amp;C$2,XL_DT_TD!$F:$K,3,0),0)</f>
        <v>0</v>
      </c>
      <c r="F6" s="482" t="e">
        <f t="shared" ca="1" si="0"/>
        <v>#N/A</v>
      </c>
      <c r="G6" s="45"/>
      <c r="H6" s="481" t="s">
        <v>271</v>
      </c>
      <c r="I6" s="128" t="e">
        <f>VLOOKUP($A6&amp;H$2,XL_DT_TD!$F:$K,2,)</f>
        <v>#N/A</v>
      </c>
      <c r="J6" s="127">
        <f>IFERROR(VLOOKUP($A6&amp;H$2,XL_DT_TD!$F:$K,3,0),0)</f>
        <v>0</v>
      </c>
      <c r="K6" s="482" t="e">
        <f t="shared" ca="1" si="1"/>
        <v>#N/A</v>
      </c>
      <c r="L6" s="45"/>
      <c r="M6" s="481" t="s">
        <v>271</v>
      </c>
      <c r="N6" s="128" t="e">
        <f>VLOOKUP($A6&amp;M$2,XL_DT_TD!$F:$K,2,)</f>
        <v>#N/A</v>
      </c>
      <c r="O6" s="127">
        <f>IFERROR(VLOOKUP($A6&amp;M$2,XL_DT_TD!$F:$K,3,0),0)</f>
        <v>0</v>
      </c>
      <c r="P6" s="482" t="e">
        <f t="shared" ca="1" si="2"/>
        <v>#N/A</v>
      </c>
      <c r="Q6" s="45"/>
      <c r="R6" s="481" t="s">
        <v>271</v>
      </c>
      <c r="S6" s="128" t="e">
        <f>VLOOKUP($A6&amp;R$2,XL_DT_TD!$F:$K,2,)</f>
        <v>#N/A</v>
      </c>
      <c r="T6" s="127">
        <f>IFERROR(VLOOKUP($A6&amp;R$2,XL_DT_TD!$F:$K,3,0),0)</f>
        <v>0</v>
      </c>
      <c r="U6" s="482" t="e">
        <f t="shared" ca="1" si="3"/>
        <v>#N/A</v>
      </c>
      <c r="V6" s="45"/>
      <c r="W6" s="481" t="s">
        <v>271</v>
      </c>
      <c r="X6" s="128" t="e">
        <f>VLOOKUP($A6&amp;W$2,XL_DT_TD!$F:$K,2,)</f>
        <v>#N/A</v>
      </c>
      <c r="Y6" s="127">
        <f>IFERROR(VLOOKUP($A6&amp;W$2,XL_DT_TD!$F:$K,3,0),0)</f>
        <v>0</v>
      </c>
      <c r="Z6" s="482" t="e">
        <f t="shared" ca="1" si="4"/>
        <v>#N/A</v>
      </c>
      <c r="AA6" s="45"/>
      <c r="AB6" s="481" t="s">
        <v>271</v>
      </c>
      <c r="AC6" s="128" t="e">
        <f>VLOOKUP($A6&amp;AB$2,XL_DT_TD!$F:$K,2,)</f>
        <v>#N/A</v>
      </c>
      <c r="AD6" s="127">
        <f>IFERROR(VLOOKUP($A6&amp;AB$2,XL_DT_TD!$F:$K,3,0),0)</f>
        <v>0</v>
      </c>
      <c r="AE6" s="129" t="e">
        <f t="shared" ca="1" si="5"/>
        <v>#N/A</v>
      </c>
      <c r="AF6" s="45"/>
      <c r="AG6" s="481" t="s">
        <v>271</v>
      </c>
      <c r="AH6" s="128" t="e">
        <f>VLOOKUP($A6&amp;AG$2,XL_DT_TD!$F:$K,2,)</f>
        <v>#N/A</v>
      </c>
      <c r="AI6" s="127">
        <f>IFERROR(VLOOKUP($A6&amp;AG$2,XL_DT_TD!$F:$K,3,0),0)</f>
        <v>0</v>
      </c>
      <c r="AJ6" s="129" t="e">
        <f t="shared" ca="1" si="6"/>
        <v>#N/A</v>
      </c>
      <c r="AK6" s="45"/>
      <c r="AL6" s="111"/>
      <c r="AM6" s="128"/>
      <c r="AN6" s="127"/>
      <c r="AO6" s="129"/>
      <c r="AP6" s="45"/>
      <c r="AQ6" s="111"/>
      <c r="AR6" s="128"/>
      <c r="AS6" s="127"/>
      <c r="AT6" s="129"/>
      <c r="AU6" s="45"/>
      <c r="AV6" s="111"/>
      <c r="AW6" s="128"/>
      <c r="AX6" s="127"/>
      <c r="AY6" s="129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  <c r="CD6" s="45"/>
      <c r="CE6" s="45"/>
      <c r="CF6" s="45"/>
      <c r="CG6" s="45"/>
      <c r="CH6" s="45"/>
      <c r="CI6" s="45"/>
      <c r="CJ6" s="45"/>
      <c r="CK6" s="45"/>
      <c r="CL6" s="45"/>
      <c r="CM6" s="45"/>
      <c r="CN6" s="45"/>
      <c r="CO6" s="45"/>
      <c r="CP6" s="45"/>
      <c r="CQ6" s="45"/>
      <c r="CR6" s="45"/>
    </row>
    <row r="7" spans="1:100" s="37" customFormat="1" ht="16" customHeight="1" outlineLevel="1">
      <c r="A7" s="465" t="s">
        <v>380</v>
      </c>
      <c r="B7" s="236"/>
      <c r="C7" s="481" t="s">
        <v>115</v>
      </c>
      <c r="D7" s="128">
        <f>VLOOKUP($A7&amp;C$2,XL_DT_TD!$F:$K,2,)</f>
        <v>45.594000000000001</v>
      </c>
      <c r="E7" s="127">
        <f>IFERROR(VLOOKUP($A7&amp;C$2,XL_DT_TD!$F:$K,3,0),0)</f>
        <v>2.96</v>
      </c>
      <c r="F7" s="482">
        <f t="shared" ca="1" si="0"/>
        <v>0.32460411457647936</v>
      </c>
      <c r="G7" s="45"/>
      <c r="H7" s="481" t="s">
        <v>115</v>
      </c>
      <c r="I7" s="128">
        <f>VLOOKUP($A7&amp;H$2,XL_DT_TD!$F:$K,2,)</f>
        <v>55.726000000000006</v>
      </c>
      <c r="J7" s="127">
        <f>IFERROR(VLOOKUP($A7&amp;H$2,XL_DT_TD!$F:$K,3,0),0)</f>
        <v>0</v>
      </c>
      <c r="K7" s="482">
        <f t="shared" ca="1" si="1"/>
        <v>0</v>
      </c>
      <c r="L7" s="45"/>
      <c r="M7" s="481" t="s">
        <v>115</v>
      </c>
      <c r="N7" s="128">
        <f>VLOOKUP($A7&amp;M$2,XL_DT_TD!$F:$K,2,)</f>
        <v>45.594000000000001</v>
      </c>
      <c r="O7" s="127">
        <f>IFERROR(VLOOKUP($A7&amp;M$2,XL_DT_TD!$F:$K,3,0),0)</f>
        <v>3.21</v>
      </c>
      <c r="P7" s="482">
        <f t="shared" ca="1" si="2"/>
        <v>0.35202000263192523</v>
      </c>
      <c r="Q7" s="45"/>
      <c r="R7" s="481" t="s">
        <v>115</v>
      </c>
      <c r="S7" s="128">
        <f>VLOOKUP($A7&amp;R$2,XL_DT_TD!$F:$K,2,)</f>
        <v>55.726000000000006</v>
      </c>
      <c r="T7" s="127">
        <f>IFERROR(VLOOKUP($A7&amp;R$2,XL_DT_TD!$F:$K,3,0),0)</f>
        <v>1.76</v>
      </c>
      <c r="U7" s="482">
        <f t="shared" ca="1" si="3"/>
        <v>0.15791551519936833</v>
      </c>
      <c r="V7" s="45"/>
      <c r="W7" s="481" t="s">
        <v>115</v>
      </c>
      <c r="X7" s="128">
        <f>VLOOKUP($A7&amp;W$2,XL_DT_TD!$F:$K,2,)</f>
        <v>45.594000000000001</v>
      </c>
      <c r="Y7" s="127">
        <f>IFERROR(VLOOKUP($A7&amp;W$2,XL_DT_TD!$F:$K,3,0),0)</f>
        <v>17</v>
      </c>
      <c r="Z7" s="482">
        <f t="shared" ca="1" si="4"/>
        <v>1.8642803877703207</v>
      </c>
      <c r="AA7" s="45"/>
      <c r="AB7" s="481" t="s">
        <v>115</v>
      </c>
      <c r="AC7" s="128">
        <f>VLOOKUP($A7&amp;AB$2,XL_DT_TD!$F:$K,2,)</f>
        <v>45.594000000000001</v>
      </c>
      <c r="AD7" s="127">
        <f>IFERROR(VLOOKUP($A7&amp;AB$2,XL_DT_TD!$F:$K,3,0),0)</f>
        <v>1.44</v>
      </c>
      <c r="AE7" s="129">
        <f t="shared" ca="1" si="5"/>
        <v>0.15791551519936831</v>
      </c>
      <c r="AF7" s="45"/>
      <c r="AG7" s="481" t="s">
        <v>115</v>
      </c>
      <c r="AH7" s="128" t="e">
        <f>VLOOKUP($A7&amp;AG$2,XL_DT_TD!$F:$K,2,)</f>
        <v>#N/A</v>
      </c>
      <c r="AI7" s="127">
        <f>IFERROR(VLOOKUP($A7&amp;AG$2,XL_DT_TD!$F:$K,3,0),0)</f>
        <v>0</v>
      </c>
      <c r="AJ7" s="129" t="e">
        <f t="shared" ca="1" si="6"/>
        <v>#N/A</v>
      </c>
      <c r="AK7" s="45"/>
      <c r="AL7" s="111"/>
      <c r="AM7" s="128"/>
      <c r="AN7" s="127"/>
      <c r="AO7" s="129"/>
      <c r="AP7" s="45"/>
      <c r="AQ7" s="111"/>
      <c r="AR7" s="128"/>
      <c r="AS7" s="127"/>
      <c r="AT7" s="129"/>
      <c r="AU7" s="45"/>
      <c r="AV7" s="111"/>
      <c r="AW7" s="128"/>
      <c r="AX7" s="127"/>
      <c r="AY7" s="129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  <c r="CD7" s="45"/>
      <c r="CE7" s="45"/>
      <c r="CF7" s="45"/>
      <c r="CG7" s="45"/>
      <c r="CH7" s="45"/>
      <c r="CI7" s="45"/>
      <c r="CJ7" s="45"/>
      <c r="CK7" s="45"/>
      <c r="CL7" s="45"/>
      <c r="CM7" s="45"/>
      <c r="CN7" s="45"/>
      <c r="CO7" s="45"/>
      <c r="CP7" s="45"/>
      <c r="CQ7" s="45"/>
      <c r="CR7" s="45"/>
    </row>
    <row r="8" spans="1:100" s="37" customFormat="1" ht="16" customHeight="1" outlineLevel="1">
      <c r="A8" s="466" t="s">
        <v>112</v>
      </c>
      <c r="B8" s="236"/>
      <c r="C8" s="481" t="s">
        <v>172</v>
      </c>
      <c r="D8" s="128" t="e">
        <f>VLOOKUP($A8&amp;C$2,XL_DT_TD!$F:$K,2,)</f>
        <v>#N/A</v>
      </c>
      <c r="E8" s="127">
        <f>IFERROR(VLOOKUP($A8&amp;C$2,XL_DT_TD!$F:$K,3,0),0)</f>
        <v>0</v>
      </c>
      <c r="F8" s="482" t="e">
        <f t="shared" ca="1" si="0"/>
        <v>#N/A</v>
      </c>
      <c r="G8" s="45"/>
      <c r="H8" s="481" t="s">
        <v>172</v>
      </c>
      <c r="I8" s="128" t="e">
        <f>VLOOKUP($A8&amp;H$2,XL_DT_TD!$F:$K,2,)</f>
        <v>#N/A</v>
      </c>
      <c r="J8" s="127">
        <f>IFERROR(VLOOKUP($A8&amp;H$2,XL_DT_TD!$F:$K,3,0),0)</f>
        <v>0</v>
      </c>
      <c r="K8" s="482" t="e">
        <f t="shared" ca="1" si="1"/>
        <v>#N/A</v>
      </c>
      <c r="L8" s="45"/>
      <c r="M8" s="481" t="s">
        <v>172</v>
      </c>
      <c r="N8" s="128" t="e">
        <f>VLOOKUP($A8&amp;M$2,XL_DT_TD!$F:$K,2,)</f>
        <v>#N/A</v>
      </c>
      <c r="O8" s="127">
        <f>IFERROR(VLOOKUP($A8&amp;M$2,XL_DT_TD!$F:$K,3,0),0)</f>
        <v>0</v>
      </c>
      <c r="P8" s="482" t="e">
        <f t="shared" ca="1" si="2"/>
        <v>#N/A</v>
      </c>
      <c r="Q8" s="45"/>
      <c r="R8" s="481" t="s">
        <v>172</v>
      </c>
      <c r="S8" s="128" t="e">
        <f>VLOOKUP($A8&amp;R$2,XL_DT_TD!$F:$K,2,)</f>
        <v>#N/A</v>
      </c>
      <c r="T8" s="127">
        <f>IFERROR(VLOOKUP($A8&amp;R$2,XL_DT_TD!$F:$K,3,0),0)</f>
        <v>0</v>
      </c>
      <c r="U8" s="482" t="e">
        <f t="shared" ca="1" si="3"/>
        <v>#N/A</v>
      </c>
      <c r="V8" s="45"/>
      <c r="W8" s="481" t="s">
        <v>172</v>
      </c>
      <c r="X8" s="128" t="e">
        <f>VLOOKUP($A8&amp;W$2,XL_DT_TD!$F:$K,2,)</f>
        <v>#N/A</v>
      </c>
      <c r="Y8" s="127">
        <f>IFERROR(VLOOKUP($A8&amp;W$2,XL_DT_TD!$F:$K,3,0),0)</f>
        <v>0</v>
      </c>
      <c r="Z8" s="482" t="e">
        <f t="shared" ca="1" si="4"/>
        <v>#N/A</v>
      </c>
      <c r="AA8" s="45"/>
      <c r="AB8" s="481" t="s">
        <v>172</v>
      </c>
      <c r="AC8" s="128" t="e">
        <f>VLOOKUP($A8&amp;AB$2,XL_DT_TD!$F:$K,2,)</f>
        <v>#N/A</v>
      </c>
      <c r="AD8" s="127">
        <f>IFERROR(VLOOKUP($A8&amp;AB$2,XL_DT_TD!$F:$K,3,0),0)</f>
        <v>0</v>
      </c>
      <c r="AE8" s="129" t="e">
        <f t="shared" ca="1" si="5"/>
        <v>#N/A</v>
      </c>
      <c r="AF8" s="45"/>
      <c r="AG8" s="481" t="s">
        <v>172</v>
      </c>
      <c r="AH8" s="128" t="e">
        <f>VLOOKUP($A8&amp;AG$2,XL_DT_TD!$F:$K,2,)</f>
        <v>#N/A</v>
      </c>
      <c r="AI8" s="127">
        <f>IFERROR(VLOOKUP($A8&amp;AG$2,XL_DT_TD!$F:$K,3,0),0)</f>
        <v>0</v>
      </c>
      <c r="AJ8" s="129" t="e">
        <f t="shared" ca="1" si="6"/>
        <v>#N/A</v>
      </c>
      <c r="AK8" s="45"/>
      <c r="AL8" s="111"/>
      <c r="AM8" s="128"/>
      <c r="AN8" s="127"/>
      <c r="AO8" s="129"/>
      <c r="AP8" s="45"/>
      <c r="AQ8" s="111"/>
      <c r="AR8" s="128"/>
      <c r="AS8" s="127"/>
      <c r="AT8" s="129"/>
      <c r="AU8" s="45"/>
      <c r="AV8" s="111"/>
      <c r="AW8" s="128"/>
      <c r="AX8" s="127"/>
      <c r="AY8" s="129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  <c r="CD8" s="45"/>
      <c r="CE8" s="45"/>
      <c r="CF8" s="45"/>
      <c r="CG8" s="45"/>
      <c r="CH8" s="45"/>
      <c r="CI8" s="45"/>
      <c r="CJ8" s="45"/>
      <c r="CK8" s="45"/>
      <c r="CL8" s="45"/>
      <c r="CM8" s="45"/>
      <c r="CN8" s="45"/>
      <c r="CO8" s="45"/>
      <c r="CP8" s="45"/>
      <c r="CQ8" s="45"/>
      <c r="CR8" s="45"/>
    </row>
    <row r="9" spans="1:100" s="40" customFormat="1" ht="16" customHeight="1" outlineLevel="1">
      <c r="A9" s="465" t="s">
        <v>381</v>
      </c>
      <c r="B9" s="37"/>
      <c r="C9" s="481" t="s">
        <v>106</v>
      </c>
      <c r="D9" s="128" t="e">
        <f>VLOOKUP($A9&amp;C$2,XL_DT_TD!$F:$K,2,)</f>
        <v>#N/A</v>
      </c>
      <c r="E9" s="127">
        <f>IFERROR(VLOOKUP($A9&amp;C$2,XL_DT_TD!$F:$K,3,0),0)</f>
        <v>0</v>
      </c>
      <c r="F9" s="482" t="e">
        <f t="shared" ca="1" si="0"/>
        <v>#N/A</v>
      </c>
      <c r="G9" s="45"/>
      <c r="H9" s="481" t="s">
        <v>106</v>
      </c>
      <c r="I9" s="128" t="e">
        <f>VLOOKUP($A9&amp;H$2,XL_DT_TD!$F:$K,2,)</f>
        <v>#N/A</v>
      </c>
      <c r="J9" s="127">
        <f>IFERROR(VLOOKUP($A9&amp;H$2,XL_DT_TD!$F:$K,3,0),0)</f>
        <v>0</v>
      </c>
      <c r="K9" s="482" t="e">
        <f t="shared" ca="1" si="1"/>
        <v>#N/A</v>
      </c>
      <c r="L9" s="45"/>
      <c r="M9" s="481" t="s">
        <v>106</v>
      </c>
      <c r="N9" s="128" t="e">
        <f>VLOOKUP($A9&amp;M$2,XL_DT_TD!$F:$K,2,)</f>
        <v>#N/A</v>
      </c>
      <c r="O9" s="127">
        <f>IFERROR(VLOOKUP($A9&amp;M$2,XL_DT_TD!$F:$K,3,0),0)</f>
        <v>0</v>
      </c>
      <c r="P9" s="482" t="e">
        <f t="shared" ca="1" si="2"/>
        <v>#N/A</v>
      </c>
      <c r="Q9" s="45"/>
      <c r="R9" s="481" t="s">
        <v>106</v>
      </c>
      <c r="S9" s="128" t="e">
        <f>VLOOKUP($A9&amp;R$2,XL_DT_TD!$F:$K,2,)</f>
        <v>#N/A</v>
      </c>
      <c r="T9" s="127">
        <f>IFERROR(VLOOKUP($A9&amp;R$2,XL_DT_TD!$F:$K,3,0),0)</f>
        <v>0</v>
      </c>
      <c r="U9" s="482" t="e">
        <f t="shared" ca="1" si="3"/>
        <v>#N/A</v>
      </c>
      <c r="V9" s="45"/>
      <c r="W9" s="481" t="s">
        <v>106</v>
      </c>
      <c r="X9" s="128" t="e">
        <f>VLOOKUP($A9&amp;W$2,XL_DT_TD!$F:$K,2,)</f>
        <v>#N/A</v>
      </c>
      <c r="Y9" s="127">
        <f>IFERROR(VLOOKUP($A9&amp;W$2,XL_DT_TD!$F:$K,3,0),0)</f>
        <v>0</v>
      </c>
      <c r="Z9" s="482" t="e">
        <f t="shared" ca="1" si="4"/>
        <v>#N/A</v>
      </c>
      <c r="AA9" s="45"/>
      <c r="AB9" s="481" t="s">
        <v>106</v>
      </c>
      <c r="AC9" s="128" t="e">
        <f>VLOOKUP($A9&amp;AB$2,XL_DT_TD!$F:$K,2,)</f>
        <v>#N/A</v>
      </c>
      <c r="AD9" s="127">
        <f>IFERROR(VLOOKUP($A9&amp;AB$2,XL_DT_TD!$F:$K,3,0),0)</f>
        <v>0</v>
      </c>
      <c r="AE9" s="129" t="e">
        <f t="shared" ca="1" si="5"/>
        <v>#N/A</v>
      </c>
      <c r="AF9" s="45"/>
      <c r="AG9" s="481" t="s">
        <v>106</v>
      </c>
      <c r="AH9" s="128" t="e">
        <f>VLOOKUP($A9&amp;AG$2,XL_DT_TD!$F:$K,2,)</f>
        <v>#N/A</v>
      </c>
      <c r="AI9" s="127">
        <f>IFERROR(VLOOKUP($A9&amp;AG$2,XL_DT_TD!$F:$K,3,0),0)</f>
        <v>0</v>
      </c>
      <c r="AJ9" s="129" t="e">
        <f t="shared" ca="1" si="6"/>
        <v>#N/A</v>
      </c>
      <c r="AK9" s="45"/>
      <c r="AL9" s="111"/>
      <c r="AM9" s="128"/>
      <c r="AN9" s="127"/>
      <c r="AO9" s="129"/>
      <c r="AP9" s="45"/>
      <c r="AQ9" s="111"/>
      <c r="AR9" s="128"/>
      <c r="AS9" s="127"/>
      <c r="AT9" s="129"/>
      <c r="AU9" s="45"/>
      <c r="AV9" s="111"/>
      <c r="AW9" s="128"/>
      <c r="AX9" s="127"/>
      <c r="AY9" s="129"/>
      <c r="AZ9" s="45"/>
      <c r="BA9" s="45"/>
      <c r="BB9" s="45"/>
      <c r="BC9" s="45"/>
      <c r="BD9" s="45"/>
      <c r="BE9" s="45"/>
      <c r="BF9" s="45"/>
      <c r="BG9" s="45"/>
      <c r="BH9" s="45"/>
      <c r="BI9" s="45"/>
      <c r="BJ9" s="45"/>
      <c r="BK9" s="45"/>
      <c r="BL9" s="45"/>
      <c r="BM9" s="45"/>
      <c r="BN9" s="45"/>
      <c r="BO9" s="45"/>
      <c r="BP9" s="45"/>
      <c r="BQ9" s="45"/>
      <c r="BR9" s="45"/>
      <c r="BS9" s="45"/>
      <c r="BT9" s="45"/>
      <c r="BU9" s="45"/>
      <c r="BV9" s="45"/>
      <c r="BW9" s="45"/>
      <c r="BX9" s="45"/>
      <c r="BY9" s="45"/>
      <c r="BZ9" s="45"/>
      <c r="CA9" s="45"/>
      <c r="CB9" s="45"/>
      <c r="CC9" s="45"/>
      <c r="CD9" s="45"/>
      <c r="CE9" s="45"/>
      <c r="CF9" s="45"/>
      <c r="CG9" s="45"/>
      <c r="CH9" s="45"/>
      <c r="CI9" s="45"/>
      <c r="CJ9" s="45"/>
      <c r="CK9" s="45"/>
      <c r="CL9" s="45"/>
      <c r="CM9" s="45"/>
      <c r="CN9" s="45"/>
      <c r="CO9" s="45"/>
      <c r="CP9" s="45"/>
      <c r="CQ9" s="45"/>
      <c r="CR9" s="45"/>
    </row>
    <row r="10" spans="1:100" s="37" customFormat="1" ht="16" customHeight="1" outlineLevel="1">
      <c r="A10" s="466" t="s">
        <v>382</v>
      </c>
      <c r="C10" s="481" t="s">
        <v>105</v>
      </c>
      <c r="D10" s="128">
        <f>VLOOKUP($A10&amp;C$2,XL_DT_TD!$F:$K,2,)</f>
        <v>96.932000000000002</v>
      </c>
      <c r="E10" s="127">
        <f>IFERROR(VLOOKUP($A10&amp;C$2,XL_DT_TD!$F:$K,3,0),0)</f>
        <v>0</v>
      </c>
      <c r="F10" s="482">
        <f t="shared" ca="1" si="0"/>
        <v>0</v>
      </c>
      <c r="G10" s="45"/>
      <c r="H10" s="481" t="s">
        <v>105</v>
      </c>
      <c r="I10" s="128">
        <f>VLOOKUP($A10&amp;H$2,XL_DT_TD!$F:$K,2,)</f>
        <v>66.09</v>
      </c>
      <c r="J10" s="127">
        <f>IFERROR(VLOOKUP($A10&amp;H$2,XL_DT_TD!$F:$K,3,0),0)</f>
        <v>0</v>
      </c>
      <c r="K10" s="482">
        <f t="shared" ca="1" si="1"/>
        <v>0</v>
      </c>
      <c r="L10" s="45"/>
      <c r="M10" s="481" t="s">
        <v>105</v>
      </c>
      <c r="N10" s="128">
        <f>VLOOKUP($A10&amp;M$2,XL_DT_TD!$F:$K,2,)</f>
        <v>96.932000000000002</v>
      </c>
      <c r="O10" s="127">
        <f>IFERROR(VLOOKUP($A10&amp;M$2,XL_DT_TD!$F:$K,3,0),0)</f>
        <v>23.08</v>
      </c>
      <c r="P10" s="482">
        <f t="shared" ca="1" si="2"/>
        <v>1.1905253167168737</v>
      </c>
      <c r="Q10" s="45"/>
      <c r="R10" s="481" t="s">
        <v>105</v>
      </c>
      <c r="S10" s="128">
        <f>VLOOKUP($A10&amp;R$2,XL_DT_TD!$F:$K,2,)</f>
        <v>79.308000000000007</v>
      </c>
      <c r="T10" s="127">
        <f>IFERROR(VLOOKUP($A10&amp;R$2,XL_DT_TD!$F:$K,3,0),0)</f>
        <v>0</v>
      </c>
      <c r="U10" s="482">
        <f t="shared" ca="1" si="3"/>
        <v>0</v>
      </c>
      <c r="V10" s="45"/>
      <c r="W10" s="481" t="s">
        <v>105</v>
      </c>
      <c r="X10" s="128">
        <f>VLOOKUP($A10&amp;W$2,XL_DT_TD!$F:$K,2,)</f>
        <v>66.09</v>
      </c>
      <c r="Y10" s="127">
        <f>IFERROR(VLOOKUP($A10&amp;W$2,XL_DT_TD!$F:$K,3,0),0)</f>
        <v>11.78</v>
      </c>
      <c r="Z10" s="482">
        <f t="shared" ca="1" si="4"/>
        <v>0.89120895748222106</v>
      </c>
      <c r="AA10" s="45"/>
      <c r="AB10" s="481" t="s">
        <v>105</v>
      </c>
      <c r="AC10" s="128">
        <f>VLOOKUP($A10&amp;AB$2,XL_DT_TD!$F:$K,2,)</f>
        <v>44.06</v>
      </c>
      <c r="AD10" s="127">
        <f>IFERROR(VLOOKUP($A10&amp;AB$2,XL_DT_TD!$F:$K,3,0),0)</f>
        <v>4.82</v>
      </c>
      <c r="AE10" s="129">
        <f t="shared" ca="1" si="5"/>
        <v>0.54698138901497961</v>
      </c>
      <c r="AF10" s="45"/>
      <c r="AG10" s="481" t="s">
        <v>105</v>
      </c>
      <c r="AH10" s="128" t="e">
        <f>VLOOKUP($A10&amp;AG$2,XL_DT_TD!$F:$K,2,)</f>
        <v>#N/A</v>
      </c>
      <c r="AI10" s="127">
        <f>IFERROR(VLOOKUP($A10&amp;AG$2,XL_DT_TD!$F:$K,3,0),0)</f>
        <v>0</v>
      </c>
      <c r="AJ10" s="129" t="e">
        <f t="shared" ca="1" si="6"/>
        <v>#N/A</v>
      </c>
      <c r="AK10" s="45"/>
      <c r="AL10" s="111"/>
      <c r="AM10" s="128"/>
      <c r="AN10" s="127"/>
      <c r="AO10" s="129"/>
      <c r="AP10" s="45"/>
      <c r="AQ10" s="111"/>
      <c r="AR10" s="128"/>
      <c r="AS10" s="127"/>
      <c r="AT10" s="129"/>
      <c r="AU10" s="45"/>
      <c r="AV10" s="111"/>
      <c r="AW10" s="128"/>
      <c r="AX10" s="127"/>
      <c r="AY10" s="129"/>
      <c r="AZ10" s="45"/>
      <c r="BA10" s="45"/>
      <c r="BB10" s="45"/>
      <c r="BC10" s="45"/>
      <c r="BD10" s="45"/>
      <c r="BE10" s="45"/>
      <c r="BF10" s="45"/>
      <c r="BG10" s="45"/>
      <c r="BH10" s="45"/>
      <c r="BI10" s="45"/>
      <c r="BJ10" s="45"/>
      <c r="BK10" s="45"/>
      <c r="BL10" s="45"/>
      <c r="BM10" s="45"/>
      <c r="BN10" s="45"/>
      <c r="BO10" s="45"/>
      <c r="BP10" s="45"/>
      <c r="BQ10" s="45"/>
      <c r="BR10" s="45"/>
      <c r="BS10" s="45"/>
      <c r="BT10" s="45"/>
      <c r="BU10" s="45"/>
      <c r="BV10" s="45"/>
      <c r="BW10" s="45"/>
      <c r="BX10" s="45"/>
      <c r="BY10" s="45"/>
      <c r="BZ10" s="45"/>
      <c r="CA10" s="45"/>
      <c r="CB10" s="45"/>
      <c r="CC10" s="45"/>
      <c r="CD10" s="45"/>
      <c r="CE10" s="45"/>
      <c r="CF10" s="45"/>
      <c r="CG10" s="45"/>
      <c r="CH10" s="45"/>
      <c r="CI10" s="45"/>
      <c r="CJ10" s="45"/>
      <c r="CK10" s="45"/>
      <c r="CL10" s="45"/>
      <c r="CM10" s="45"/>
      <c r="CN10" s="45"/>
      <c r="CO10" s="45"/>
      <c r="CP10" s="45"/>
      <c r="CQ10" s="45"/>
      <c r="CR10" s="45"/>
    </row>
    <row r="11" spans="1:100" s="37" customFormat="1" ht="16" customHeight="1" outlineLevel="1">
      <c r="A11" s="465" t="s">
        <v>224</v>
      </c>
      <c r="B11" s="236"/>
      <c r="C11" s="481" t="s">
        <v>272</v>
      </c>
      <c r="D11" s="128">
        <f>VLOOKUP($A11&amp;C$2,XL_DT_TD!$F:$K,2,)</f>
        <v>146.542</v>
      </c>
      <c r="E11" s="127">
        <f>IFERROR(VLOOKUP($A11&amp;C$2,XL_DT_TD!$F:$K,3,0),0)</f>
        <v>17.66</v>
      </c>
      <c r="F11" s="482">
        <f t="shared" ca="1" si="0"/>
        <v>0.60255762852970474</v>
      </c>
      <c r="G11" s="45"/>
      <c r="H11" s="481" t="s">
        <v>272</v>
      </c>
      <c r="I11" s="128">
        <f>VLOOKUP($A11&amp;H$2,XL_DT_TD!$F:$K,2,)</f>
        <v>99.915000000000006</v>
      </c>
      <c r="J11" s="127">
        <f>IFERROR(VLOOKUP($A11&amp;H$2,XL_DT_TD!$F:$K,3,0),0)</f>
        <v>94.74</v>
      </c>
      <c r="K11" s="482">
        <f t="shared" ca="1" si="1"/>
        <v>4.7410298753940845</v>
      </c>
      <c r="L11" s="45"/>
      <c r="M11" s="481" t="s">
        <v>272</v>
      </c>
      <c r="N11" s="128">
        <f>VLOOKUP($A11&amp;M$2,XL_DT_TD!$F:$K,2,)</f>
        <v>119.898</v>
      </c>
      <c r="O11" s="127">
        <f>IFERROR(VLOOKUP($A11&amp;M$2,XL_DT_TD!$F:$K,3,0),0)</f>
        <v>60.87</v>
      </c>
      <c r="P11" s="482">
        <f t="shared" ca="1" si="2"/>
        <v>2.5384076464995244</v>
      </c>
      <c r="Q11" s="45"/>
      <c r="R11" s="481" t="s">
        <v>272</v>
      </c>
      <c r="S11" s="128">
        <f>VLOOKUP($A11&amp;R$2,XL_DT_TD!$F:$K,2,)</f>
        <v>119.898</v>
      </c>
      <c r="T11" s="127">
        <f>IFERROR(VLOOKUP($A11&amp;R$2,XL_DT_TD!$F:$K,3,0),0)</f>
        <v>34.67</v>
      </c>
      <c r="U11" s="482">
        <f t="shared" ca="1" si="3"/>
        <v>1.4458122737660344</v>
      </c>
      <c r="V11" s="45"/>
      <c r="W11" s="481" t="s">
        <v>272</v>
      </c>
      <c r="X11" s="128">
        <f>VLOOKUP($A11&amp;W$2,XL_DT_TD!$F:$K,2,)</f>
        <v>99.915000000000006</v>
      </c>
      <c r="Y11" s="127">
        <f>IFERROR(VLOOKUP($A11&amp;W$2,XL_DT_TD!$F:$K,3,0),0)</f>
        <v>25.13</v>
      </c>
      <c r="Z11" s="482">
        <f t="shared" ca="1" si="4"/>
        <v>1.2575689335935545</v>
      </c>
      <c r="AA11" s="45"/>
      <c r="AB11" s="481" t="s">
        <v>272</v>
      </c>
      <c r="AC11" s="128">
        <f>VLOOKUP($A11&amp;AB$2,XL_DT_TD!$F:$K,2,)</f>
        <v>66.61</v>
      </c>
      <c r="AD11" s="127">
        <f>IFERROR(VLOOKUP($A11&amp;AB$2,XL_DT_TD!$F:$K,3,0),0)</f>
        <v>19.21</v>
      </c>
      <c r="AE11" s="129">
        <f t="shared" ca="1" si="5"/>
        <v>1.4419756793274283</v>
      </c>
      <c r="AF11" s="45"/>
      <c r="AG11" s="481" t="s">
        <v>272</v>
      </c>
      <c r="AH11" s="128" t="e">
        <f>VLOOKUP($A11&amp;AG$2,XL_DT_TD!$F:$K,2,)</f>
        <v>#N/A</v>
      </c>
      <c r="AI11" s="127">
        <f>IFERROR(VLOOKUP($A11&amp;AG$2,XL_DT_TD!$F:$K,3,0),0)</f>
        <v>0</v>
      </c>
      <c r="AJ11" s="129" t="e">
        <f t="shared" ca="1" si="6"/>
        <v>#N/A</v>
      </c>
      <c r="AK11" s="45"/>
      <c r="AL11" s="111"/>
      <c r="AM11" s="128"/>
      <c r="AN11" s="127"/>
      <c r="AO11" s="129"/>
      <c r="AP11" s="45"/>
      <c r="AQ11" s="111"/>
      <c r="AR11" s="128"/>
      <c r="AS11" s="127"/>
      <c r="AT11" s="129"/>
      <c r="AU11" s="45"/>
      <c r="AV11" s="111"/>
      <c r="AW11" s="128"/>
      <c r="AX11" s="127"/>
      <c r="AY11" s="129"/>
      <c r="AZ11" s="45"/>
      <c r="BA11" s="45"/>
      <c r="BB11" s="45"/>
      <c r="BC11" s="45"/>
      <c r="BD11" s="45"/>
      <c r="BE11" s="45"/>
      <c r="BF11" s="45"/>
      <c r="BG11" s="45"/>
      <c r="BH11" s="45"/>
      <c r="BI11" s="45"/>
      <c r="BJ11" s="45"/>
      <c r="BK11" s="45"/>
      <c r="BL11" s="45"/>
      <c r="BM11" s="45"/>
      <c r="BN11" s="45"/>
      <c r="BO11" s="45"/>
      <c r="BP11" s="45"/>
      <c r="BQ11" s="45"/>
      <c r="BR11" s="45"/>
      <c r="BS11" s="45"/>
      <c r="BT11" s="45"/>
      <c r="BU11" s="45"/>
      <c r="BV11" s="45"/>
      <c r="BW11" s="45"/>
      <c r="BX11" s="45"/>
      <c r="BY11" s="45"/>
      <c r="BZ11" s="45"/>
      <c r="CA11" s="45"/>
      <c r="CB11" s="45"/>
      <c r="CC11" s="45"/>
      <c r="CD11" s="45"/>
      <c r="CE11" s="45"/>
      <c r="CF11" s="45"/>
      <c r="CG11" s="45"/>
      <c r="CH11" s="45"/>
      <c r="CI11" s="45"/>
      <c r="CJ11" s="45"/>
      <c r="CK11" s="45"/>
      <c r="CL11" s="45"/>
      <c r="CM11" s="45"/>
      <c r="CN11" s="45"/>
      <c r="CO11" s="45"/>
      <c r="CP11" s="45"/>
      <c r="CQ11" s="45"/>
      <c r="CR11" s="45"/>
    </row>
    <row r="12" spans="1:100" s="37" customFormat="1" ht="16" customHeight="1" outlineLevel="1">
      <c r="A12" s="466" t="s">
        <v>233</v>
      </c>
      <c r="B12" s="236"/>
      <c r="C12" s="481" t="s">
        <v>273</v>
      </c>
      <c r="D12" s="128">
        <f>VLOOKUP($A12&amp;C$2,XL_DT_TD!$F:$K,2,)</f>
        <v>178.00200000000001</v>
      </c>
      <c r="E12" s="127">
        <f>IFERROR(VLOOKUP($A12&amp;C$2,XL_DT_TD!$F:$K,3,0),0)</f>
        <v>66.78</v>
      </c>
      <c r="F12" s="482">
        <f t="shared" ca="1" si="0"/>
        <v>1.8758216199817981</v>
      </c>
      <c r="G12" s="45"/>
      <c r="H12" s="481" t="s">
        <v>273</v>
      </c>
      <c r="I12" s="128">
        <f>VLOOKUP($A12&amp;H$2,XL_DT_TD!$F:$K,2,)</f>
        <v>145.63800000000001</v>
      </c>
      <c r="J12" s="127">
        <f>IFERROR(VLOOKUP($A12&amp;H$2,XL_DT_TD!$F:$K,3,0),0)</f>
        <v>14.14</v>
      </c>
      <c r="K12" s="482">
        <f t="shared" ca="1" si="1"/>
        <v>0.48545022590258036</v>
      </c>
      <c r="L12" s="45"/>
      <c r="M12" s="481" t="s">
        <v>273</v>
      </c>
      <c r="N12" s="128">
        <f>VLOOKUP($A12&amp;M$2,XL_DT_TD!$F:$K,2,)</f>
        <v>178.00200000000001</v>
      </c>
      <c r="O12" s="127">
        <f>IFERROR(VLOOKUP($A12&amp;M$2,XL_DT_TD!$F:$K,3,0),0)</f>
        <v>20.11</v>
      </c>
      <c r="P12" s="482">
        <f t="shared" ca="1" si="2"/>
        <v>0.56488129346861271</v>
      </c>
      <c r="Q12" s="45"/>
      <c r="R12" s="481" t="s">
        <v>273</v>
      </c>
      <c r="S12" s="128">
        <f>VLOOKUP($A12&amp;R$2,XL_DT_TD!$F:$K,2,)</f>
        <v>145.63800000000001</v>
      </c>
      <c r="T12" s="127">
        <f>IFERROR(VLOOKUP($A12&amp;R$2,XL_DT_TD!$F:$K,3,0),0)</f>
        <v>0</v>
      </c>
      <c r="U12" s="482">
        <f t="shared" ca="1" si="3"/>
        <v>0</v>
      </c>
      <c r="V12" s="45"/>
      <c r="W12" s="481" t="s">
        <v>273</v>
      </c>
      <c r="X12" s="128">
        <f>VLOOKUP($A12&amp;W$2,XL_DT_TD!$F:$K,2,)</f>
        <v>178.00200000000001</v>
      </c>
      <c r="Y12" s="127">
        <f>IFERROR(VLOOKUP($A12&amp;W$2,XL_DT_TD!$F:$K,3,0),0)</f>
        <v>-15.84</v>
      </c>
      <c r="Z12" s="482">
        <f t="shared" ca="1" si="4"/>
        <v>-0.44493882091212456</v>
      </c>
      <c r="AA12" s="45"/>
      <c r="AB12" s="481" t="s">
        <v>273</v>
      </c>
      <c r="AC12" s="128">
        <f>VLOOKUP($A12&amp;AB$2,XL_DT_TD!$F:$K,2,)</f>
        <v>80.910000000000011</v>
      </c>
      <c r="AD12" s="127">
        <f>IFERROR(VLOOKUP($A12&amp;AB$2,XL_DT_TD!$F:$K,3,0),0)</f>
        <v>0</v>
      </c>
      <c r="AE12" s="129">
        <f t="shared" ca="1" si="5"/>
        <v>0</v>
      </c>
      <c r="AF12" s="45"/>
      <c r="AG12" s="481" t="s">
        <v>273</v>
      </c>
      <c r="AH12" s="128" t="e">
        <f>VLOOKUP($A12&amp;AG$2,XL_DT_TD!$F:$K,2,)</f>
        <v>#N/A</v>
      </c>
      <c r="AI12" s="127">
        <f>IFERROR(VLOOKUP($A12&amp;AG$2,XL_DT_TD!$F:$K,3,0),0)</f>
        <v>0</v>
      </c>
      <c r="AJ12" s="129" t="e">
        <f t="shared" ca="1" si="6"/>
        <v>#N/A</v>
      </c>
      <c r="AK12" s="45"/>
      <c r="AL12" s="111"/>
      <c r="AM12" s="128"/>
      <c r="AN12" s="127"/>
      <c r="AO12" s="129"/>
      <c r="AP12" s="45"/>
      <c r="AQ12" s="111"/>
      <c r="AR12" s="128"/>
      <c r="AS12" s="127"/>
      <c r="AT12" s="129"/>
      <c r="AU12" s="45"/>
      <c r="AV12" s="111"/>
      <c r="AW12" s="128"/>
      <c r="AX12" s="127"/>
      <c r="AY12" s="129"/>
      <c r="AZ12" s="45"/>
      <c r="BA12" s="45"/>
      <c r="BB12" s="45"/>
      <c r="BC12" s="45"/>
      <c r="BD12" s="45"/>
      <c r="BE12" s="45"/>
      <c r="BF12" s="45"/>
      <c r="BG12" s="45"/>
      <c r="BH12" s="45"/>
      <c r="BI12" s="45"/>
      <c r="BJ12" s="45"/>
      <c r="BK12" s="45"/>
      <c r="BL12" s="45"/>
      <c r="BM12" s="45"/>
      <c r="BN12" s="45"/>
      <c r="BO12" s="45"/>
      <c r="BP12" s="45"/>
      <c r="BQ12" s="45"/>
      <c r="BR12" s="45"/>
      <c r="BS12" s="45"/>
      <c r="BT12" s="45"/>
      <c r="BU12" s="45"/>
      <c r="BV12" s="45"/>
      <c r="BW12" s="45"/>
      <c r="BX12" s="45"/>
      <c r="BY12" s="45"/>
      <c r="BZ12" s="45"/>
      <c r="CA12" s="45"/>
      <c r="CB12" s="45"/>
      <c r="CC12" s="45"/>
      <c r="CD12" s="45"/>
      <c r="CE12" s="45"/>
      <c r="CF12" s="45"/>
      <c r="CG12" s="45"/>
      <c r="CH12" s="45"/>
      <c r="CI12" s="45"/>
      <c r="CJ12" s="45"/>
      <c r="CK12" s="45"/>
      <c r="CL12" s="45"/>
      <c r="CM12" s="45"/>
      <c r="CN12" s="45"/>
      <c r="CO12" s="45"/>
      <c r="CP12" s="45"/>
      <c r="CQ12" s="45"/>
      <c r="CR12" s="45"/>
    </row>
    <row r="13" spans="1:100" s="37" customFormat="1" ht="16" customHeight="1" outlineLevel="1">
      <c r="A13" s="465" t="s">
        <v>268</v>
      </c>
      <c r="B13" s="236"/>
      <c r="C13" s="481" t="s">
        <v>173</v>
      </c>
      <c r="D13" s="128">
        <f>VLOOKUP($A13&amp;C$2,XL_DT_TD!$F:$K,2,)</f>
        <v>202.60799999999998</v>
      </c>
      <c r="E13" s="127">
        <f>IFERROR(VLOOKUP($A13&amp;C$2,XL_DT_TD!$F:$K,3,0),0)</f>
        <v>63.69</v>
      </c>
      <c r="F13" s="482">
        <f t="shared" ca="1" si="0"/>
        <v>1.5717543236199953</v>
      </c>
      <c r="G13" s="45"/>
      <c r="H13" s="481" t="s">
        <v>173</v>
      </c>
      <c r="I13" s="128">
        <f>VLOOKUP($A13&amp;H$2,XL_DT_TD!$F:$K,2,)</f>
        <v>202.60799999999998</v>
      </c>
      <c r="J13" s="127">
        <f>IFERROR(VLOOKUP($A13&amp;H$2,XL_DT_TD!$F:$K,3,0),0)</f>
        <v>18.54</v>
      </c>
      <c r="K13" s="482">
        <f t="shared" ca="1" si="1"/>
        <v>0.45753375977256572</v>
      </c>
      <c r="L13" s="45"/>
      <c r="M13" s="481" t="s">
        <v>173</v>
      </c>
      <c r="N13" s="128">
        <f>VLOOKUP($A13&amp;M$2,XL_DT_TD!$F:$K,2,)</f>
        <v>168.83999999999997</v>
      </c>
      <c r="O13" s="127">
        <f>IFERROR(VLOOKUP($A13&amp;M$2,XL_DT_TD!$F:$K,3,0),0)</f>
        <v>26.05</v>
      </c>
      <c r="P13" s="482">
        <f t="shared" ca="1" si="2"/>
        <v>0.77144041696280519</v>
      </c>
      <c r="Q13" s="45"/>
      <c r="R13" s="481" t="s">
        <v>173</v>
      </c>
      <c r="S13" s="128">
        <f>VLOOKUP($A13&amp;R$2,XL_DT_TD!$F:$K,2,)</f>
        <v>247.63199999999998</v>
      </c>
      <c r="T13" s="127">
        <f>IFERROR(VLOOKUP($A13&amp;R$2,XL_DT_TD!$F:$K,3,0),0)</f>
        <v>16.510000000000002</v>
      </c>
      <c r="U13" s="482">
        <f t="shared" ca="1" si="3"/>
        <v>0.33335756283517487</v>
      </c>
      <c r="V13" s="45"/>
      <c r="W13" s="481" t="s">
        <v>173</v>
      </c>
      <c r="X13" s="128">
        <f>VLOOKUP($A13&amp;W$2,XL_DT_TD!$F:$K,2,)</f>
        <v>202.60799999999998</v>
      </c>
      <c r="Y13" s="127">
        <f>IFERROR(VLOOKUP($A13&amp;W$2,XL_DT_TD!$F:$K,3,0),0)</f>
        <v>32.479999999999997</v>
      </c>
      <c r="Z13" s="482">
        <f t="shared" ca="1" si="4"/>
        <v>0.80154781647318973</v>
      </c>
      <c r="AA13" s="45"/>
      <c r="AB13" s="481" t="s">
        <v>173</v>
      </c>
      <c r="AC13" s="128">
        <f>VLOOKUP($A13&amp;AB$2,XL_DT_TD!$F:$K,2,)</f>
        <v>112.56</v>
      </c>
      <c r="AD13" s="127">
        <f>IFERROR(VLOOKUP($A13&amp;AB$2,XL_DT_TD!$F:$K,3,0),0)</f>
        <v>24.88</v>
      </c>
      <c r="AE13" s="129">
        <f t="shared" ca="1" si="5"/>
        <v>1.105188343994314</v>
      </c>
      <c r="AF13" s="45"/>
      <c r="AG13" s="481" t="s">
        <v>173</v>
      </c>
      <c r="AH13" s="128" t="e">
        <f>VLOOKUP($A13&amp;AG$2,XL_DT_TD!$F:$K,2,)</f>
        <v>#N/A</v>
      </c>
      <c r="AI13" s="127">
        <f>IFERROR(VLOOKUP($A13&amp;AG$2,XL_DT_TD!$F:$K,3,0),0)</f>
        <v>0</v>
      </c>
      <c r="AJ13" s="129" t="e">
        <f t="shared" ca="1" si="6"/>
        <v>#N/A</v>
      </c>
      <c r="AK13" s="45"/>
      <c r="AL13" s="111"/>
      <c r="AM13" s="128"/>
      <c r="AN13" s="127"/>
      <c r="AO13" s="129"/>
      <c r="AP13" s="45"/>
      <c r="AQ13" s="111"/>
      <c r="AR13" s="128"/>
      <c r="AS13" s="127"/>
      <c r="AT13" s="129"/>
      <c r="AU13" s="45"/>
      <c r="AV13" s="111"/>
      <c r="AW13" s="128"/>
      <c r="AX13" s="127"/>
      <c r="AY13" s="129"/>
      <c r="AZ13" s="45"/>
      <c r="BA13" s="45"/>
      <c r="BB13" s="45"/>
      <c r="BC13" s="45"/>
      <c r="BD13" s="45"/>
      <c r="BE13" s="45"/>
      <c r="BF13" s="45"/>
      <c r="BG13" s="45"/>
      <c r="BH13" s="45"/>
      <c r="BI13" s="45"/>
      <c r="BJ13" s="45"/>
      <c r="BK13" s="45"/>
      <c r="BL13" s="45"/>
      <c r="BM13" s="45"/>
      <c r="BN13" s="45"/>
      <c r="BO13" s="45"/>
      <c r="BP13" s="45"/>
      <c r="BQ13" s="45"/>
      <c r="BR13" s="45"/>
      <c r="BS13" s="45"/>
      <c r="BT13" s="45"/>
      <c r="BU13" s="45"/>
      <c r="BV13" s="45"/>
      <c r="BW13" s="45"/>
      <c r="BX13" s="45"/>
      <c r="BY13" s="45"/>
      <c r="BZ13" s="45"/>
      <c r="CA13" s="45"/>
      <c r="CB13" s="45"/>
      <c r="CC13" s="45"/>
      <c r="CD13" s="45"/>
      <c r="CE13" s="45"/>
      <c r="CF13" s="45"/>
      <c r="CG13" s="45"/>
      <c r="CH13" s="45"/>
      <c r="CI13" s="45"/>
      <c r="CJ13" s="45"/>
      <c r="CK13" s="45"/>
      <c r="CL13" s="45"/>
      <c r="CM13" s="45"/>
      <c r="CN13" s="45"/>
      <c r="CO13" s="45"/>
      <c r="CP13" s="45"/>
      <c r="CQ13" s="45"/>
      <c r="CR13" s="45"/>
    </row>
    <row r="14" spans="1:100" s="37" customFormat="1" ht="16" customHeight="1" outlineLevel="1">
      <c r="A14" s="466" t="s">
        <v>222</v>
      </c>
      <c r="B14" s="236"/>
      <c r="C14" s="481" t="s">
        <v>234</v>
      </c>
      <c r="D14" s="128">
        <f>VLOOKUP($A14&amp;C$2,XL_DT_TD!$F:$K,2,)</f>
        <v>246.95</v>
      </c>
      <c r="E14" s="127">
        <f>IFERROR(VLOOKUP($A14&amp;C$2,XL_DT_TD!$F:$K,3,0),0)</f>
        <v>47.33</v>
      </c>
      <c r="F14" s="482">
        <f t="shared" ca="1" si="0"/>
        <v>0.95829115205507187</v>
      </c>
      <c r="G14" s="45"/>
      <c r="H14" s="481" t="s">
        <v>234</v>
      </c>
      <c r="I14" s="128">
        <f>VLOOKUP($A14&amp;H$2,XL_DT_TD!$F:$K,2,)</f>
        <v>202.04999999999998</v>
      </c>
      <c r="J14" s="127">
        <f>IFERROR(VLOOKUP($A14&amp;H$2,XL_DT_TD!$F:$K,3,0),0)</f>
        <v>31.99</v>
      </c>
      <c r="K14" s="482">
        <f t="shared" ca="1" si="1"/>
        <v>0.79163573372927498</v>
      </c>
      <c r="L14" s="45"/>
      <c r="M14" s="481" t="s">
        <v>234</v>
      </c>
      <c r="N14" s="128">
        <f>VLOOKUP($A14&amp;M$2,XL_DT_TD!$F:$K,2,)</f>
        <v>202.04999999999998</v>
      </c>
      <c r="O14" s="127">
        <f>IFERROR(VLOOKUP($A14&amp;M$2,XL_DT_TD!$F:$K,3,0),0)</f>
        <v>17.59</v>
      </c>
      <c r="P14" s="482">
        <f t="shared" ca="1" si="2"/>
        <v>0.43528829497649102</v>
      </c>
      <c r="Q14" s="45"/>
      <c r="R14" s="481" t="s">
        <v>234</v>
      </c>
      <c r="S14" s="128">
        <f>VLOOKUP($A14&amp;R$2,XL_DT_TD!$F:$K,2,)</f>
        <v>202.04999999999998</v>
      </c>
      <c r="T14" s="127">
        <f>IFERROR(VLOOKUP($A14&amp;R$2,XL_DT_TD!$F:$K,3,0),0)</f>
        <v>11.65</v>
      </c>
      <c r="U14" s="482">
        <f t="shared" ca="1" si="3"/>
        <v>0.28829497649096758</v>
      </c>
      <c r="V14" s="45"/>
      <c r="W14" s="481" t="s">
        <v>234</v>
      </c>
      <c r="X14" s="128">
        <f>VLOOKUP($A14&amp;W$2,XL_DT_TD!$F:$K,2,)</f>
        <v>168.375</v>
      </c>
      <c r="Y14" s="127">
        <f>IFERROR(VLOOKUP($A14&amp;W$2,XL_DT_TD!$F:$K,3,0),0)</f>
        <v>16.61</v>
      </c>
      <c r="Z14" s="482">
        <f t="shared" ca="1" si="4"/>
        <v>0.49324424647364512</v>
      </c>
      <c r="AA14" s="45"/>
      <c r="AB14" s="481" t="s">
        <v>234</v>
      </c>
      <c r="AC14" s="128">
        <f>VLOOKUP($A14&amp;AB$2,XL_DT_TD!$F:$K,2,)</f>
        <v>112.25</v>
      </c>
      <c r="AD14" s="127">
        <f>IFERROR(VLOOKUP($A14&amp;AB$2,XL_DT_TD!$F:$K,3,0),0)</f>
        <v>4.1900000000000004</v>
      </c>
      <c r="AE14" s="129">
        <f t="shared" ca="1" si="5"/>
        <v>0.1866369710467706</v>
      </c>
      <c r="AF14" s="45"/>
      <c r="AG14" s="481" t="s">
        <v>234</v>
      </c>
      <c r="AH14" s="128" t="e">
        <f>VLOOKUP($A14&amp;AG$2,XL_DT_TD!$F:$K,2,)</f>
        <v>#N/A</v>
      </c>
      <c r="AI14" s="127">
        <f>IFERROR(VLOOKUP($A14&amp;AG$2,XL_DT_TD!$F:$K,3,0),0)</f>
        <v>0</v>
      </c>
      <c r="AJ14" s="129" t="e">
        <f t="shared" ca="1" si="6"/>
        <v>#N/A</v>
      </c>
      <c r="AK14" s="45"/>
      <c r="AL14" s="111"/>
      <c r="AM14" s="128"/>
      <c r="AN14" s="127"/>
      <c r="AO14" s="129"/>
      <c r="AP14" s="45"/>
      <c r="AQ14" s="111"/>
      <c r="AR14" s="128"/>
      <c r="AS14" s="127"/>
      <c r="AT14" s="129"/>
      <c r="AU14" s="45"/>
      <c r="AV14" s="111"/>
      <c r="AW14" s="128"/>
      <c r="AX14" s="127"/>
      <c r="AY14" s="129"/>
      <c r="AZ14" s="45"/>
      <c r="BA14" s="45"/>
      <c r="BB14" s="45"/>
      <c r="BC14" s="45"/>
      <c r="BD14" s="45"/>
      <c r="BE14" s="45"/>
      <c r="BF14" s="45"/>
      <c r="BG14" s="45"/>
      <c r="BH14" s="45"/>
      <c r="BI14" s="45"/>
      <c r="BJ14" s="45"/>
      <c r="BK14" s="45"/>
      <c r="BL14" s="45"/>
      <c r="BM14" s="45"/>
      <c r="BN14" s="45"/>
      <c r="BO14" s="45"/>
      <c r="BP14" s="45"/>
      <c r="BQ14" s="45"/>
      <c r="BR14" s="45"/>
      <c r="BS14" s="45"/>
      <c r="BT14" s="45"/>
      <c r="BU14" s="45"/>
      <c r="BV14" s="45"/>
      <c r="BW14" s="45"/>
      <c r="BX14" s="45"/>
      <c r="BY14" s="45"/>
      <c r="BZ14" s="45"/>
      <c r="CA14" s="45"/>
      <c r="CB14" s="45"/>
      <c r="CC14" s="45"/>
      <c r="CD14" s="45"/>
      <c r="CE14" s="45"/>
      <c r="CF14" s="45"/>
      <c r="CG14" s="45"/>
      <c r="CH14" s="45"/>
      <c r="CI14" s="45"/>
      <c r="CJ14" s="45"/>
      <c r="CK14" s="45"/>
      <c r="CL14" s="45"/>
      <c r="CM14" s="45"/>
      <c r="CN14" s="45"/>
      <c r="CO14" s="45"/>
      <c r="CP14" s="45"/>
      <c r="CQ14" s="45"/>
      <c r="CR14" s="45"/>
    </row>
    <row r="15" spans="1:100" s="37" customFormat="1" ht="16" customHeight="1" outlineLevel="1">
      <c r="A15" s="465" t="s">
        <v>384</v>
      </c>
      <c r="B15" s="236"/>
      <c r="C15" s="481" t="s">
        <v>274</v>
      </c>
      <c r="D15" s="128">
        <f>VLOOKUP($A15&amp;C$2,XL_DT_TD!$F:$K,2,)</f>
        <v>53.503999999999998</v>
      </c>
      <c r="E15" s="127">
        <f>IFERROR(VLOOKUP($A15&amp;C$2,XL_DT_TD!$F:$K,3,0),0)</f>
        <v>4.74</v>
      </c>
      <c r="F15" s="482">
        <f t="shared" ca="1" si="0"/>
        <v>0.44295753588516751</v>
      </c>
      <c r="G15" s="45"/>
      <c r="H15" s="481" t="s">
        <v>274</v>
      </c>
      <c r="I15" s="128">
        <f>VLOOKUP($A15&amp;H$2,XL_DT_TD!$F:$K,2,)</f>
        <v>43.775999999999996</v>
      </c>
      <c r="J15" s="127">
        <f>IFERROR(VLOOKUP($A15&amp;H$2,XL_DT_TD!$F:$K,3,0),0)</f>
        <v>15.17</v>
      </c>
      <c r="K15" s="482">
        <f t="shared" ca="1" si="1"/>
        <v>1.7326845760233918</v>
      </c>
      <c r="L15" s="45"/>
      <c r="M15" s="481" t="s">
        <v>274</v>
      </c>
      <c r="N15" s="128">
        <f>VLOOKUP($A15&amp;M$2,XL_DT_TD!$F:$K,2,)</f>
        <v>43.775999999999996</v>
      </c>
      <c r="O15" s="127">
        <f>IFERROR(VLOOKUP($A15&amp;M$2,XL_DT_TD!$F:$K,3,0),0)</f>
        <v>4.0599999999999996</v>
      </c>
      <c r="P15" s="482">
        <f t="shared" ca="1" si="2"/>
        <v>0.46372441520467844</v>
      </c>
      <c r="Q15" s="45"/>
      <c r="R15" s="481" t="s">
        <v>274</v>
      </c>
      <c r="S15" s="128">
        <f>VLOOKUP($A15&amp;R$2,XL_DT_TD!$F:$K,2,)</f>
        <v>36.479999999999997</v>
      </c>
      <c r="T15" s="127">
        <f>IFERROR(VLOOKUP($A15&amp;R$2,XL_DT_TD!$F:$K,3,0),0)</f>
        <v>0</v>
      </c>
      <c r="U15" s="482">
        <f t="shared" ca="1" si="3"/>
        <v>0</v>
      </c>
      <c r="V15" s="45"/>
      <c r="W15" s="481" t="s">
        <v>274</v>
      </c>
      <c r="X15" s="128">
        <f>VLOOKUP($A15&amp;W$2,XL_DT_TD!$F:$K,2,)</f>
        <v>36.479999999999997</v>
      </c>
      <c r="Y15" s="127">
        <f>IFERROR(VLOOKUP($A15&amp;W$2,XL_DT_TD!$F:$K,3,0),0)</f>
        <v>10.34</v>
      </c>
      <c r="Z15" s="482">
        <f t="shared" ca="1" si="4"/>
        <v>1.4172149122807018</v>
      </c>
      <c r="AA15" s="45"/>
      <c r="AB15" s="481" t="s">
        <v>274</v>
      </c>
      <c r="AC15" s="128">
        <f>VLOOKUP($A15&amp;AB$2,XL_DT_TD!$F:$K,2,)</f>
        <v>24.32</v>
      </c>
      <c r="AD15" s="127">
        <f>IFERROR(VLOOKUP($A15&amp;AB$2,XL_DT_TD!$F:$K,3,0),0)</f>
        <v>0</v>
      </c>
      <c r="AE15" s="129">
        <f t="shared" ca="1" si="5"/>
        <v>0</v>
      </c>
      <c r="AF15" s="45"/>
      <c r="AG15" s="481" t="s">
        <v>274</v>
      </c>
      <c r="AH15" s="128" t="e">
        <f>VLOOKUP($A15&amp;AG$2,XL_DT_TD!$F:$K,2,)</f>
        <v>#N/A</v>
      </c>
      <c r="AI15" s="127">
        <f>IFERROR(VLOOKUP($A15&amp;AG$2,XL_DT_TD!$F:$K,3,0),0)</f>
        <v>0</v>
      </c>
      <c r="AJ15" s="129" t="e">
        <f t="shared" ca="1" si="6"/>
        <v>#N/A</v>
      </c>
      <c r="AK15" s="45"/>
      <c r="AL15" s="111"/>
      <c r="AM15" s="128"/>
      <c r="AN15" s="127"/>
      <c r="AO15" s="129"/>
      <c r="AP15" s="45"/>
      <c r="AQ15" s="111"/>
      <c r="AR15" s="128"/>
      <c r="AS15" s="127"/>
      <c r="AT15" s="129"/>
      <c r="AU15" s="45"/>
      <c r="AV15" s="111"/>
      <c r="AW15" s="128"/>
      <c r="AX15" s="127"/>
      <c r="AY15" s="129"/>
      <c r="AZ15" s="45"/>
      <c r="BA15" s="45"/>
      <c r="BB15" s="45"/>
      <c r="BC15" s="45"/>
      <c r="BD15" s="45"/>
      <c r="BE15" s="45"/>
      <c r="BF15" s="45"/>
      <c r="BG15" s="45"/>
      <c r="BH15" s="45"/>
      <c r="BI15" s="45"/>
      <c r="BJ15" s="45"/>
      <c r="BK15" s="45"/>
      <c r="BL15" s="45"/>
      <c r="BM15" s="45"/>
      <c r="BN15" s="45"/>
      <c r="BO15" s="45"/>
      <c r="BP15" s="45"/>
      <c r="BQ15" s="45"/>
      <c r="BR15" s="45"/>
      <c r="BS15" s="45"/>
      <c r="BT15" s="45"/>
      <c r="BU15" s="45"/>
      <c r="BV15" s="45"/>
      <c r="BW15" s="45"/>
      <c r="BX15" s="45"/>
      <c r="BY15" s="45"/>
      <c r="BZ15" s="45"/>
      <c r="CA15" s="45"/>
      <c r="CB15" s="45"/>
      <c r="CC15" s="45"/>
      <c r="CD15" s="45"/>
      <c r="CE15" s="45"/>
      <c r="CF15" s="45"/>
      <c r="CG15" s="45"/>
      <c r="CH15" s="45"/>
      <c r="CI15" s="45"/>
      <c r="CJ15" s="45"/>
      <c r="CK15" s="45"/>
      <c r="CL15" s="45"/>
      <c r="CM15" s="45"/>
      <c r="CN15" s="45"/>
      <c r="CO15" s="45"/>
      <c r="CP15" s="45"/>
      <c r="CQ15" s="45"/>
      <c r="CR15" s="45"/>
    </row>
    <row r="16" spans="1:100" s="37" customFormat="1" ht="16" customHeight="1" outlineLevel="1">
      <c r="A16" s="466" t="s">
        <v>267</v>
      </c>
      <c r="B16" s="236"/>
      <c r="C16" s="481" t="s">
        <v>275</v>
      </c>
      <c r="D16" s="128">
        <f>VLOOKUP($A16&amp;C$2,XL_DT_TD!$F:$K,2,)</f>
        <v>15.311999999999999</v>
      </c>
      <c r="E16" s="127">
        <f>IFERROR(VLOOKUP($A16&amp;C$2,XL_DT_TD!$F:$K,3,0),0)</f>
        <v>0</v>
      </c>
      <c r="F16" s="482">
        <f t="shared" ca="1" si="0"/>
        <v>0</v>
      </c>
      <c r="G16" s="45"/>
      <c r="H16" s="481" t="s">
        <v>275</v>
      </c>
      <c r="I16" s="128">
        <f>VLOOKUP($A16&amp;H$2,XL_DT_TD!$F:$K,2,)</f>
        <v>15.311999999999999</v>
      </c>
      <c r="J16" s="127">
        <f>IFERROR(VLOOKUP($A16&amp;H$2,XL_DT_TD!$F:$K,3,0),0)</f>
        <v>1.85</v>
      </c>
      <c r="K16" s="482">
        <f t="shared" ca="1" si="1"/>
        <v>0.60410135841170332</v>
      </c>
      <c r="L16" s="45"/>
      <c r="M16" s="481" t="s">
        <v>275</v>
      </c>
      <c r="N16" s="128">
        <f>VLOOKUP($A16&amp;M$2,XL_DT_TD!$F:$K,2,)</f>
        <v>10.44</v>
      </c>
      <c r="O16" s="127">
        <f>IFERROR(VLOOKUP($A16&amp;M$2,XL_DT_TD!$F:$K,3,0),0)</f>
        <v>1.04</v>
      </c>
      <c r="P16" s="482">
        <f t="shared" ca="1" si="2"/>
        <v>0.4980842911877395</v>
      </c>
      <c r="Q16" s="45"/>
      <c r="R16" s="481" t="s">
        <v>275</v>
      </c>
      <c r="S16" s="128">
        <f>VLOOKUP($A16&amp;R$2,XL_DT_TD!$F:$K,2,)</f>
        <v>10.44</v>
      </c>
      <c r="T16" s="127">
        <f>IFERROR(VLOOKUP($A16&amp;R$2,XL_DT_TD!$F:$K,3,0),0)</f>
        <v>1.1599999999999999</v>
      </c>
      <c r="U16" s="482">
        <f t="shared" ca="1" si="3"/>
        <v>0.55555555555555558</v>
      </c>
      <c r="V16" s="45"/>
      <c r="W16" s="481" t="s">
        <v>275</v>
      </c>
      <c r="X16" s="128">
        <f>VLOOKUP($A16&amp;W$2,XL_DT_TD!$F:$K,2,)</f>
        <v>12.527999999999999</v>
      </c>
      <c r="Y16" s="127">
        <f>IFERROR(VLOOKUP($A16&amp;W$2,XL_DT_TD!$F:$K,3,0),0)</f>
        <v>0</v>
      </c>
      <c r="Z16" s="482">
        <f t="shared" ca="1" si="4"/>
        <v>0</v>
      </c>
      <c r="AA16" s="45"/>
      <c r="AB16" s="481" t="s">
        <v>275</v>
      </c>
      <c r="AC16" s="128">
        <f>VLOOKUP($A16&amp;AB$2,XL_DT_TD!$F:$K,2,)</f>
        <v>6.96</v>
      </c>
      <c r="AD16" s="127">
        <f>IFERROR(VLOOKUP($A16&amp;AB$2,XL_DT_TD!$F:$K,3,0),0)</f>
        <v>1.28</v>
      </c>
      <c r="AE16" s="129">
        <f t="shared" ca="1" si="5"/>
        <v>0.91954022988505757</v>
      </c>
      <c r="AF16" s="45"/>
      <c r="AG16" s="481" t="s">
        <v>275</v>
      </c>
      <c r="AH16" s="128" t="e">
        <f>VLOOKUP($A16&amp;AG$2,XL_DT_TD!$F:$K,2,)</f>
        <v>#N/A</v>
      </c>
      <c r="AI16" s="127">
        <f>IFERROR(VLOOKUP($A16&amp;AG$2,XL_DT_TD!$F:$K,3,0),0)</f>
        <v>0</v>
      </c>
      <c r="AJ16" s="129" t="e">
        <f t="shared" ca="1" si="6"/>
        <v>#N/A</v>
      </c>
      <c r="AK16" s="45"/>
      <c r="AL16" s="111"/>
      <c r="AM16" s="128"/>
      <c r="AN16" s="127"/>
      <c r="AO16" s="129"/>
      <c r="AP16" s="45"/>
      <c r="AQ16" s="111"/>
      <c r="AR16" s="128"/>
      <c r="AS16" s="127"/>
      <c r="AT16" s="129"/>
      <c r="AU16" s="45"/>
      <c r="AV16" s="111"/>
      <c r="AW16" s="128"/>
      <c r="AX16" s="127"/>
      <c r="AY16" s="129"/>
      <c r="AZ16" s="45"/>
      <c r="BA16" s="45"/>
      <c r="BB16" s="45"/>
      <c r="BC16" s="45"/>
      <c r="BD16" s="45"/>
      <c r="BE16" s="45"/>
      <c r="BF16" s="45"/>
      <c r="BG16" s="45"/>
      <c r="BH16" s="45"/>
      <c r="BI16" s="45"/>
      <c r="BJ16" s="45"/>
      <c r="BK16" s="45"/>
      <c r="BL16" s="45"/>
      <c r="BM16" s="45"/>
      <c r="BN16" s="45"/>
      <c r="BO16" s="45"/>
      <c r="BP16" s="45"/>
      <c r="BQ16" s="45"/>
      <c r="BR16" s="45"/>
      <c r="BS16" s="45"/>
      <c r="BT16" s="45"/>
      <c r="BU16" s="45"/>
      <c r="BV16" s="45"/>
      <c r="BW16" s="45"/>
      <c r="BX16" s="45"/>
      <c r="BY16" s="45"/>
      <c r="BZ16" s="45"/>
      <c r="CA16" s="45"/>
      <c r="CB16" s="45"/>
      <c r="CC16" s="45"/>
      <c r="CD16" s="45"/>
      <c r="CE16" s="45"/>
      <c r="CF16" s="45"/>
      <c r="CG16" s="45"/>
      <c r="CH16" s="45"/>
      <c r="CI16" s="45"/>
      <c r="CJ16" s="45"/>
      <c r="CK16" s="45"/>
      <c r="CL16" s="45"/>
      <c r="CM16" s="45"/>
      <c r="CN16" s="45"/>
      <c r="CO16" s="45"/>
      <c r="CP16" s="45"/>
      <c r="CQ16" s="45"/>
      <c r="CR16" s="45"/>
    </row>
    <row r="17" spans="1:96" s="37" customFormat="1" ht="16" customHeight="1" outlineLevel="1">
      <c r="A17" s="465" t="s">
        <v>373</v>
      </c>
      <c r="B17" s="236"/>
      <c r="C17" s="481" t="s">
        <v>394</v>
      </c>
      <c r="D17" s="128" t="e">
        <f>VLOOKUP($A17&amp;C$2,XL_DT_TD!$F:$K,2,)</f>
        <v>#N/A</v>
      </c>
      <c r="E17" s="127">
        <f>IFERROR(VLOOKUP($A17&amp;C$2,XL_DT_TD!$F:$K,3,0),0)</f>
        <v>0</v>
      </c>
      <c r="F17" s="482" t="e">
        <f t="shared" ca="1" si="0"/>
        <v>#N/A</v>
      </c>
      <c r="G17" s="45"/>
      <c r="H17" s="481" t="s">
        <v>394</v>
      </c>
      <c r="I17" s="128" t="e">
        <f>VLOOKUP($A17&amp;H$2,XL_DT_TD!$F:$K,2,)</f>
        <v>#N/A</v>
      </c>
      <c r="J17" s="127">
        <f>IFERROR(VLOOKUP($A17&amp;H$2,XL_DT_TD!$F:$K,3,0),0)</f>
        <v>0</v>
      </c>
      <c r="K17" s="482" t="e">
        <f t="shared" ca="1" si="1"/>
        <v>#N/A</v>
      </c>
      <c r="L17" s="45"/>
      <c r="M17" s="481" t="s">
        <v>394</v>
      </c>
      <c r="N17" s="128" t="e">
        <f>VLOOKUP($A17&amp;M$2,XL_DT_TD!$F:$K,2,)</f>
        <v>#N/A</v>
      </c>
      <c r="O17" s="127">
        <f>IFERROR(VLOOKUP($A17&amp;M$2,XL_DT_TD!$F:$K,3,0),0)</f>
        <v>0</v>
      </c>
      <c r="P17" s="482" t="e">
        <f t="shared" ca="1" si="2"/>
        <v>#N/A</v>
      </c>
      <c r="Q17" s="45"/>
      <c r="R17" s="481" t="s">
        <v>394</v>
      </c>
      <c r="S17" s="128" t="e">
        <f>VLOOKUP($A17&amp;R$2,XL_DT_TD!$F:$K,2,)</f>
        <v>#N/A</v>
      </c>
      <c r="T17" s="127">
        <f>IFERROR(VLOOKUP($A17&amp;R$2,XL_DT_TD!$F:$K,3,0),0)</f>
        <v>0</v>
      </c>
      <c r="U17" s="482" t="e">
        <f t="shared" ca="1" si="3"/>
        <v>#N/A</v>
      </c>
      <c r="V17" s="45"/>
      <c r="W17" s="481" t="s">
        <v>394</v>
      </c>
      <c r="X17" s="128" t="e">
        <f>VLOOKUP($A17&amp;W$2,XL_DT_TD!$F:$K,2,)</f>
        <v>#N/A</v>
      </c>
      <c r="Y17" s="127">
        <f>IFERROR(VLOOKUP($A17&amp;W$2,XL_DT_TD!$F:$K,3,0),0)</f>
        <v>0</v>
      </c>
      <c r="Z17" s="482" t="e">
        <f t="shared" ca="1" si="4"/>
        <v>#N/A</v>
      </c>
      <c r="AA17" s="45"/>
      <c r="AB17" s="481" t="s">
        <v>394</v>
      </c>
      <c r="AC17" s="128" t="e">
        <f>VLOOKUP($A17&amp;AB$2,XL_DT_TD!$F:$K,2,)</f>
        <v>#N/A</v>
      </c>
      <c r="AD17" s="127">
        <f>IFERROR(VLOOKUP($A17&amp;AB$2,XL_DT_TD!$F:$K,3,0),0)</f>
        <v>0</v>
      </c>
      <c r="AE17" s="129" t="e">
        <f t="shared" ca="1" si="5"/>
        <v>#N/A</v>
      </c>
      <c r="AF17" s="45"/>
      <c r="AG17" s="481" t="s">
        <v>394</v>
      </c>
      <c r="AH17" s="128" t="e">
        <f>VLOOKUP($A17&amp;AG$2,XL_DT_TD!$F:$K,2,)</f>
        <v>#N/A</v>
      </c>
      <c r="AI17" s="127">
        <f>IFERROR(VLOOKUP($A17&amp;AG$2,XL_DT_TD!$F:$K,3,0),0)</f>
        <v>0</v>
      </c>
      <c r="AJ17" s="129" t="e">
        <f t="shared" ca="1" si="6"/>
        <v>#N/A</v>
      </c>
      <c r="AK17" s="45"/>
      <c r="AL17" s="111"/>
      <c r="AM17" s="128"/>
      <c r="AN17" s="127"/>
      <c r="AO17" s="129"/>
      <c r="AP17" s="45"/>
      <c r="AQ17" s="111"/>
      <c r="AR17" s="128"/>
      <c r="AS17" s="127"/>
      <c r="AT17" s="129"/>
      <c r="AU17" s="45"/>
      <c r="AV17" s="111"/>
      <c r="AW17" s="128"/>
      <c r="AX17" s="127"/>
      <c r="AY17" s="129"/>
      <c r="AZ17" s="45"/>
      <c r="BA17" s="45"/>
      <c r="BB17" s="45"/>
      <c r="BC17" s="45"/>
      <c r="BD17" s="45"/>
      <c r="BE17" s="45"/>
      <c r="BF17" s="45"/>
      <c r="BG17" s="45"/>
      <c r="BH17" s="45"/>
      <c r="BI17" s="45"/>
      <c r="BJ17" s="45"/>
      <c r="BK17" s="45"/>
      <c r="BL17" s="45"/>
      <c r="BM17" s="45"/>
      <c r="BN17" s="45"/>
      <c r="BO17" s="45"/>
      <c r="BP17" s="45"/>
      <c r="BQ17" s="45"/>
      <c r="BR17" s="45"/>
      <c r="BS17" s="45"/>
      <c r="BT17" s="45"/>
      <c r="BU17" s="45"/>
      <c r="BV17" s="45"/>
      <c r="BW17" s="45"/>
      <c r="BX17" s="45"/>
      <c r="BY17" s="45"/>
      <c r="BZ17" s="45"/>
      <c r="CA17" s="45"/>
      <c r="CB17" s="45"/>
      <c r="CC17" s="45"/>
      <c r="CD17" s="45"/>
      <c r="CE17" s="45"/>
      <c r="CF17" s="45"/>
      <c r="CG17" s="45"/>
      <c r="CH17" s="45"/>
      <c r="CI17" s="45"/>
      <c r="CJ17" s="45"/>
      <c r="CK17" s="45"/>
      <c r="CL17" s="45"/>
      <c r="CM17" s="45"/>
      <c r="CN17" s="45"/>
      <c r="CO17" s="45"/>
      <c r="CP17" s="45"/>
      <c r="CQ17" s="45"/>
      <c r="CR17" s="45"/>
    </row>
    <row r="18" spans="1:96" s="37" customFormat="1" ht="16" customHeight="1" outlineLevel="1">
      <c r="A18" s="466" t="s">
        <v>114</v>
      </c>
      <c r="B18" s="236"/>
      <c r="C18" s="483" t="s">
        <v>395</v>
      </c>
      <c r="D18" s="128">
        <f>VLOOKUP($A18&amp;C$2,XL_DT_TD!$F:$K,2,)</f>
        <v>9.5399999999999991</v>
      </c>
      <c r="E18" s="127">
        <f>IFERROR(VLOOKUP($A18&amp;C$2,XL_DT_TD!$F:$K,3,0),0)</f>
        <v>0</v>
      </c>
      <c r="F18" s="482">
        <f t="shared" ref="F18:F27" ca="1" si="7">IF(DAY(NOW())=1,(E18/D18),(E18/(DAY(NOW()-1))*$CV$1)/D18)</f>
        <v>0</v>
      </c>
      <c r="G18" s="45"/>
      <c r="H18" s="483" t="s">
        <v>395</v>
      </c>
      <c r="I18" s="128">
        <f>VLOOKUP($A18&amp;H$2,XL_DT_TD!$F:$K,2,)</f>
        <v>11.66</v>
      </c>
      <c r="J18" s="127">
        <f>IFERROR(VLOOKUP($A18&amp;H$2,XL_DT_TD!$F:$K,3,0),0)</f>
        <v>0</v>
      </c>
      <c r="K18" s="482">
        <f t="shared" ca="1" si="1"/>
        <v>0</v>
      </c>
      <c r="L18" s="45"/>
      <c r="M18" s="483" t="s">
        <v>395</v>
      </c>
      <c r="N18" s="128">
        <f>VLOOKUP($A18&amp;M$2,XL_DT_TD!$F:$K,2,)</f>
        <v>9.5399999999999991</v>
      </c>
      <c r="O18" s="127">
        <f>IFERROR(VLOOKUP($A18&amp;M$2,XL_DT_TD!$F:$K,3,0),0)</f>
        <v>1</v>
      </c>
      <c r="P18" s="482">
        <f t="shared" ca="1" si="2"/>
        <v>0.52410901467505244</v>
      </c>
      <c r="Q18" s="45"/>
      <c r="R18" s="483" t="s">
        <v>395</v>
      </c>
      <c r="S18" s="128">
        <f>VLOOKUP($A18&amp;R$2,XL_DT_TD!$F:$K,2,)</f>
        <v>5.3000000000000007</v>
      </c>
      <c r="T18" s="127">
        <f>IFERROR(VLOOKUP($A18&amp;R$2,XL_DT_TD!$F:$K,3,0),0)</f>
        <v>0</v>
      </c>
      <c r="U18" s="482">
        <f t="shared" ca="1" si="3"/>
        <v>0</v>
      </c>
      <c r="V18" s="45"/>
      <c r="W18" s="483" t="s">
        <v>395</v>
      </c>
      <c r="X18" s="128">
        <f>VLOOKUP($A18&amp;W$2,XL_DT_TD!$F:$K,2,)</f>
        <v>11.66</v>
      </c>
      <c r="Y18" s="127">
        <f>IFERROR(VLOOKUP($A18&amp;W$2,XL_DT_TD!$F:$K,3,0),0)</f>
        <v>3</v>
      </c>
      <c r="Z18" s="482">
        <f t="shared" ca="1" si="4"/>
        <v>1.2864493996569468</v>
      </c>
      <c r="AA18" s="45"/>
      <c r="AB18" s="483" t="s">
        <v>395</v>
      </c>
      <c r="AC18" s="128">
        <f>VLOOKUP($A18&amp;AB$2,XL_DT_TD!$F:$K,2,)</f>
        <v>7.9499999999999993</v>
      </c>
      <c r="AD18" s="127">
        <f>IFERROR(VLOOKUP($A18&amp;AB$2,XL_DT_TD!$F:$K,3,0),0)</f>
        <v>0</v>
      </c>
      <c r="AE18" s="129">
        <f t="shared" ca="1" si="5"/>
        <v>0</v>
      </c>
      <c r="AF18" s="45"/>
      <c r="AG18" s="483" t="s">
        <v>395</v>
      </c>
      <c r="AH18" s="128" t="e">
        <f>VLOOKUP($A18&amp;AG$2,XL_DT_TD!$F:$K,2,)</f>
        <v>#N/A</v>
      </c>
      <c r="AI18" s="127">
        <f>IFERROR(VLOOKUP($A18&amp;AG$2,XL_DT_TD!$F:$K,3,0),0)</f>
        <v>0</v>
      </c>
      <c r="AJ18" s="129" t="e">
        <f t="shared" ca="1" si="6"/>
        <v>#N/A</v>
      </c>
      <c r="AK18" s="45"/>
      <c r="AL18" s="467"/>
      <c r="AM18" s="128"/>
      <c r="AN18" s="127"/>
      <c r="AO18" s="129"/>
      <c r="AP18" s="45"/>
      <c r="AQ18" s="467"/>
      <c r="AR18" s="128"/>
      <c r="AS18" s="127"/>
      <c r="AT18" s="129"/>
      <c r="AU18" s="45"/>
      <c r="AV18" s="467"/>
      <c r="AW18" s="128"/>
      <c r="AX18" s="127"/>
      <c r="AY18" s="129"/>
      <c r="AZ18" s="45"/>
      <c r="BA18" s="45"/>
      <c r="BB18" s="45"/>
      <c r="BC18" s="45"/>
      <c r="BD18" s="45"/>
      <c r="BE18" s="45"/>
      <c r="BF18" s="45"/>
      <c r="BG18" s="45"/>
      <c r="BH18" s="45"/>
      <c r="BI18" s="45"/>
      <c r="BJ18" s="45"/>
      <c r="BK18" s="45"/>
      <c r="BL18" s="45"/>
      <c r="BM18" s="45"/>
      <c r="BN18" s="45"/>
      <c r="BO18" s="45"/>
      <c r="BP18" s="45"/>
      <c r="BQ18" s="45"/>
      <c r="BR18" s="45"/>
      <c r="BS18" s="45"/>
      <c r="BT18" s="45"/>
      <c r="BU18" s="45"/>
      <c r="BV18" s="45"/>
      <c r="BW18" s="45"/>
      <c r="BX18" s="45"/>
      <c r="BY18" s="45"/>
      <c r="BZ18" s="45"/>
      <c r="CA18" s="45"/>
      <c r="CB18" s="45"/>
      <c r="CC18" s="45"/>
      <c r="CD18" s="45"/>
      <c r="CE18" s="45"/>
      <c r="CF18" s="45"/>
      <c r="CG18" s="45"/>
      <c r="CH18" s="45"/>
      <c r="CI18" s="45"/>
      <c r="CJ18" s="45"/>
      <c r="CK18" s="45"/>
      <c r="CL18" s="45"/>
      <c r="CM18" s="45"/>
      <c r="CN18" s="45"/>
      <c r="CO18" s="45"/>
      <c r="CP18" s="45"/>
      <c r="CQ18" s="45"/>
      <c r="CR18" s="45"/>
    </row>
    <row r="19" spans="1:96" s="37" customFormat="1" ht="16" customHeight="1" outlineLevel="1">
      <c r="A19" s="465" t="s">
        <v>385</v>
      </c>
      <c r="B19" s="236"/>
      <c r="C19" s="483" t="s">
        <v>396</v>
      </c>
      <c r="D19" s="128" t="e">
        <f>VLOOKUP($A19&amp;C$2,XL_DT_TD!$F:$K,2,)</f>
        <v>#N/A</v>
      </c>
      <c r="E19" s="127">
        <f>IFERROR(VLOOKUP($A19&amp;C$2,XL_DT_TD!$F:$K,3,0),0)</f>
        <v>0</v>
      </c>
      <c r="F19" s="482" t="e">
        <f t="shared" ca="1" si="7"/>
        <v>#N/A</v>
      </c>
      <c r="G19" s="45"/>
      <c r="H19" s="483" t="s">
        <v>396</v>
      </c>
      <c r="I19" s="128" t="e">
        <f>VLOOKUP($A19&amp;H$2,XL_DT_TD!$F:$K,2,)</f>
        <v>#N/A</v>
      </c>
      <c r="J19" s="127">
        <f>IFERROR(VLOOKUP($A19&amp;H$2,XL_DT_TD!$F:$K,3,0),0)</f>
        <v>0</v>
      </c>
      <c r="K19" s="482" t="e">
        <f t="shared" ca="1" si="1"/>
        <v>#N/A</v>
      </c>
      <c r="L19" s="45"/>
      <c r="M19" s="483" t="s">
        <v>396</v>
      </c>
      <c r="N19" s="128" t="e">
        <f>VLOOKUP($A19&amp;M$2,XL_DT_TD!$F:$K,2,)</f>
        <v>#N/A</v>
      </c>
      <c r="O19" s="127">
        <f>IFERROR(VLOOKUP($A19&amp;M$2,XL_DT_TD!$F:$K,3,0),0)</f>
        <v>0</v>
      </c>
      <c r="P19" s="482" t="e">
        <f t="shared" ca="1" si="2"/>
        <v>#N/A</v>
      </c>
      <c r="Q19" s="45"/>
      <c r="R19" s="483" t="s">
        <v>396</v>
      </c>
      <c r="S19" s="128" t="e">
        <f>VLOOKUP($A19&amp;R$2,XL_DT_TD!$F:$K,2,)</f>
        <v>#N/A</v>
      </c>
      <c r="T19" s="127">
        <f>IFERROR(VLOOKUP($A19&amp;R$2,XL_DT_TD!$F:$K,3,0),0)</f>
        <v>0</v>
      </c>
      <c r="U19" s="482" t="e">
        <f t="shared" ca="1" si="3"/>
        <v>#N/A</v>
      </c>
      <c r="V19" s="45"/>
      <c r="W19" s="483" t="s">
        <v>396</v>
      </c>
      <c r="X19" s="128" t="e">
        <f>VLOOKUP($A19&amp;W$2,XL_DT_TD!$F:$K,2,)</f>
        <v>#N/A</v>
      </c>
      <c r="Y19" s="127">
        <f>IFERROR(VLOOKUP($A19&amp;W$2,XL_DT_TD!$F:$K,3,0),0)</f>
        <v>0</v>
      </c>
      <c r="Z19" s="482" t="e">
        <f t="shared" ca="1" si="4"/>
        <v>#N/A</v>
      </c>
      <c r="AA19" s="45"/>
      <c r="AB19" s="483" t="s">
        <v>396</v>
      </c>
      <c r="AC19" s="128" t="e">
        <f>VLOOKUP($A19&amp;AB$2,XL_DT_TD!$F:$K,2,)</f>
        <v>#N/A</v>
      </c>
      <c r="AD19" s="127">
        <f>IFERROR(VLOOKUP($A19&amp;AB$2,XL_DT_TD!$F:$K,3,0),0)</f>
        <v>0</v>
      </c>
      <c r="AE19" s="129" t="e">
        <f t="shared" ca="1" si="5"/>
        <v>#N/A</v>
      </c>
      <c r="AF19" s="45"/>
      <c r="AG19" s="483" t="s">
        <v>396</v>
      </c>
      <c r="AH19" s="128" t="e">
        <f>VLOOKUP($A19&amp;AG$2,XL_DT_TD!$F:$K,2,)</f>
        <v>#N/A</v>
      </c>
      <c r="AI19" s="127">
        <f>IFERROR(VLOOKUP($A19&amp;AG$2,XL_DT_TD!$F:$K,3,0),0)</f>
        <v>0</v>
      </c>
      <c r="AJ19" s="129" t="e">
        <f t="shared" ca="1" si="6"/>
        <v>#N/A</v>
      </c>
      <c r="AK19" s="45"/>
      <c r="AL19" s="467"/>
      <c r="AM19" s="128"/>
      <c r="AN19" s="127"/>
      <c r="AO19" s="129"/>
      <c r="AP19" s="45"/>
      <c r="AQ19" s="467"/>
      <c r="AR19" s="128"/>
      <c r="AS19" s="127"/>
      <c r="AT19" s="129"/>
      <c r="AU19" s="45"/>
      <c r="AV19" s="467"/>
      <c r="AW19" s="128"/>
      <c r="AX19" s="127"/>
      <c r="AY19" s="129"/>
      <c r="AZ19" s="45"/>
      <c r="BA19" s="45"/>
      <c r="BB19" s="45"/>
      <c r="BC19" s="45"/>
      <c r="BD19" s="45"/>
      <c r="BE19" s="45"/>
      <c r="BF19" s="45"/>
      <c r="BG19" s="45"/>
      <c r="BH19" s="45"/>
      <c r="BI19" s="45"/>
      <c r="BJ19" s="45"/>
      <c r="BK19" s="45"/>
      <c r="BL19" s="45"/>
      <c r="BM19" s="45"/>
      <c r="BN19" s="45"/>
      <c r="BO19" s="45"/>
      <c r="BP19" s="45"/>
      <c r="BQ19" s="45"/>
      <c r="BR19" s="45"/>
      <c r="BS19" s="45"/>
      <c r="BT19" s="45"/>
      <c r="BU19" s="45"/>
      <c r="BV19" s="45"/>
      <c r="BW19" s="45"/>
      <c r="BX19" s="45"/>
      <c r="BY19" s="45"/>
      <c r="BZ19" s="45"/>
      <c r="CA19" s="45"/>
      <c r="CB19" s="45"/>
      <c r="CC19" s="45"/>
      <c r="CD19" s="45"/>
      <c r="CE19" s="45"/>
      <c r="CF19" s="45"/>
      <c r="CG19" s="45"/>
      <c r="CH19" s="45"/>
      <c r="CI19" s="45"/>
      <c r="CJ19" s="45"/>
      <c r="CK19" s="45"/>
      <c r="CL19" s="45"/>
      <c r="CM19" s="45"/>
      <c r="CN19" s="45"/>
      <c r="CO19" s="45"/>
      <c r="CP19" s="45"/>
      <c r="CQ19" s="45"/>
      <c r="CR19" s="45"/>
    </row>
    <row r="20" spans="1:96" s="37" customFormat="1" ht="16" customHeight="1" outlineLevel="1">
      <c r="A20" s="466" t="s">
        <v>379</v>
      </c>
      <c r="B20" s="236"/>
      <c r="C20" s="483" t="s">
        <v>336</v>
      </c>
      <c r="D20" s="128">
        <f>VLOOKUP($A20&amp;C$2,XL_DT_TD!$F:$K,2,)</f>
        <v>4.1399999999999997</v>
      </c>
      <c r="E20" s="127">
        <f>IFERROR(VLOOKUP($A20&amp;C$2,XL_DT_TD!$F:$K,3,0),0)</f>
        <v>0</v>
      </c>
      <c r="F20" s="482">
        <f t="shared" ca="1" si="7"/>
        <v>0</v>
      </c>
      <c r="G20" s="45"/>
      <c r="H20" s="483" t="s">
        <v>336</v>
      </c>
      <c r="I20" s="128">
        <f>VLOOKUP($A20&amp;H$2,XL_DT_TD!$F:$K,2,)</f>
        <v>3.4499999999999997</v>
      </c>
      <c r="J20" s="127">
        <f>IFERROR(VLOOKUP($A20&amp;H$2,XL_DT_TD!$F:$K,3,0),0)</f>
        <v>0</v>
      </c>
      <c r="K20" s="482">
        <f t="shared" ca="1" si="1"/>
        <v>0</v>
      </c>
      <c r="L20" s="45"/>
      <c r="M20" s="483" t="s">
        <v>336</v>
      </c>
      <c r="N20" s="128">
        <f>VLOOKUP($A20&amp;M$2,XL_DT_TD!$F:$K,2,)</f>
        <v>3.4499999999999997</v>
      </c>
      <c r="O20" s="127">
        <f>IFERROR(VLOOKUP($A20&amp;M$2,XL_DT_TD!$F:$K,3,0),0)</f>
        <v>0</v>
      </c>
      <c r="P20" s="482">
        <f t="shared" ca="1" si="2"/>
        <v>0</v>
      </c>
      <c r="Q20" s="45"/>
      <c r="R20" s="483" t="s">
        <v>336</v>
      </c>
      <c r="S20" s="128">
        <f>VLOOKUP($A20&amp;R$2,XL_DT_TD!$F:$K,2,)</f>
        <v>4.1399999999999997</v>
      </c>
      <c r="T20" s="127">
        <f>IFERROR(VLOOKUP($A20&amp;R$2,XL_DT_TD!$F:$K,3,0),0)</f>
        <v>0</v>
      </c>
      <c r="U20" s="482">
        <f t="shared" ca="1" si="3"/>
        <v>0</v>
      </c>
      <c r="V20" s="45"/>
      <c r="W20" s="483" t="s">
        <v>336</v>
      </c>
      <c r="X20" s="128">
        <f>VLOOKUP($A20&amp;W$2,XL_DT_TD!$F:$K,2,)</f>
        <v>5.0599999999999996</v>
      </c>
      <c r="Y20" s="127">
        <f>IFERROR(VLOOKUP($A20&amp;W$2,XL_DT_TD!$F:$K,3,0),0)</f>
        <v>1.1000000000000001</v>
      </c>
      <c r="Z20" s="482">
        <f t="shared" ca="1" si="4"/>
        <v>1.0869565217391306</v>
      </c>
      <c r="AA20" s="45"/>
      <c r="AB20" s="483" t="s">
        <v>336</v>
      </c>
      <c r="AC20" s="128">
        <f>VLOOKUP($A20&amp;AB$2,XL_DT_TD!$F:$K,2,)</f>
        <v>2.3000000000000003</v>
      </c>
      <c r="AD20" s="127">
        <f>IFERROR(VLOOKUP($A20&amp;AB$2,XL_DT_TD!$F:$K,3,0),0)</f>
        <v>0</v>
      </c>
      <c r="AE20" s="129">
        <f t="shared" ca="1" si="5"/>
        <v>0</v>
      </c>
      <c r="AF20" s="45"/>
      <c r="AG20" s="483" t="s">
        <v>336</v>
      </c>
      <c r="AH20" s="128" t="e">
        <f>VLOOKUP($A20&amp;AG$2,XL_DT_TD!$F:$K,2,)</f>
        <v>#N/A</v>
      </c>
      <c r="AI20" s="127">
        <f>IFERROR(VLOOKUP($A20&amp;AG$2,XL_DT_TD!$F:$K,3,0),0)</f>
        <v>0</v>
      </c>
      <c r="AJ20" s="129" t="e">
        <f t="shared" ca="1" si="6"/>
        <v>#N/A</v>
      </c>
      <c r="AK20" s="45"/>
      <c r="AL20" s="467"/>
      <c r="AM20" s="128"/>
      <c r="AN20" s="127"/>
      <c r="AO20" s="129"/>
      <c r="AP20" s="45"/>
      <c r="AQ20" s="467"/>
      <c r="AR20" s="128"/>
      <c r="AS20" s="127"/>
      <c r="AT20" s="129"/>
      <c r="AU20" s="45"/>
      <c r="AV20" s="467"/>
      <c r="AW20" s="128"/>
      <c r="AX20" s="127"/>
      <c r="AY20" s="129"/>
      <c r="AZ20" s="45"/>
      <c r="BA20" s="45"/>
      <c r="BB20" s="45"/>
      <c r="BC20" s="45"/>
      <c r="BD20" s="45"/>
      <c r="BE20" s="45"/>
      <c r="BF20" s="45"/>
      <c r="BG20" s="45"/>
      <c r="BH20" s="45"/>
      <c r="BI20" s="45"/>
      <c r="BJ20" s="45"/>
      <c r="BK20" s="45"/>
      <c r="BL20" s="45"/>
      <c r="BM20" s="45"/>
      <c r="BN20" s="45"/>
      <c r="BO20" s="45"/>
      <c r="BP20" s="45"/>
      <c r="BQ20" s="45"/>
      <c r="BR20" s="45"/>
      <c r="BS20" s="45"/>
      <c r="BT20" s="45"/>
      <c r="BU20" s="45"/>
      <c r="BV20" s="45"/>
      <c r="BW20" s="45"/>
      <c r="BX20" s="45"/>
      <c r="BY20" s="45"/>
      <c r="BZ20" s="45"/>
      <c r="CA20" s="45"/>
      <c r="CB20" s="45"/>
      <c r="CC20" s="45"/>
      <c r="CD20" s="45"/>
      <c r="CE20" s="45"/>
      <c r="CF20" s="45"/>
      <c r="CG20" s="45"/>
      <c r="CH20" s="45"/>
      <c r="CI20" s="45"/>
      <c r="CJ20" s="45"/>
      <c r="CK20" s="45"/>
      <c r="CL20" s="45"/>
      <c r="CM20" s="45"/>
      <c r="CN20" s="45"/>
      <c r="CO20" s="45"/>
      <c r="CP20" s="45"/>
      <c r="CQ20" s="45"/>
      <c r="CR20" s="45"/>
    </row>
    <row r="21" spans="1:96" s="37" customFormat="1" ht="16" customHeight="1" outlineLevel="1">
      <c r="A21" s="465" t="s">
        <v>378</v>
      </c>
      <c r="B21" s="236"/>
      <c r="C21" s="483" t="s">
        <v>397</v>
      </c>
      <c r="D21" s="128" t="e">
        <f>VLOOKUP($A21&amp;C$2,XL_DT_TD!$F:$K,2,)</f>
        <v>#N/A</v>
      </c>
      <c r="E21" s="127">
        <f>IFERROR(VLOOKUP($A21&amp;C$2,XL_DT_TD!$F:$K,3,0),0)</f>
        <v>0</v>
      </c>
      <c r="F21" s="482" t="e">
        <f t="shared" ca="1" si="7"/>
        <v>#N/A</v>
      </c>
      <c r="G21" s="45"/>
      <c r="H21" s="483" t="s">
        <v>397</v>
      </c>
      <c r="I21" s="128" t="e">
        <f>VLOOKUP($A21&amp;H$2,XL_DT_TD!$F:$K,2,)</f>
        <v>#N/A</v>
      </c>
      <c r="J21" s="127">
        <f>IFERROR(VLOOKUP($A21&amp;H$2,XL_DT_TD!$F:$K,3,0),0)</f>
        <v>0</v>
      </c>
      <c r="K21" s="482" t="e">
        <f t="shared" ca="1" si="1"/>
        <v>#N/A</v>
      </c>
      <c r="L21" s="45"/>
      <c r="M21" s="483" t="s">
        <v>397</v>
      </c>
      <c r="N21" s="128" t="e">
        <f>VLOOKUP($A21&amp;M$2,XL_DT_TD!$F:$K,2,)</f>
        <v>#N/A</v>
      </c>
      <c r="O21" s="127">
        <f>IFERROR(VLOOKUP($A21&amp;M$2,XL_DT_TD!$F:$K,3,0),0)</f>
        <v>0</v>
      </c>
      <c r="P21" s="482" t="e">
        <f t="shared" ca="1" si="2"/>
        <v>#N/A</v>
      </c>
      <c r="Q21" s="45"/>
      <c r="R21" s="483" t="s">
        <v>397</v>
      </c>
      <c r="S21" s="128" t="e">
        <f>VLOOKUP($A21&amp;R$2,XL_DT_TD!$F:$K,2,)</f>
        <v>#N/A</v>
      </c>
      <c r="T21" s="127">
        <f>IFERROR(VLOOKUP($A21&amp;R$2,XL_DT_TD!$F:$K,3,0),0)</f>
        <v>0</v>
      </c>
      <c r="U21" s="482" t="e">
        <f t="shared" ca="1" si="3"/>
        <v>#N/A</v>
      </c>
      <c r="V21" s="45"/>
      <c r="W21" s="483" t="s">
        <v>397</v>
      </c>
      <c r="X21" s="128" t="e">
        <f>VLOOKUP($A21&amp;W$2,XL_DT_TD!$F:$K,2,)</f>
        <v>#N/A</v>
      </c>
      <c r="Y21" s="127">
        <f>IFERROR(VLOOKUP($A21&amp;W$2,XL_DT_TD!$F:$K,3,0),0)</f>
        <v>0</v>
      </c>
      <c r="Z21" s="482" t="e">
        <f t="shared" ca="1" si="4"/>
        <v>#N/A</v>
      </c>
      <c r="AA21" s="45"/>
      <c r="AB21" s="483" t="s">
        <v>397</v>
      </c>
      <c r="AC21" s="128" t="e">
        <f>VLOOKUP($A21&amp;AB$2,XL_DT_TD!$F:$K,2,)</f>
        <v>#N/A</v>
      </c>
      <c r="AD21" s="127">
        <f>IFERROR(VLOOKUP($A21&amp;AB$2,XL_DT_TD!$F:$K,3,0),0)</f>
        <v>0</v>
      </c>
      <c r="AE21" s="129" t="e">
        <f t="shared" ca="1" si="5"/>
        <v>#N/A</v>
      </c>
      <c r="AF21" s="45"/>
      <c r="AG21" s="483" t="s">
        <v>397</v>
      </c>
      <c r="AH21" s="128" t="e">
        <f>VLOOKUP($A21&amp;AG$2,XL_DT_TD!$F:$K,2,)</f>
        <v>#N/A</v>
      </c>
      <c r="AI21" s="127">
        <f>IFERROR(VLOOKUP($A21&amp;AG$2,XL_DT_TD!$F:$K,3,0),0)</f>
        <v>0</v>
      </c>
      <c r="AJ21" s="129" t="e">
        <f t="shared" ca="1" si="6"/>
        <v>#N/A</v>
      </c>
      <c r="AK21" s="45"/>
      <c r="AL21" s="467"/>
      <c r="AM21" s="128"/>
      <c r="AN21" s="127"/>
      <c r="AO21" s="129"/>
      <c r="AP21" s="45"/>
      <c r="AQ21" s="467"/>
      <c r="AR21" s="128"/>
      <c r="AS21" s="127"/>
      <c r="AT21" s="129"/>
      <c r="AU21" s="45"/>
      <c r="AV21" s="467"/>
      <c r="AW21" s="128"/>
      <c r="AX21" s="127"/>
      <c r="AY21" s="129"/>
      <c r="AZ21" s="45"/>
      <c r="BA21" s="45"/>
      <c r="BB21" s="45"/>
      <c r="BC21" s="45"/>
      <c r="BD21" s="45"/>
      <c r="BE21" s="45"/>
      <c r="BF21" s="45"/>
      <c r="BG21" s="45"/>
      <c r="BH21" s="45"/>
      <c r="BI21" s="45"/>
      <c r="BJ21" s="45"/>
      <c r="BK21" s="45"/>
      <c r="BL21" s="45"/>
      <c r="BM21" s="45"/>
      <c r="BN21" s="45"/>
      <c r="BO21" s="45"/>
      <c r="BP21" s="45"/>
      <c r="BQ21" s="45"/>
      <c r="BR21" s="45"/>
      <c r="BS21" s="45"/>
      <c r="BT21" s="45"/>
      <c r="BU21" s="45"/>
      <c r="BV21" s="45"/>
      <c r="BW21" s="45"/>
      <c r="BX21" s="45"/>
      <c r="BY21" s="45"/>
      <c r="BZ21" s="45"/>
      <c r="CA21" s="45"/>
      <c r="CB21" s="45"/>
      <c r="CC21" s="45"/>
      <c r="CD21" s="45"/>
      <c r="CE21" s="45"/>
      <c r="CF21" s="45"/>
      <c r="CG21" s="45"/>
      <c r="CH21" s="45"/>
      <c r="CI21" s="45"/>
      <c r="CJ21" s="45"/>
      <c r="CK21" s="45"/>
      <c r="CL21" s="45"/>
      <c r="CM21" s="45"/>
      <c r="CN21" s="45"/>
      <c r="CO21" s="45"/>
      <c r="CP21" s="45"/>
      <c r="CQ21" s="45"/>
      <c r="CR21" s="45"/>
    </row>
    <row r="22" spans="1:96" s="37" customFormat="1" ht="16" customHeight="1" outlineLevel="1">
      <c r="A22" s="466" t="s">
        <v>223</v>
      </c>
      <c r="B22" s="236"/>
      <c r="C22" s="483" t="s">
        <v>431</v>
      </c>
      <c r="D22" s="128">
        <f>VLOOKUP($A22&amp;C$2,XL_DT_TD!$F:$K,2,)</f>
        <v>39.071999999999996</v>
      </c>
      <c r="E22" s="127">
        <f>IFERROR(VLOOKUP($A22&amp;C$2,XL_DT_TD!$F:$K,3,0),0)</f>
        <v>3.58</v>
      </c>
      <c r="F22" s="482">
        <f t="shared" ca="1" si="7"/>
        <v>0.45812858312858312</v>
      </c>
      <c r="G22" s="45"/>
      <c r="H22" s="483" t="s">
        <v>431</v>
      </c>
      <c r="I22" s="128">
        <f>VLOOKUP($A22&amp;H$2,XL_DT_TD!$F:$K,2,)</f>
        <v>31.967999999999996</v>
      </c>
      <c r="J22" s="127">
        <f>IFERROR(VLOOKUP($A22&amp;H$2,XL_DT_TD!$F:$K,3,0),0)</f>
        <v>12.03</v>
      </c>
      <c r="K22" s="482">
        <f t="shared" ca="1" si="1"/>
        <v>1.8815690690690692</v>
      </c>
      <c r="L22" s="45"/>
      <c r="M22" s="483" t="s">
        <v>431</v>
      </c>
      <c r="N22" s="128">
        <f>VLOOKUP($A22&amp;M$2,XL_DT_TD!$F:$K,2,)</f>
        <v>31.967999999999996</v>
      </c>
      <c r="O22" s="127">
        <f>IFERROR(VLOOKUP($A22&amp;M$2,XL_DT_TD!$F:$K,3,0),0)</f>
        <v>0</v>
      </c>
      <c r="P22" s="482">
        <f t="shared" ca="1" si="2"/>
        <v>0</v>
      </c>
      <c r="Q22" s="45"/>
      <c r="R22" s="483" t="s">
        <v>431</v>
      </c>
      <c r="S22" s="128">
        <f>VLOOKUP($A22&amp;R$2,XL_DT_TD!$F:$K,2,)</f>
        <v>26.639999999999997</v>
      </c>
      <c r="T22" s="127">
        <f>IFERROR(VLOOKUP($A22&amp;R$2,XL_DT_TD!$F:$K,3,0),0)</f>
        <v>0</v>
      </c>
      <c r="U22" s="482">
        <f t="shared" ca="1" si="3"/>
        <v>0</v>
      </c>
      <c r="V22" s="45"/>
      <c r="W22" s="483" t="s">
        <v>431</v>
      </c>
      <c r="X22" s="128">
        <f>VLOOKUP($A22&amp;W$2,XL_DT_TD!$F:$K,2,)</f>
        <v>26.639999999999997</v>
      </c>
      <c r="Y22" s="127">
        <f>IFERROR(VLOOKUP($A22&amp;W$2,XL_DT_TD!$F:$K,3,0),0)</f>
        <v>0</v>
      </c>
      <c r="Z22" s="482">
        <f t="shared" ca="1" si="4"/>
        <v>0</v>
      </c>
      <c r="AA22" s="45"/>
      <c r="AB22" s="483" t="s">
        <v>431</v>
      </c>
      <c r="AC22" s="128">
        <f>VLOOKUP($A22&amp;AB$2,XL_DT_TD!$F:$K,2,)</f>
        <v>17.760000000000002</v>
      </c>
      <c r="AD22" s="127">
        <f>IFERROR(VLOOKUP($A22&amp;AB$2,XL_DT_TD!$F:$K,3,0),0)</f>
        <v>0</v>
      </c>
      <c r="AE22" s="129">
        <f t="shared" ca="1" si="5"/>
        <v>0</v>
      </c>
      <c r="AF22" s="45"/>
      <c r="AG22" s="483" t="s">
        <v>431</v>
      </c>
      <c r="AH22" s="128" t="e">
        <f>VLOOKUP($A22&amp;AG$2,XL_DT_TD!$F:$K,2,)</f>
        <v>#N/A</v>
      </c>
      <c r="AI22" s="127">
        <f>IFERROR(VLOOKUP($A22&amp;AG$2,XL_DT_TD!$F:$K,3,0),0)</f>
        <v>0</v>
      </c>
      <c r="AJ22" s="129" t="e">
        <f t="shared" ca="1" si="6"/>
        <v>#N/A</v>
      </c>
      <c r="AK22" s="45"/>
      <c r="AL22" s="467"/>
      <c r="AM22" s="128"/>
      <c r="AN22" s="127"/>
      <c r="AO22" s="129"/>
      <c r="AP22" s="45"/>
      <c r="AQ22" s="467"/>
      <c r="AR22" s="128"/>
      <c r="AS22" s="127"/>
      <c r="AT22" s="129"/>
      <c r="AU22" s="45"/>
      <c r="AV22" s="467"/>
      <c r="AW22" s="128"/>
      <c r="AX22" s="127"/>
      <c r="AY22" s="129"/>
      <c r="AZ22" s="45"/>
      <c r="BA22" s="45"/>
      <c r="BB22" s="45"/>
      <c r="BC22" s="45"/>
      <c r="BD22" s="45"/>
      <c r="BE22" s="45"/>
      <c r="BF22" s="45"/>
      <c r="BG22" s="45"/>
      <c r="BH22" s="45"/>
      <c r="BI22" s="45"/>
      <c r="BJ22" s="45"/>
      <c r="BK22" s="45"/>
      <c r="BL22" s="45"/>
      <c r="BM22" s="45"/>
      <c r="BN22" s="45"/>
      <c r="BO22" s="45"/>
      <c r="BP22" s="45"/>
      <c r="BQ22" s="45"/>
      <c r="BR22" s="45"/>
      <c r="BS22" s="45"/>
      <c r="BT22" s="45"/>
      <c r="BU22" s="45"/>
      <c r="BV22" s="45"/>
      <c r="BW22" s="45"/>
      <c r="BX22" s="45"/>
      <c r="BY22" s="45"/>
      <c r="BZ22" s="45"/>
      <c r="CA22" s="45"/>
      <c r="CB22" s="45"/>
      <c r="CC22" s="45"/>
      <c r="CD22" s="45"/>
      <c r="CE22" s="45"/>
      <c r="CF22" s="45"/>
      <c r="CG22" s="45"/>
      <c r="CH22" s="45"/>
      <c r="CI22" s="45"/>
      <c r="CJ22" s="45"/>
      <c r="CK22" s="45"/>
      <c r="CL22" s="45"/>
      <c r="CM22" s="45"/>
      <c r="CN22" s="45"/>
      <c r="CO22" s="45"/>
      <c r="CP22" s="45"/>
      <c r="CQ22" s="45"/>
      <c r="CR22" s="45"/>
    </row>
    <row r="23" spans="1:96" s="37" customFormat="1" ht="16" customHeight="1" outlineLevel="1">
      <c r="A23" s="465" t="s">
        <v>387</v>
      </c>
      <c r="B23" s="236"/>
      <c r="C23" s="483" t="s">
        <v>398</v>
      </c>
      <c r="D23" s="128" t="e">
        <f>VLOOKUP($A23&amp;C$2,XL_DT_TD!$F:$K,2,)</f>
        <v>#N/A</v>
      </c>
      <c r="E23" s="127">
        <f>IFERROR(VLOOKUP($A23&amp;C$2,XL_DT_TD!$F:$K,3,0),0)</f>
        <v>0</v>
      </c>
      <c r="F23" s="482" t="e">
        <f t="shared" ca="1" si="7"/>
        <v>#N/A</v>
      </c>
      <c r="G23" s="45"/>
      <c r="H23" s="483" t="s">
        <v>398</v>
      </c>
      <c r="I23" s="128" t="e">
        <f>VLOOKUP($A23&amp;H$2,XL_DT_TD!$F:$K,2,)</f>
        <v>#N/A</v>
      </c>
      <c r="J23" s="127">
        <f>IFERROR(VLOOKUP($A23&amp;H$2,XL_DT_TD!$F:$K,3,0),0)</f>
        <v>0</v>
      </c>
      <c r="K23" s="482" t="e">
        <f t="shared" ca="1" si="1"/>
        <v>#N/A</v>
      </c>
      <c r="L23" s="45"/>
      <c r="M23" s="483" t="s">
        <v>398</v>
      </c>
      <c r="N23" s="128" t="e">
        <f>VLOOKUP($A23&amp;M$2,XL_DT_TD!$F:$K,2,)</f>
        <v>#N/A</v>
      </c>
      <c r="O23" s="127">
        <f>IFERROR(VLOOKUP($A23&amp;M$2,XL_DT_TD!$F:$K,3,0),0)</f>
        <v>0</v>
      </c>
      <c r="P23" s="482" t="e">
        <f t="shared" ca="1" si="2"/>
        <v>#N/A</v>
      </c>
      <c r="Q23" s="45"/>
      <c r="R23" s="483" t="s">
        <v>398</v>
      </c>
      <c r="S23" s="128" t="e">
        <f>VLOOKUP($A23&amp;R$2,XL_DT_TD!$F:$K,2,)</f>
        <v>#N/A</v>
      </c>
      <c r="T23" s="127">
        <f>IFERROR(VLOOKUP($A23&amp;R$2,XL_DT_TD!$F:$K,3,0),0)</f>
        <v>0</v>
      </c>
      <c r="U23" s="482" t="e">
        <f t="shared" ca="1" si="3"/>
        <v>#N/A</v>
      </c>
      <c r="V23" s="45"/>
      <c r="W23" s="483" t="s">
        <v>398</v>
      </c>
      <c r="X23" s="128" t="e">
        <f>VLOOKUP($A23&amp;W$2,XL_DT_TD!$F:$K,2,)</f>
        <v>#N/A</v>
      </c>
      <c r="Y23" s="127">
        <f>IFERROR(VLOOKUP($A23&amp;W$2,XL_DT_TD!$F:$K,3,0),0)</f>
        <v>0</v>
      </c>
      <c r="Z23" s="482" t="e">
        <f t="shared" ca="1" si="4"/>
        <v>#N/A</v>
      </c>
      <c r="AA23" s="45"/>
      <c r="AB23" s="483" t="s">
        <v>398</v>
      </c>
      <c r="AC23" s="128" t="e">
        <f>VLOOKUP($A23&amp;AB$2,XL_DT_TD!$F:$K,2,)</f>
        <v>#N/A</v>
      </c>
      <c r="AD23" s="127">
        <f>IFERROR(VLOOKUP($A23&amp;AB$2,XL_DT_TD!$F:$K,3,0),0)</f>
        <v>0</v>
      </c>
      <c r="AE23" s="129" t="e">
        <f t="shared" ca="1" si="5"/>
        <v>#N/A</v>
      </c>
      <c r="AF23" s="45"/>
      <c r="AG23" s="483" t="s">
        <v>398</v>
      </c>
      <c r="AH23" s="128" t="e">
        <f>VLOOKUP($A23&amp;AG$2,XL_DT_TD!$F:$K,2,)</f>
        <v>#N/A</v>
      </c>
      <c r="AI23" s="127">
        <f>IFERROR(VLOOKUP($A23&amp;AG$2,XL_DT_TD!$F:$K,3,0),0)</f>
        <v>0</v>
      </c>
      <c r="AJ23" s="129" t="e">
        <f t="shared" ca="1" si="6"/>
        <v>#N/A</v>
      </c>
      <c r="AK23" s="45"/>
      <c r="AL23" s="467"/>
      <c r="AM23" s="128"/>
      <c r="AN23" s="127"/>
      <c r="AO23" s="129"/>
      <c r="AP23" s="45"/>
      <c r="AQ23" s="467"/>
      <c r="AR23" s="128"/>
      <c r="AS23" s="127"/>
      <c r="AT23" s="129"/>
      <c r="AU23" s="45"/>
      <c r="AV23" s="467"/>
      <c r="AW23" s="128"/>
      <c r="AX23" s="127"/>
      <c r="AY23" s="129"/>
      <c r="AZ23" s="45"/>
      <c r="BA23" s="45"/>
      <c r="BB23" s="45"/>
      <c r="BC23" s="45"/>
      <c r="BD23" s="45"/>
      <c r="BE23" s="45"/>
      <c r="BF23" s="45"/>
      <c r="BG23" s="45"/>
      <c r="BH23" s="45"/>
      <c r="BI23" s="45"/>
      <c r="BJ23" s="45"/>
      <c r="BK23" s="45"/>
      <c r="BL23" s="45"/>
      <c r="BM23" s="45"/>
      <c r="BN23" s="45"/>
      <c r="BO23" s="45"/>
      <c r="BP23" s="45"/>
      <c r="BQ23" s="45"/>
      <c r="BR23" s="45"/>
      <c r="BS23" s="45"/>
      <c r="BT23" s="45"/>
      <c r="BU23" s="45"/>
      <c r="BV23" s="45"/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</row>
    <row r="24" spans="1:96" s="37" customFormat="1" ht="16" customHeight="1" outlineLevel="1">
      <c r="A24" s="466" t="s">
        <v>176</v>
      </c>
      <c r="B24" s="236"/>
      <c r="C24" s="483" t="s">
        <v>393</v>
      </c>
      <c r="D24" s="128">
        <f>VLOOKUP($A24&amp;C$2,XL_DT_TD!$F:$K,2,)</f>
        <v>5.0579999999999998</v>
      </c>
      <c r="E24" s="127">
        <f>IFERROR(VLOOKUP($A24&amp;C$2,XL_DT_TD!$F:$K,3,0),0)</f>
        <v>0</v>
      </c>
      <c r="F24" s="482">
        <f t="shared" ca="1" si="7"/>
        <v>0</v>
      </c>
      <c r="G24" s="45"/>
      <c r="H24" s="483" t="s">
        <v>393</v>
      </c>
      <c r="I24" s="128">
        <f>VLOOKUP($A24&amp;H$2,XL_DT_TD!$F:$K,2,)</f>
        <v>4.2149999999999999</v>
      </c>
      <c r="J24" s="127">
        <f>IFERROR(VLOOKUP($A24&amp;H$2,XL_DT_TD!$F:$K,3,0),0)</f>
        <v>0</v>
      </c>
      <c r="K24" s="482">
        <f t="shared" ca="1" si="1"/>
        <v>0</v>
      </c>
      <c r="L24" s="45"/>
      <c r="M24" s="483" t="s">
        <v>393</v>
      </c>
      <c r="N24" s="128">
        <f>VLOOKUP($A24&amp;M$2,XL_DT_TD!$F:$K,2,)</f>
        <v>4.2149999999999999</v>
      </c>
      <c r="O24" s="127">
        <f>IFERROR(VLOOKUP($A24&amp;M$2,XL_DT_TD!$F:$K,3,0),0)</f>
        <v>5.0199999999999996</v>
      </c>
      <c r="P24" s="482">
        <f t="shared" ca="1" si="2"/>
        <v>5.9549228944246737</v>
      </c>
      <c r="Q24" s="45"/>
      <c r="R24" s="483" t="s">
        <v>393</v>
      </c>
      <c r="S24" s="128">
        <f>VLOOKUP($A24&amp;R$2,XL_DT_TD!$F:$K,2,)</f>
        <v>4.2149999999999999</v>
      </c>
      <c r="T24" s="127">
        <f>IFERROR(VLOOKUP($A24&amp;R$2,XL_DT_TD!$F:$K,3,0),0)</f>
        <v>0</v>
      </c>
      <c r="U24" s="482">
        <f t="shared" ca="1" si="3"/>
        <v>0</v>
      </c>
      <c r="V24" s="45"/>
      <c r="W24" s="483" t="s">
        <v>393</v>
      </c>
      <c r="X24" s="128">
        <f>VLOOKUP($A24&amp;W$2,XL_DT_TD!$F:$K,2,)</f>
        <v>5.0579999999999998</v>
      </c>
      <c r="Y24" s="127">
        <f>IFERROR(VLOOKUP($A24&amp;W$2,XL_DT_TD!$F:$K,3,0),0)</f>
        <v>0</v>
      </c>
      <c r="Z24" s="482">
        <f t="shared" ca="1" si="4"/>
        <v>0</v>
      </c>
      <c r="AA24" s="45"/>
      <c r="AB24" s="483" t="s">
        <v>393</v>
      </c>
      <c r="AC24" s="128">
        <f>VLOOKUP($A24&amp;AB$2,XL_DT_TD!$F:$K,2,)</f>
        <v>2.8100000000000005</v>
      </c>
      <c r="AD24" s="127">
        <f>IFERROR(VLOOKUP($A24&amp;AB$2,XL_DT_TD!$F:$K,3,0),0)</f>
        <v>0</v>
      </c>
      <c r="AE24" s="129">
        <f t="shared" ca="1" si="5"/>
        <v>0</v>
      </c>
      <c r="AF24" s="45"/>
      <c r="AG24" s="483" t="s">
        <v>393</v>
      </c>
      <c r="AH24" s="128" t="e">
        <f>VLOOKUP($A24&amp;AG$2,XL_DT_TD!$F:$K,2,)</f>
        <v>#N/A</v>
      </c>
      <c r="AI24" s="127">
        <f>IFERROR(VLOOKUP($A24&amp;AG$2,XL_DT_TD!$F:$K,3,0),0)</f>
        <v>0</v>
      </c>
      <c r="AJ24" s="129" t="e">
        <f t="shared" ca="1" si="6"/>
        <v>#N/A</v>
      </c>
      <c r="AK24" s="45"/>
      <c r="AL24" s="467"/>
      <c r="AM24" s="128"/>
      <c r="AN24" s="127"/>
      <c r="AO24" s="129"/>
      <c r="AP24" s="45"/>
      <c r="AQ24" s="467"/>
      <c r="AR24" s="128"/>
      <c r="AS24" s="127"/>
      <c r="AT24" s="129"/>
      <c r="AU24" s="45"/>
      <c r="AV24" s="467"/>
      <c r="AW24" s="128"/>
      <c r="AX24" s="127"/>
      <c r="AY24" s="129"/>
      <c r="AZ24" s="45"/>
      <c r="BA24" s="45"/>
      <c r="BB24" s="45"/>
      <c r="BC24" s="45"/>
      <c r="BD24" s="45"/>
      <c r="BE24" s="45"/>
      <c r="BF24" s="45"/>
      <c r="BG24" s="45"/>
      <c r="BH24" s="45"/>
      <c r="BI24" s="45"/>
      <c r="BJ24" s="45"/>
      <c r="BK24" s="45"/>
      <c r="BL24" s="45"/>
      <c r="BM24" s="45"/>
      <c r="BN24" s="45"/>
      <c r="BO24" s="45"/>
      <c r="BP24" s="45"/>
      <c r="BQ24" s="45"/>
      <c r="BR24" s="45"/>
      <c r="BS24" s="45"/>
      <c r="BT24" s="45"/>
      <c r="BU24" s="45"/>
      <c r="BV24" s="45"/>
      <c r="BW24" s="45"/>
      <c r="BX24" s="45"/>
      <c r="BY24" s="45"/>
      <c r="BZ24" s="45"/>
      <c r="CA24" s="45"/>
      <c r="CB24" s="45"/>
      <c r="CC24" s="45"/>
      <c r="CD24" s="45"/>
      <c r="CE24" s="45"/>
      <c r="CF24" s="45"/>
      <c r="CG24" s="45"/>
      <c r="CH24" s="45"/>
      <c r="CI24" s="45"/>
      <c r="CJ24" s="45"/>
      <c r="CK24" s="45"/>
      <c r="CL24" s="45"/>
      <c r="CM24" s="45"/>
      <c r="CN24" s="45"/>
      <c r="CO24" s="45"/>
      <c r="CP24" s="45"/>
      <c r="CQ24" s="45"/>
      <c r="CR24" s="45"/>
    </row>
    <row r="25" spans="1:96" s="37" customFormat="1" ht="16" customHeight="1" outlineLevel="1">
      <c r="A25" s="465" t="s">
        <v>386</v>
      </c>
      <c r="B25" s="236"/>
      <c r="C25" s="483" t="s">
        <v>399</v>
      </c>
      <c r="D25" s="128" t="e">
        <f>VLOOKUP($A25&amp;C$2,XL_DT_TD!$F:$K,2,)</f>
        <v>#N/A</v>
      </c>
      <c r="E25" s="127">
        <f>IFERROR(VLOOKUP($A25&amp;C$2,XL_DT_TD!$F:$K,3,0),0)</f>
        <v>0</v>
      </c>
      <c r="F25" s="482" t="e">
        <f t="shared" ca="1" si="7"/>
        <v>#N/A</v>
      </c>
      <c r="G25" s="45"/>
      <c r="H25" s="483" t="s">
        <v>399</v>
      </c>
      <c r="I25" s="128" t="e">
        <f>VLOOKUP($A25&amp;H$2,XL_DT_TD!$F:$K,2,)</f>
        <v>#N/A</v>
      </c>
      <c r="J25" s="127">
        <f>IFERROR(VLOOKUP($A25&amp;H$2,XL_DT_TD!$F:$K,3,0),0)</f>
        <v>0</v>
      </c>
      <c r="K25" s="482" t="e">
        <f t="shared" ca="1" si="1"/>
        <v>#N/A</v>
      </c>
      <c r="L25" s="45"/>
      <c r="M25" s="483" t="s">
        <v>399</v>
      </c>
      <c r="N25" s="128" t="e">
        <f>VLOOKUP($A25&amp;M$2,XL_DT_TD!$F:$K,2,)</f>
        <v>#N/A</v>
      </c>
      <c r="O25" s="127">
        <f>IFERROR(VLOOKUP($A25&amp;M$2,XL_DT_TD!$F:$K,3,0),0)</f>
        <v>0</v>
      </c>
      <c r="P25" s="482" t="e">
        <f t="shared" ca="1" si="2"/>
        <v>#N/A</v>
      </c>
      <c r="Q25" s="45"/>
      <c r="R25" s="483" t="s">
        <v>399</v>
      </c>
      <c r="S25" s="128" t="e">
        <f>VLOOKUP($A25&amp;R$2,XL_DT_TD!$F:$K,2,)</f>
        <v>#N/A</v>
      </c>
      <c r="T25" s="127">
        <f>IFERROR(VLOOKUP($A25&amp;R$2,XL_DT_TD!$F:$K,3,0),0)</f>
        <v>0</v>
      </c>
      <c r="U25" s="482" t="e">
        <f t="shared" ca="1" si="3"/>
        <v>#N/A</v>
      </c>
      <c r="V25" s="45"/>
      <c r="W25" s="483" t="s">
        <v>399</v>
      </c>
      <c r="X25" s="128" t="e">
        <f>VLOOKUP($A25&amp;W$2,XL_DT_TD!$F:$K,2,)</f>
        <v>#N/A</v>
      </c>
      <c r="Y25" s="127">
        <f>IFERROR(VLOOKUP($A25&amp;W$2,XL_DT_TD!$F:$K,3,0),0)</f>
        <v>0</v>
      </c>
      <c r="Z25" s="482" t="e">
        <f t="shared" ca="1" si="4"/>
        <v>#N/A</v>
      </c>
      <c r="AA25" s="45"/>
      <c r="AB25" s="483" t="s">
        <v>399</v>
      </c>
      <c r="AC25" s="128" t="e">
        <f>VLOOKUP($A25&amp;AB$2,XL_DT_TD!$F:$K,2,)</f>
        <v>#N/A</v>
      </c>
      <c r="AD25" s="127">
        <f>IFERROR(VLOOKUP($A25&amp;AB$2,XL_DT_TD!$F:$K,3,0),0)</f>
        <v>0</v>
      </c>
      <c r="AE25" s="129" t="e">
        <f t="shared" ca="1" si="5"/>
        <v>#N/A</v>
      </c>
      <c r="AF25" s="45"/>
      <c r="AG25" s="483" t="s">
        <v>399</v>
      </c>
      <c r="AH25" s="128" t="e">
        <f>VLOOKUP($A25&amp;AG$2,XL_DT_TD!$F:$K,2,)</f>
        <v>#N/A</v>
      </c>
      <c r="AI25" s="127">
        <f>IFERROR(VLOOKUP($A25&amp;AG$2,XL_DT_TD!$F:$K,3,0),0)</f>
        <v>0</v>
      </c>
      <c r="AJ25" s="129" t="e">
        <f t="shared" ca="1" si="6"/>
        <v>#N/A</v>
      </c>
      <c r="AK25" s="45"/>
      <c r="AL25" s="467"/>
      <c r="AM25" s="128"/>
      <c r="AN25" s="127"/>
      <c r="AO25" s="129"/>
      <c r="AP25" s="45"/>
      <c r="AQ25" s="467"/>
      <c r="AR25" s="128"/>
      <c r="AS25" s="127"/>
      <c r="AT25" s="129"/>
      <c r="AU25" s="45"/>
      <c r="AV25" s="467"/>
      <c r="AW25" s="128"/>
      <c r="AX25" s="127"/>
      <c r="AY25" s="129"/>
      <c r="AZ25" s="45"/>
      <c r="BA25" s="45"/>
      <c r="BB25" s="45"/>
      <c r="BC25" s="45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  <c r="BW25" s="45"/>
      <c r="BX25" s="45"/>
      <c r="BY25" s="45"/>
      <c r="BZ25" s="45"/>
      <c r="CA25" s="45"/>
      <c r="CB25" s="45"/>
      <c r="CC25" s="45"/>
      <c r="CD25" s="45"/>
      <c r="CE25" s="45"/>
      <c r="CF25" s="45"/>
      <c r="CG25" s="45"/>
      <c r="CH25" s="45"/>
      <c r="CI25" s="45"/>
      <c r="CJ25" s="45"/>
      <c r="CK25" s="45"/>
      <c r="CL25" s="45"/>
      <c r="CM25" s="45"/>
      <c r="CN25" s="45"/>
      <c r="CO25" s="45"/>
      <c r="CP25" s="45"/>
      <c r="CQ25" s="45"/>
      <c r="CR25" s="45"/>
    </row>
    <row r="26" spans="1:96" s="37" customFormat="1" ht="16" customHeight="1" outlineLevel="1">
      <c r="A26" s="466" t="s">
        <v>383</v>
      </c>
      <c r="B26" s="236"/>
      <c r="C26" s="483" t="s">
        <v>400</v>
      </c>
      <c r="D26" s="128" t="e">
        <f>VLOOKUP($A26&amp;C$2,XL_DT_TD!$F:$K,2,)</f>
        <v>#N/A</v>
      </c>
      <c r="E26" s="127">
        <f>IFERROR(VLOOKUP($A26&amp;C$2,XL_DT_TD!$F:$K,3,0),0)</f>
        <v>0</v>
      </c>
      <c r="F26" s="482" t="e">
        <f t="shared" ca="1" si="7"/>
        <v>#N/A</v>
      </c>
      <c r="G26" s="45"/>
      <c r="H26" s="483" t="s">
        <v>400</v>
      </c>
      <c r="I26" s="128" t="e">
        <f>VLOOKUP($A26&amp;H$2,XL_DT_TD!$F:$K,2,)</f>
        <v>#N/A</v>
      </c>
      <c r="J26" s="127">
        <f>IFERROR(VLOOKUP($A26&amp;H$2,XL_DT_TD!$F:$K,3,0),0)</f>
        <v>0</v>
      </c>
      <c r="K26" s="482" t="e">
        <f t="shared" ca="1" si="1"/>
        <v>#N/A</v>
      </c>
      <c r="L26" s="45"/>
      <c r="M26" s="483" t="s">
        <v>400</v>
      </c>
      <c r="N26" s="128" t="e">
        <f>VLOOKUP($A26&amp;M$2,XL_DT_TD!$F:$K,2,)</f>
        <v>#N/A</v>
      </c>
      <c r="O26" s="127">
        <f>IFERROR(VLOOKUP($A26&amp;M$2,XL_DT_TD!$F:$K,3,0),0)</f>
        <v>0</v>
      </c>
      <c r="P26" s="482" t="e">
        <f t="shared" ca="1" si="2"/>
        <v>#N/A</v>
      </c>
      <c r="Q26" s="45"/>
      <c r="R26" s="483" t="s">
        <v>400</v>
      </c>
      <c r="S26" s="128" t="e">
        <f>VLOOKUP($A26&amp;R$2,XL_DT_TD!$F:$K,2,)</f>
        <v>#N/A</v>
      </c>
      <c r="T26" s="127">
        <f>IFERROR(VLOOKUP($A26&amp;R$2,XL_DT_TD!$F:$K,3,0),0)</f>
        <v>0</v>
      </c>
      <c r="U26" s="482" t="e">
        <f t="shared" ca="1" si="3"/>
        <v>#N/A</v>
      </c>
      <c r="V26" s="45"/>
      <c r="W26" s="483" t="s">
        <v>400</v>
      </c>
      <c r="X26" s="128" t="e">
        <f>VLOOKUP($A26&amp;W$2,XL_DT_TD!$F:$K,2,)</f>
        <v>#N/A</v>
      </c>
      <c r="Y26" s="127">
        <f>IFERROR(VLOOKUP($A26&amp;W$2,XL_DT_TD!$F:$K,3,0),0)</f>
        <v>0</v>
      </c>
      <c r="Z26" s="482" t="e">
        <f t="shared" ca="1" si="4"/>
        <v>#N/A</v>
      </c>
      <c r="AA26" s="45"/>
      <c r="AB26" s="483" t="s">
        <v>400</v>
      </c>
      <c r="AC26" s="128" t="e">
        <f>VLOOKUP($A26&amp;AB$2,XL_DT_TD!$F:$K,2,)</f>
        <v>#N/A</v>
      </c>
      <c r="AD26" s="127">
        <f>IFERROR(VLOOKUP($A26&amp;AB$2,XL_DT_TD!$F:$K,3,0),0)</f>
        <v>0</v>
      </c>
      <c r="AE26" s="129" t="e">
        <f t="shared" ca="1" si="5"/>
        <v>#N/A</v>
      </c>
      <c r="AF26" s="45"/>
      <c r="AG26" s="483" t="s">
        <v>400</v>
      </c>
      <c r="AH26" s="128" t="e">
        <f>VLOOKUP($A26&amp;AG$2,XL_DT_TD!$F:$K,2,)</f>
        <v>#N/A</v>
      </c>
      <c r="AI26" s="127">
        <f>IFERROR(VLOOKUP($A26&amp;AG$2,XL_DT_TD!$F:$K,3,0),0)</f>
        <v>0</v>
      </c>
      <c r="AJ26" s="129" t="e">
        <f t="shared" ca="1" si="6"/>
        <v>#N/A</v>
      </c>
      <c r="AK26" s="45"/>
      <c r="AL26" s="467"/>
      <c r="AM26" s="128"/>
      <c r="AN26" s="127"/>
      <c r="AO26" s="129"/>
      <c r="AP26" s="45"/>
      <c r="AQ26" s="467"/>
      <c r="AR26" s="128"/>
      <c r="AS26" s="127"/>
      <c r="AT26" s="129"/>
      <c r="AU26" s="45"/>
      <c r="AV26" s="467"/>
      <c r="AW26" s="128"/>
      <c r="AX26" s="127"/>
      <c r="AY26" s="129"/>
      <c r="AZ26" s="45"/>
      <c r="BA26" s="45"/>
      <c r="BB26" s="45"/>
      <c r="BC26" s="45"/>
      <c r="BD26" s="45"/>
      <c r="BE26" s="45"/>
      <c r="BF26" s="45"/>
      <c r="BG26" s="45"/>
      <c r="BH26" s="45"/>
      <c r="BI26" s="45"/>
      <c r="BJ26" s="45"/>
      <c r="BK26" s="45"/>
      <c r="BL26" s="45"/>
      <c r="BM26" s="45"/>
      <c r="BN26" s="45"/>
      <c r="BO26" s="45"/>
      <c r="BP26" s="45"/>
      <c r="BQ26" s="45"/>
      <c r="BR26" s="45"/>
      <c r="BS26" s="45"/>
      <c r="BT26" s="45"/>
      <c r="BU26" s="45"/>
      <c r="BV26" s="45"/>
      <c r="BW26" s="45"/>
      <c r="BX26" s="45"/>
      <c r="BY26" s="45"/>
      <c r="BZ26" s="45"/>
      <c r="CA26" s="45"/>
      <c r="CB26" s="45"/>
      <c r="CC26" s="45"/>
      <c r="CD26" s="45"/>
      <c r="CE26" s="45"/>
      <c r="CF26" s="45"/>
      <c r="CG26" s="45"/>
      <c r="CH26" s="45"/>
      <c r="CI26" s="45"/>
      <c r="CJ26" s="45"/>
      <c r="CK26" s="45"/>
      <c r="CL26" s="45"/>
      <c r="CM26" s="45"/>
      <c r="CN26" s="45"/>
      <c r="CO26" s="45"/>
      <c r="CP26" s="45"/>
      <c r="CQ26" s="45"/>
      <c r="CR26" s="45"/>
    </row>
    <row r="27" spans="1:96" s="37" customFormat="1" ht="16" customHeight="1" outlineLevel="1">
      <c r="A27" s="465" t="s">
        <v>227</v>
      </c>
      <c r="B27" s="236"/>
      <c r="C27" s="484" t="s">
        <v>401</v>
      </c>
      <c r="D27" s="128" t="e">
        <f>VLOOKUP($A27&amp;C$2,XL_DT_TD!$F:$K,2,)</f>
        <v>#N/A</v>
      </c>
      <c r="E27" s="127">
        <f>IFERROR(VLOOKUP($A27&amp;C$2,XL_DT_TD!$F:$K,3,0),0)</f>
        <v>0</v>
      </c>
      <c r="F27" s="482" t="e">
        <f t="shared" ca="1" si="7"/>
        <v>#N/A</v>
      </c>
      <c r="G27" s="45"/>
      <c r="H27" s="484" t="s">
        <v>401</v>
      </c>
      <c r="I27" s="128" t="e">
        <f>VLOOKUP($A27&amp;H$2,XL_DT_TD!$F:$K,2,)</f>
        <v>#N/A</v>
      </c>
      <c r="J27" s="127">
        <f>IFERROR(VLOOKUP($A27&amp;H$2,XL_DT_TD!$F:$K,3,0),0)</f>
        <v>0</v>
      </c>
      <c r="K27" s="482" t="e">
        <f t="shared" ca="1" si="1"/>
        <v>#N/A</v>
      </c>
      <c r="L27" s="45"/>
      <c r="M27" s="484" t="s">
        <v>401</v>
      </c>
      <c r="N27" s="128" t="e">
        <f>VLOOKUP($A27&amp;M$2,XL_DT_TD!$F:$K,2,)</f>
        <v>#N/A</v>
      </c>
      <c r="O27" s="127">
        <f>IFERROR(VLOOKUP($A27&amp;M$2,XL_DT_TD!$F:$K,3,0),0)</f>
        <v>0</v>
      </c>
      <c r="P27" s="482" t="e">
        <f t="shared" ca="1" si="2"/>
        <v>#N/A</v>
      </c>
      <c r="Q27" s="45"/>
      <c r="R27" s="484" t="s">
        <v>401</v>
      </c>
      <c r="S27" s="128" t="e">
        <f>VLOOKUP($A27&amp;R$2,XL_DT_TD!$F:$K,2,)</f>
        <v>#N/A</v>
      </c>
      <c r="T27" s="127">
        <f>IFERROR(VLOOKUP($A27&amp;R$2,XL_DT_TD!$F:$K,3,0),0)</f>
        <v>0</v>
      </c>
      <c r="U27" s="482" t="e">
        <f t="shared" ca="1" si="3"/>
        <v>#N/A</v>
      </c>
      <c r="V27" s="45"/>
      <c r="W27" s="484" t="s">
        <v>401</v>
      </c>
      <c r="X27" s="128" t="e">
        <f>VLOOKUP($A27&amp;W$2,XL_DT_TD!$F:$K,2,)</f>
        <v>#N/A</v>
      </c>
      <c r="Y27" s="127">
        <f>IFERROR(VLOOKUP($A27&amp;W$2,XL_DT_TD!$F:$K,3,0),0)</f>
        <v>0</v>
      </c>
      <c r="Z27" s="482" t="e">
        <f t="shared" ca="1" si="4"/>
        <v>#N/A</v>
      </c>
      <c r="AA27" s="45"/>
      <c r="AB27" s="484" t="s">
        <v>401</v>
      </c>
      <c r="AC27" s="128" t="e">
        <f>VLOOKUP($A27&amp;AB$2,XL_DT_TD!$F:$K,2,)</f>
        <v>#N/A</v>
      </c>
      <c r="AD27" s="127">
        <f>IFERROR(VLOOKUP($A27&amp;AB$2,XL_DT_TD!$F:$K,3,0),0)</f>
        <v>0</v>
      </c>
      <c r="AE27" s="129" t="e">
        <f t="shared" ca="1" si="5"/>
        <v>#N/A</v>
      </c>
      <c r="AF27" s="45"/>
      <c r="AG27" s="484" t="s">
        <v>401</v>
      </c>
      <c r="AH27" s="128" t="e">
        <f>VLOOKUP($A27&amp;AG$2,XL_DT_TD!$F:$K,2,)</f>
        <v>#N/A</v>
      </c>
      <c r="AI27" s="127">
        <f>IFERROR(VLOOKUP($A27&amp;AG$2,XL_DT_TD!$F:$K,3,0),0)</f>
        <v>0</v>
      </c>
      <c r="AJ27" s="129" t="e">
        <f t="shared" ca="1" si="6"/>
        <v>#N/A</v>
      </c>
      <c r="AK27" s="45"/>
      <c r="AL27" s="225"/>
      <c r="AM27" s="128"/>
      <c r="AN27" s="127"/>
      <c r="AO27" s="129"/>
      <c r="AP27" s="45"/>
      <c r="AQ27" s="225"/>
      <c r="AR27" s="128"/>
      <c r="AS27" s="127"/>
      <c r="AT27" s="129"/>
      <c r="AU27" s="45"/>
      <c r="AV27" s="225"/>
      <c r="AW27" s="128"/>
      <c r="AX27" s="127"/>
      <c r="AY27" s="129"/>
      <c r="AZ27" s="45"/>
      <c r="BA27" s="45"/>
      <c r="BB27" s="45"/>
      <c r="BC27" s="45"/>
      <c r="BD27" s="45"/>
      <c r="BE27" s="45"/>
      <c r="BF27" s="45"/>
      <c r="BG27" s="45"/>
      <c r="BH27" s="45"/>
      <c r="BI27" s="45"/>
      <c r="BJ27" s="45"/>
      <c r="BK27" s="45"/>
      <c r="BL27" s="45"/>
      <c r="BM27" s="45"/>
      <c r="BN27" s="45"/>
      <c r="BO27" s="45"/>
      <c r="BP27" s="45"/>
      <c r="BQ27" s="45"/>
      <c r="BR27" s="45"/>
      <c r="BS27" s="45"/>
      <c r="BT27" s="45"/>
      <c r="BU27" s="45"/>
      <c r="BV27" s="45"/>
      <c r="BW27" s="45"/>
      <c r="BX27" s="45"/>
      <c r="BY27" s="45"/>
      <c r="BZ27" s="45"/>
      <c r="CA27" s="45"/>
      <c r="CB27" s="45"/>
      <c r="CC27" s="45"/>
      <c r="CD27" s="45"/>
      <c r="CE27" s="45"/>
      <c r="CF27" s="45"/>
      <c r="CG27" s="45"/>
      <c r="CH27" s="45"/>
      <c r="CI27" s="45"/>
      <c r="CJ27" s="45"/>
      <c r="CK27" s="45"/>
      <c r="CL27" s="45"/>
      <c r="CM27" s="45"/>
      <c r="CN27" s="45"/>
      <c r="CO27" s="45"/>
      <c r="CP27" s="45"/>
      <c r="CQ27" s="45"/>
      <c r="CR27" s="45"/>
    </row>
    <row r="28" spans="1:96" s="39" customFormat="1" ht="19">
      <c r="A28" s="41"/>
      <c r="B28" s="257"/>
      <c r="C28" s="485" t="s">
        <v>2</v>
      </c>
      <c r="D28" s="156" t="e">
        <f>SUMIFS('Hieu Qua NV'!#REF!,'Hieu Qua NV'!#REF!,'TD THI DUA'!C2)</f>
        <v>#REF!</v>
      </c>
      <c r="E28" s="157" t="e">
        <f>SUMIFS('Hieu Qua NV'!#REF!,'Hieu Qua NV'!#REF!,'TD THI DUA'!C2)</f>
        <v>#REF!</v>
      </c>
      <c r="F28" s="486" t="e">
        <f t="shared" ca="1" si="0"/>
        <v>#REF!</v>
      </c>
      <c r="G28" s="45"/>
      <c r="H28" s="485" t="s">
        <v>2</v>
      </c>
      <c r="I28" s="156" t="e">
        <f>SUMIFS('Hieu Qua NV'!#REF!,'Hieu Qua NV'!#REF!,'TD THI DUA'!H2)</f>
        <v>#REF!</v>
      </c>
      <c r="J28" s="157" t="e">
        <f>SUMIFS('Hieu Qua NV'!#REF!,'Hieu Qua NV'!#REF!,'TD THI DUA'!H2)</f>
        <v>#REF!</v>
      </c>
      <c r="K28" s="486" t="e">
        <f t="shared" ca="1" si="1"/>
        <v>#REF!</v>
      </c>
      <c r="L28" s="45"/>
      <c r="M28" s="485" t="s">
        <v>2</v>
      </c>
      <c r="N28" s="156" t="e">
        <f>SUMIFS('Hieu Qua NV'!#REF!,'Hieu Qua NV'!#REF!,'TD THI DUA'!M2)</f>
        <v>#REF!</v>
      </c>
      <c r="O28" s="157" t="e">
        <f>SUMIFS('Hieu Qua NV'!#REF!,'Hieu Qua NV'!#REF!,'TD THI DUA'!M2)</f>
        <v>#REF!</v>
      </c>
      <c r="P28" s="486" t="e">
        <f t="shared" ca="1" si="2"/>
        <v>#REF!</v>
      </c>
      <c r="Q28" s="45"/>
      <c r="R28" s="485" t="s">
        <v>2</v>
      </c>
      <c r="S28" s="156" t="e">
        <f>SUMIFS('Hieu Qua NV'!#REF!,'Hieu Qua NV'!#REF!,'TD THI DUA'!R2)</f>
        <v>#REF!</v>
      </c>
      <c r="T28" s="157" t="e">
        <f>SUMIFS('Hieu Qua NV'!#REF!,'Hieu Qua NV'!#REF!,'TD THI DUA'!R2)</f>
        <v>#REF!</v>
      </c>
      <c r="U28" s="486" t="e">
        <f t="shared" ca="1" si="3"/>
        <v>#REF!</v>
      </c>
      <c r="V28" s="45"/>
      <c r="W28" s="485" t="s">
        <v>2</v>
      </c>
      <c r="X28" s="156" t="e">
        <f>SUMIFS('Hieu Qua NV'!#REF!,'Hieu Qua NV'!#REF!,'TD THI DUA'!W2)</f>
        <v>#REF!</v>
      </c>
      <c r="Y28" s="157" t="e">
        <f>SUMIFS('Hieu Qua NV'!#REF!,'Hieu Qua NV'!#REF!,'TD THI DUA'!W2)</f>
        <v>#REF!</v>
      </c>
      <c r="Z28" s="486" t="e">
        <f t="shared" ca="1" si="4"/>
        <v>#REF!</v>
      </c>
      <c r="AA28" s="45"/>
      <c r="AB28" s="155" t="s">
        <v>2</v>
      </c>
      <c r="AC28" s="156" t="e">
        <f>SUMIFS('Hieu Qua NV'!#REF!,'Hieu Qua NV'!#REF!,'TD THI DUA'!AB2)</f>
        <v>#REF!</v>
      </c>
      <c r="AD28" s="157" t="e">
        <f>SUMIFS('Hieu Qua NV'!#REF!,'Hieu Qua NV'!#REF!,'TD THI DUA'!AB2)</f>
        <v>#REF!</v>
      </c>
      <c r="AE28" s="158" t="e">
        <f t="shared" ca="1" si="5"/>
        <v>#REF!</v>
      </c>
      <c r="AF28" s="45"/>
      <c r="AG28" s="155" t="s">
        <v>2</v>
      </c>
      <c r="AH28" s="156" t="e">
        <f>SUMIFS('Hieu Qua NV'!#REF!,'Hieu Qua NV'!#REF!,'TD THI DUA'!AG2)</f>
        <v>#REF!</v>
      </c>
      <c r="AI28" s="157" t="e">
        <f>SUMIFS('Hieu Qua NV'!#REF!,'Hieu Qua NV'!#REF!,'TD THI DUA'!AG2)</f>
        <v>#REF!</v>
      </c>
      <c r="AJ28" s="158" t="e">
        <f t="shared" ca="1" si="6"/>
        <v>#REF!</v>
      </c>
      <c r="AK28" s="45"/>
      <c r="AL28" s="155"/>
      <c r="AM28" s="156"/>
      <c r="AN28" s="157"/>
      <c r="AO28" s="158"/>
      <c r="AP28" s="45"/>
      <c r="AQ28" s="155"/>
      <c r="AR28" s="156"/>
      <c r="AS28" s="157"/>
      <c r="AT28" s="158"/>
      <c r="AU28" s="45"/>
      <c r="AV28" s="155"/>
      <c r="AW28" s="156"/>
      <c r="AX28" s="157"/>
      <c r="AY28" s="158"/>
      <c r="AZ28" s="45"/>
      <c r="BA28" s="45"/>
      <c r="BB28" s="45"/>
      <c r="BC28" s="45"/>
      <c r="BD28" s="45"/>
      <c r="BE28" s="45"/>
      <c r="BF28" s="45"/>
      <c r="BG28" s="45"/>
      <c r="BH28" s="45"/>
      <c r="BI28" s="45"/>
      <c r="BJ28" s="45"/>
      <c r="BK28" s="45"/>
      <c r="BL28" s="45"/>
      <c r="BM28" s="45"/>
      <c r="BN28" s="45"/>
      <c r="BO28" s="45"/>
      <c r="BP28" s="45"/>
      <c r="BQ28" s="45"/>
      <c r="BR28" s="45"/>
      <c r="BS28" s="45"/>
      <c r="BT28" s="45"/>
      <c r="BU28" s="45"/>
      <c r="BV28" s="45"/>
      <c r="BW28" s="45"/>
      <c r="BX28" s="45"/>
      <c r="BY28" s="45"/>
      <c r="BZ28" s="45"/>
      <c r="CA28" s="45"/>
      <c r="CB28" s="45"/>
      <c r="CC28" s="45"/>
      <c r="CD28" s="45"/>
      <c r="CE28" s="45"/>
      <c r="CF28" s="45"/>
      <c r="CG28" s="45"/>
      <c r="CH28" s="45"/>
      <c r="CI28" s="45"/>
      <c r="CJ28" s="45"/>
      <c r="CK28" s="45"/>
      <c r="CL28" s="45"/>
      <c r="CM28" s="45"/>
      <c r="CN28" s="45"/>
      <c r="CO28" s="45"/>
      <c r="CP28" s="45"/>
      <c r="CQ28" s="45"/>
      <c r="CR28" s="45"/>
    </row>
    <row r="29" spans="1:96" s="39" customFormat="1" ht="20" customHeight="1">
      <c r="A29" s="41"/>
      <c r="B29" s="257"/>
      <c r="C29" s="487" t="s">
        <v>213</v>
      </c>
      <c r="D29" s="488" t="e">
        <f>SUMIFS('Hieu Qua NV'!#REF!,'Hieu Qua NV'!#REF!,'TD THI DUA'!C2)</f>
        <v>#REF!</v>
      </c>
      <c r="E29" s="489" t="e">
        <f>SUMIFS('Hieu Qua NV'!#REF!,'Hieu Qua NV'!#REF!,'TD THI DUA'!C2)</f>
        <v>#REF!</v>
      </c>
      <c r="F29" s="490" t="e">
        <f t="shared" ca="1" si="0"/>
        <v>#REF!</v>
      </c>
      <c r="G29" s="45"/>
      <c r="H29" s="487" t="s">
        <v>213</v>
      </c>
      <c r="I29" s="488" t="e">
        <f>SUMIFS('Hieu Qua NV'!#REF!,'Hieu Qua NV'!#REF!,'TD THI DUA'!H2)</f>
        <v>#REF!</v>
      </c>
      <c r="J29" s="489" t="e">
        <f>SUMIFS('Hieu Qua NV'!#REF!,'Hieu Qua NV'!#REF!,'TD THI DUA'!H2)</f>
        <v>#REF!</v>
      </c>
      <c r="K29" s="490" t="e">
        <f t="shared" ca="1" si="1"/>
        <v>#REF!</v>
      </c>
      <c r="L29" s="45"/>
      <c r="M29" s="487" t="s">
        <v>213</v>
      </c>
      <c r="N29" s="488" t="e">
        <f>SUMIFS('Hieu Qua NV'!#REF!,'Hieu Qua NV'!#REF!,'TD THI DUA'!M2)</f>
        <v>#REF!</v>
      </c>
      <c r="O29" s="489" t="e">
        <f>SUMIFS('Hieu Qua NV'!#REF!,'Hieu Qua NV'!#REF!,'TD THI DUA'!M2)</f>
        <v>#REF!</v>
      </c>
      <c r="P29" s="490" t="e">
        <f t="shared" ca="1" si="2"/>
        <v>#REF!</v>
      </c>
      <c r="Q29" s="45"/>
      <c r="R29" s="487" t="s">
        <v>213</v>
      </c>
      <c r="S29" s="488" t="e">
        <f>SUMIFS('Hieu Qua NV'!#REF!,'Hieu Qua NV'!#REF!,'TD THI DUA'!R2)</f>
        <v>#REF!</v>
      </c>
      <c r="T29" s="489" t="e">
        <f>SUMIFS('Hieu Qua NV'!#REF!,'Hieu Qua NV'!#REF!,'TD THI DUA'!R2)</f>
        <v>#REF!</v>
      </c>
      <c r="U29" s="490" t="e">
        <f t="shared" ca="1" si="3"/>
        <v>#REF!</v>
      </c>
      <c r="V29" s="45"/>
      <c r="W29" s="487" t="s">
        <v>213</v>
      </c>
      <c r="X29" s="488" t="e">
        <f>SUMIFS('Hieu Qua NV'!#REF!,'Hieu Qua NV'!#REF!,'TD THI DUA'!W2)</f>
        <v>#REF!</v>
      </c>
      <c r="Y29" s="489" t="e">
        <f>SUMIFS('Hieu Qua NV'!#REF!,'Hieu Qua NV'!#REF!,'TD THI DUA'!W2)</f>
        <v>#REF!</v>
      </c>
      <c r="Z29" s="490" t="e">
        <f t="shared" ca="1" si="4"/>
        <v>#REF!</v>
      </c>
      <c r="AA29" s="45"/>
      <c r="AB29" s="159" t="s">
        <v>213</v>
      </c>
      <c r="AC29" s="160" t="e">
        <f>SUMIFS('Hieu Qua NV'!#REF!,'Hieu Qua NV'!#REF!,'TD THI DUA'!AB2)</f>
        <v>#REF!</v>
      </c>
      <c r="AD29" s="161" t="e">
        <f>SUMIFS('Hieu Qua NV'!#REF!,'Hieu Qua NV'!#REF!,'TD THI DUA'!AB2)</f>
        <v>#REF!</v>
      </c>
      <c r="AE29" s="162" t="e">
        <f t="shared" ca="1" si="5"/>
        <v>#REF!</v>
      </c>
      <c r="AF29" s="45"/>
      <c r="AG29" s="159" t="s">
        <v>213</v>
      </c>
      <c r="AH29" s="160" t="e">
        <f>SUMIFS('Hieu Qua NV'!#REF!,'Hieu Qua NV'!#REF!,'TD THI DUA'!AG2)</f>
        <v>#REF!</v>
      </c>
      <c r="AI29" s="161" t="e">
        <f>SUMIFS('Hieu Qua NV'!#REF!,'Hieu Qua NV'!#REF!,'TD THI DUA'!AG2)</f>
        <v>#REF!</v>
      </c>
      <c r="AJ29" s="162" t="e">
        <f t="shared" ca="1" si="6"/>
        <v>#REF!</v>
      </c>
      <c r="AK29" s="45"/>
      <c r="AL29" s="159"/>
      <c r="AM29" s="160"/>
      <c r="AN29" s="161"/>
      <c r="AO29" s="162"/>
      <c r="AP29" s="45"/>
      <c r="AQ29" s="159"/>
      <c r="AR29" s="160"/>
      <c r="AS29" s="161"/>
      <c r="AT29" s="162"/>
      <c r="AU29" s="45"/>
      <c r="AV29" s="159"/>
      <c r="AW29" s="160"/>
      <c r="AX29" s="161"/>
      <c r="AY29" s="162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5"/>
      <c r="CB29" s="45"/>
      <c r="CC29" s="45"/>
      <c r="CD29" s="45"/>
      <c r="CE29" s="45"/>
      <c r="CF29" s="45"/>
      <c r="CG29" s="45"/>
      <c r="CH29" s="45"/>
      <c r="CI29" s="45"/>
      <c r="CJ29" s="45"/>
      <c r="CK29" s="45"/>
      <c r="CL29" s="45"/>
      <c r="CM29" s="45"/>
      <c r="CN29" s="45"/>
      <c r="CO29" s="45"/>
      <c r="CP29" s="45"/>
      <c r="CQ29" s="45"/>
      <c r="CR29" s="45"/>
    </row>
    <row r="31" spans="1:96" ht="21" customHeight="1">
      <c r="B31" s="256"/>
      <c r="C31" s="491" t="str">
        <f>'Thi dua NV'!B16</f>
        <v>Trần Thị Nhung - 11082</v>
      </c>
      <c r="D31" s="492"/>
      <c r="E31" s="493"/>
      <c r="F31" s="494" t="str">
        <f ca="1">COUNTIF(F34:F43,"&gt;=1")&amp;"/"&amp;COUNT(F34:F43)</f>
        <v>1/5</v>
      </c>
      <c r="H31" s="499" t="str">
        <f>'Thi dua NV'!B17</f>
        <v>Nguyễn Thị Phương Oanh - 164808</v>
      </c>
      <c r="I31" s="492"/>
      <c r="J31" s="493"/>
      <c r="K31" s="494" t="str">
        <f ca="1">COUNTIF(K34:K43,"&gt;=1")&amp;"/"&amp;COUNT(K34:K43)</f>
        <v>0/5</v>
      </c>
      <c r="M31" s="491" t="str">
        <f>'Thi dua NV'!B18</f>
        <v>Nguyễn Anh Tài - 269055</v>
      </c>
      <c r="N31" s="492"/>
      <c r="O31" s="493"/>
      <c r="P31" s="494" t="str">
        <f ca="1">COUNTIF(P34:P43,"&gt;=1")&amp;"/"&amp;COUNT(P34:P43)</f>
        <v>0/5</v>
      </c>
      <c r="R31" s="491" t="str">
        <f>'Thi dua NV'!B19</f>
        <v>Lê Văn Hợp - 279884</v>
      </c>
      <c r="S31" s="492"/>
      <c r="T31" s="493"/>
      <c r="U31" s="494" t="str">
        <f ca="1">COUNTIF(U34:U43,"&gt;=1")&amp;"/"&amp;COUNT(U34:U43)</f>
        <v>1/5</v>
      </c>
      <c r="W31" s="246"/>
      <c r="X31" s="247"/>
      <c r="Y31" s="248"/>
      <c r="Z31" s="249"/>
      <c r="AB31" s="246"/>
      <c r="AC31" s="247"/>
      <c r="AD31" s="248"/>
      <c r="AE31" s="249"/>
      <c r="AG31" s="246"/>
      <c r="AH31" s="247"/>
      <c r="AI31" s="248"/>
      <c r="AJ31" s="249"/>
      <c r="AL31" s="246"/>
      <c r="AM31" s="247"/>
      <c r="AN31" s="248"/>
      <c r="AO31" s="249"/>
      <c r="AQ31" s="246"/>
      <c r="AR31" s="247"/>
      <c r="AS31" s="248"/>
      <c r="AT31" s="249"/>
      <c r="AV31" s="246"/>
      <c r="AW31" s="247"/>
      <c r="AX31" s="248"/>
      <c r="AY31" s="249"/>
    </row>
    <row r="32" spans="1:96" ht="21">
      <c r="B32" s="256"/>
      <c r="C32" s="787" t="s">
        <v>16</v>
      </c>
      <c r="D32" s="251" t="s">
        <v>179</v>
      </c>
      <c r="E32" s="252"/>
      <c r="F32" s="495"/>
      <c r="H32" s="787" t="s">
        <v>16</v>
      </c>
      <c r="I32" s="251" t="s">
        <v>179</v>
      </c>
      <c r="J32" s="252"/>
      <c r="K32" s="495"/>
      <c r="M32" s="787" t="s">
        <v>16</v>
      </c>
      <c r="N32" s="251" t="s">
        <v>179</v>
      </c>
      <c r="O32" s="252"/>
      <c r="P32" s="495"/>
      <c r="R32" s="787" t="s">
        <v>16</v>
      </c>
      <c r="S32" s="251" t="s">
        <v>179</v>
      </c>
      <c r="T32" s="252"/>
      <c r="U32" s="495"/>
      <c r="W32" s="250"/>
      <c r="X32" s="251"/>
      <c r="Y32" s="252"/>
      <c r="Z32" s="252"/>
      <c r="AB32" s="250"/>
      <c r="AC32" s="251"/>
      <c r="AD32" s="252"/>
      <c r="AE32" s="252"/>
      <c r="AG32" s="250"/>
      <c r="AH32" s="251"/>
      <c r="AI32" s="252"/>
      <c r="AJ32" s="252"/>
      <c r="AL32" s="250"/>
      <c r="AM32" s="251"/>
      <c r="AN32" s="252"/>
      <c r="AO32" s="252"/>
      <c r="AQ32" s="250"/>
      <c r="AR32" s="251"/>
      <c r="AS32" s="252"/>
      <c r="AT32" s="252"/>
      <c r="AV32" s="250"/>
      <c r="AW32" s="251"/>
      <c r="AX32" s="252"/>
      <c r="AY32" s="252"/>
    </row>
    <row r="33" spans="1:51">
      <c r="C33" s="788"/>
      <c r="D33" s="253" t="s">
        <v>10</v>
      </c>
      <c r="E33" s="245" t="s">
        <v>27</v>
      </c>
      <c r="F33" s="496" t="s">
        <v>37</v>
      </c>
      <c r="H33" s="788"/>
      <c r="I33" s="253" t="s">
        <v>10</v>
      </c>
      <c r="J33" s="245" t="s">
        <v>27</v>
      </c>
      <c r="K33" s="496" t="s">
        <v>37</v>
      </c>
      <c r="M33" s="788"/>
      <c r="N33" s="253" t="s">
        <v>10</v>
      </c>
      <c r="O33" s="245" t="s">
        <v>27</v>
      </c>
      <c r="P33" s="496" t="s">
        <v>37</v>
      </c>
      <c r="R33" s="788"/>
      <c r="S33" s="253" t="s">
        <v>10</v>
      </c>
      <c r="T33" s="245" t="s">
        <v>27</v>
      </c>
      <c r="U33" s="496" t="s">
        <v>37</v>
      </c>
      <c r="W33" s="250"/>
      <c r="X33" s="253"/>
      <c r="Y33" s="245"/>
      <c r="Z33" s="245"/>
      <c r="AB33" s="250"/>
      <c r="AC33" s="253"/>
      <c r="AD33" s="245"/>
      <c r="AE33" s="245"/>
      <c r="AG33" s="250"/>
      <c r="AH33" s="253"/>
      <c r="AI33" s="245"/>
      <c r="AJ33" s="245"/>
      <c r="AL33" s="250"/>
      <c r="AM33" s="253"/>
      <c r="AN33" s="245"/>
      <c r="AO33" s="245"/>
      <c r="AQ33" s="250"/>
      <c r="AR33" s="253"/>
      <c r="AS33" s="245"/>
      <c r="AT33" s="245"/>
      <c r="AV33" s="250"/>
      <c r="AW33" s="253"/>
      <c r="AX33" s="245"/>
      <c r="AY33" s="245"/>
    </row>
    <row r="34" spans="1:51" ht="16" customHeight="1" outlineLevel="1">
      <c r="A34" s="41" t="s">
        <v>269</v>
      </c>
      <c r="B34" s="236"/>
      <c r="C34" s="481" t="s">
        <v>270</v>
      </c>
      <c r="D34" s="128" t="e">
        <f>VLOOKUP($A34&amp;C$31,XL_DT_TD!$F:$K,2,)</f>
        <v>#N/A</v>
      </c>
      <c r="E34" s="127">
        <f>IFERROR(VLOOKUP($A34&amp;C$31,XL_DT_TD!$F:$K,3,0),0)</f>
        <v>0</v>
      </c>
      <c r="F34" s="482" t="e">
        <f t="shared" ref="F34" ca="1" si="8">IF(DAY(NOW())=1,(E34/D34),(E34/(DAY(NOW()-1))*$CV$1)/D34)</f>
        <v>#N/A</v>
      </c>
      <c r="H34" s="481" t="s">
        <v>270</v>
      </c>
      <c r="I34" s="128" t="e">
        <f>VLOOKUP($A34&amp;H$31,XL_DT_TD!$F:$K,2,)</f>
        <v>#N/A</v>
      </c>
      <c r="J34" s="127">
        <f>IFERROR(VLOOKUP($A34&amp;H$31,XL_DT_TD!$F:$K,3,0),0)</f>
        <v>0</v>
      </c>
      <c r="K34" s="482" t="e">
        <f t="shared" ref="K34:K45" ca="1" si="9">IF(DAY(NOW())=1,(J34/I34),(J34/(DAY(NOW()-1))*$CV$1)/I34)</f>
        <v>#N/A</v>
      </c>
      <c r="M34" s="481" t="s">
        <v>270</v>
      </c>
      <c r="N34" s="128" t="e">
        <f>VLOOKUP($A34&amp;M$31,XL_DT_TD!$F:$K,2,)</f>
        <v>#N/A</v>
      </c>
      <c r="O34" s="127">
        <f>IFERROR(VLOOKUP($A34&amp;M$31,XL_DT_TD!$F:$K,3,0),0)</f>
        <v>0</v>
      </c>
      <c r="P34" s="482" t="e">
        <f t="shared" ref="P34:P45" ca="1" si="10">IF(DAY(NOW())=1,(O34/N34),(O34/(DAY(NOW()-1))*$CV$1)/N34)</f>
        <v>#N/A</v>
      </c>
      <c r="R34" s="481" t="s">
        <v>270</v>
      </c>
      <c r="S34" s="128" t="e">
        <f>VLOOKUP($A34&amp;R$31,XL_DT_TD!$F:$K,2,)</f>
        <v>#N/A</v>
      </c>
      <c r="T34" s="127">
        <f>IFERROR(VLOOKUP($A34&amp;R$31,XL_DT_TD!$F:$K,3,0),0)</f>
        <v>0</v>
      </c>
      <c r="U34" s="482" t="e">
        <f t="shared" ref="U34:U45" ca="1" si="11">IF(DAY(NOW())=1,(T34/S34),(T34/(DAY(NOW()-1))*$CV$1)/S34)</f>
        <v>#N/A</v>
      </c>
      <c r="W34" s="266"/>
      <c r="X34" s="132"/>
      <c r="Y34" s="130"/>
      <c r="Z34" s="131"/>
      <c r="AB34" s="266"/>
      <c r="AC34" s="132"/>
      <c r="AD34" s="130"/>
      <c r="AE34" s="131"/>
      <c r="AG34" s="266"/>
      <c r="AH34" s="132"/>
      <c r="AI34" s="130"/>
      <c r="AJ34" s="131"/>
      <c r="AL34" s="266"/>
      <c r="AM34" s="132"/>
      <c r="AN34" s="130"/>
      <c r="AO34" s="131"/>
      <c r="AQ34" s="266"/>
      <c r="AR34" s="132"/>
      <c r="AS34" s="130"/>
      <c r="AT34" s="131"/>
      <c r="AV34" s="266"/>
      <c r="AW34" s="132"/>
      <c r="AX34" s="130"/>
      <c r="AY34" s="131"/>
    </row>
    <row r="35" spans="1:51" ht="16" customHeight="1" outlineLevel="1">
      <c r="A35" s="41" t="s">
        <v>380</v>
      </c>
      <c r="B35" s="236"/>
      <c r="C35" s="481" t="s">
        <v>115</v>
      </c>
      <c r="D35" s="128">
        <f>VLOOKUP($A35&amp;C$31,XL_DT_TD!$F:$K,2,)</f>
        <v>191.58</v>
      </c>
      <c r="E35" s="127">
        <f>IFERROR(VLOOKUP($A35&amp;C$31,XL_DT_TD!$F:$K,3,0),0)</f>
        <v>11</v>
      </c>
      <c r="F35" s="482">
        <f t="shared" ref="F35:F45" ca="1" si="12">IF(DAY(NOW())=1,(E35/D35),(E35/(DAY(NOW()-1))*$CV$1)/D35)</f>
        <v>0.28708633469046874</v>
      </c>
      <c r="H35" s="481" t="s">
        <v>115</v>
      </c>
      <c r="I35" s="128">
        <f>VLOOKUP($A35&amp;H$31,XL_DT_TD!$F:$K,2,)</f>
        <v>223.51</v>
      </c>
      <c r="J35" s="127">
        <f>IFERROR(VLOOKUP($A35&amp;H$31,XL_DT_TD!$F:$K,3,0),0)</f>
        <v>28.94</v>
      </c>
      <c r="K35" s="482">
        <f t="shared" ca="1" si="9"/>
        <v>0.64739832669679209</v>
      </c>
      <c r="M35" s="481" t="s">
        <v>115</v>
      </c>
      <c r="N35" s="128">
        <f>VLOOKUP($A35&amp;M$31,XL_DT_TD!$F:$K,2,)</f>
        <v>191.58</v>
      </c>
      <c r="O35" s="127">
        <f>IFERROR(VLOOKUP($A35&amp;M$31,XL_DT_TD!$F:$K,3,0),0)</f>
        <v>1.73</v>
      </c>
      <c r="P35" s="482">
        <f t="shared" ca="1" si="10"/>
        <v>4.5150850819500987E-2</v>
      </c>
      <c r="R35" s="481" t="s">
        <v>115</v>
      </c>
      <c r="S35" s="128">
        <f>VLOOKUP($A35&amp;R$31,XL_DT_TD!$F:$K,2,)</f>
        <v>159.65</v>
      </c>
      <c r="T35" s="127">
        <f>IFERROR(VLOOKUP($A35&amp;R$31,XL_DT_TD!$F:$K,3,0),0)</f>
        <v>18.71</v>
      </c>
      <c r="U35" s="482">
        <f t="shared" ca="1" si="11"/>
        <v>0.58596930786094592</v>
      </c>
      <c r="W35" s="266"/>
      <c r="X35" s="132"/>
      <c r="Y35" s="130"/>
      <c r="Z35" s="129"/>
      <c r="AB35" s="266"/>
      <c r="AC35" s="132"/>
      <c r="AD35" s="130"/>
      <c r="AE35" s="129"/>
      <c r="AG35" s="266"/>
      <c r="AH35" s="132"/>
      <c r="AI35" s="130"/>
      <c r="AJ35" s="129"/>
      <c r="AL35" s="266"/>
      <c r="AM35" s="132"/>
      <c r="AN35" s="130"/>
      <c r="AO35" s="129"/>
      <c r="AQ35" s="266"/>
      <c r="AR35" s="132"/>
      <c r="AS35" s="130"/>
      <c r="AT35" s="129"/>
      <c r="AV35" s="266"/>
      <c r="AW35" s="132"/>
      <c r="AX35" s="130"/>
      <c r="AY35" s="129"/>
    </row>
    <row r="36" spans="1:51" ht="16" customHeight="1" outlineLevel="1">
      <c r="A36" s="41" t="s">
        <v>112</v>
      </c>
      <c r="B36" s="236"/>
      <c r="C36" s="481" t="s">
        <v>172</v>
      </c>
      <c r="D36" s="128" t="e">
        <f>VLOOKUP($A36&amp;C$31,XL_DT_TD!$F:$K,2,)</f>
        <v>#N/A</v>
      </c>
      <c r="E36" s="127">
        <f>IFERROR(VLOOKUP($A36&amp;C$31,XL_DT_TD!$F:$K,3,0),0)</f>
        <v>0</v>
      </c>
      <c r="F36" s="482" t="e">
        <f t="shared" ca="1" si="12"/>
        <v>#N/A</v>
      </c>
      <c r="H36" s="481" t="s">
        <v>172</v>
      </c>
      <c r="I36" s="128" t="e">
        <f>VLOOKUP($A36&amp;H$31,XL_DT_TD!$F:$K,2,)</f>
        <v>#N/A</v>
      </c>
      <c r="J36" s="127">
        <f>IFERROR(VLOOKUP($A36&amp;H$31,XL_DT_TD!$F:$K,3,0),0)</f>
        <v>0</v>
      </c>
      <c r="K36" s="482" t="e">
        <f t="shared" ca="1" si="9"/>
        <v>#N/A</v>
      </c>
      <c r="M36" s="481" t="s">
        <v>172</v>
      </c>
      <c r="N36" s="128" t="e">
        <f>VLOOKUP($A36&amp;M$31,XL_DT_TD!$F:$K,2,)</f>
        <v>#N/A</v>
      </c>
      <c r="O36" s="127">
        <f>IFERROR(VLOOKUP($A36&amp;M$31,XL_DT_TD!$F:$K,3,0),0)</f>
        <v>0</v>
      </c>
      <c r="P36" s="482" t="e">
        <f t="shared" ca="1" si="10"/>
        <v>#N/A</v>
      </c>
      <c r="R36" s="481" t="s">
        <v>172</v>
      </c>
      <c r="S36" s="128" t="e">
        <f>VLOOKUP($A36&amp;R$31,XL_DT_TD!$F:$K,2,)</f>
        <v>#N/A</v>
      </c>
      <c r="T36" s="127">
        <f>IFERROR(VLOOKUP($A36&amp;R$31,XL_DT_TD!$F:$K,3,0),0)</f>
        <v>0</v>
      </c>
      <c r="U36" s="482" t="e">
        <f t="shared" ca="1" si="11"/>
        <v>#N/A</v>
      </c>
      <c r="W36" s="266"/>
      <c r="X36" s="132"/>
      <c r="Y36" s="130"/>
      <c r="Z36" s="129"/>
      <c r="AB36" s="266"/>
      <c r="AC36" s="132"/>
      <c r="AD36" s="130"/>
      <c r="AE36" s="129"/>
      <c r="AG36" s="266"/>
      <c r="AH36" s="132"/>
      <c r="AI36" s="130"/>
      <c r="AJ36" s="129"/>
      <c r="AL36" s="266"/>
      <c r="AM36" s="132"/>
      <c r="AN36" s="130"/>
      <c r="AO36" s="129"/>
      <c r="AQ36" s="266"/>
      <c r="AR36" s="132"/>
      <c r="AS36" s="130"/>
      <c r="AT36" s="129"/>
      <c r="AV36" s="266"/>
      <c r="AW36" s="132"/>
      <c r="AX36" s="130"/>
      <c r="AY36" s="129"/>
    </row>
    <row r="37" spans="1:51" ht="16" customHeight="1" outlineLevel="1">
      <c r="A37" s="41" t="s">
        <v>381</v>
      </c>
      <c r="B37" s="236"/>
      <c r="C37" s="481" t="s">
        <v>106</v>
      </c>
      <c r="D37" s="128" t="e">
        <f>VLOOKUP($A37&amp;C$31,XL_DT_TD!$F:$K,2,)</f>
        <v>#N/A</v>
      </c>
      <c r="E37" s="127">
        <f>IFERROR(VLOOKUP($A37&amp;C$31,XL_DT_TD!$F:$K,3,0),0)</f>
        <v>0</v>
      </c>
      <c r="F37" s="482" t="e">
        <f t="shared" ca="1" si="12"/>
        <v>#N/A</v>
      </c>
      <c r="H37" s="481" t="s">
        <v>106</v>
      </c>
      <c r="I37" s="128" t="e">
        <f>VLOOKUP($A37&amp;H$31,XL_DT_TD!$F:$K,2,)</f>
        <v>#N/A</v>
      </c>
      <c r="J37" s="127">
        <f>IFERROR(VLOOKUP($A37&amp;H$31,XL_DT_TD!$F:$K,3,0),0)</f>
        <v>0</v>
      </c>
      <c r="K37" s="482" t="e">
        <f t="shared" ca="1" si="9"/>
        <v>#N/A</v>
      </c>
      <c r="M37" s="481" t="s">
        <v>106</v>
      </c>
      <c r="N37" s="128" t="e">
        <f>VLOOKUP($A37&amp;M$31,XL_DT_TD!$F:$K,2,)</f>
        <v>#N/A</v>
      </c>
      <c r="O37" s="127">
        <f>IFERROR(VLOOKUP($A37&amp;M$31,XL_DT_TD!$F:$K,3,0),0)</f>
        <v>0</v>
      </c>
      <c r="P37" s="482" t="e">
        <f t="shared" ca="1" si="10"/>
        <v>#N/A</v>
      </c>
      <c r="R37" s="481" t="s">
        <v>106</v>
      </c>
      <c r="S37" s="128" t="e">
        <f>VLOOKUP($A37&amp;R$31,XL_DT_TD!$F:$K,2,)</f>
        <v>#N/A</v>
      </c>
      <c r="T37" s="127">
        <f>IFERROR(VLOOKUP($A37&amp;R$31,XL_DT_TD!$F:$K,3,0),0)</f>
        <v>0</v>
      </c>
      <c r="U37" s="482" t="e">
        <f t="shared" ca="1" si="11"/>
        <v>#N/A</v>
      </c>
      <c r="W37" s="266"/>
      <c r="X37" s="132"/>
      <c r="Y37" s="130"/>
      <c r="Z37" s="129"/>
      <c r="AB37" s="266"/>
      <c r="AC37" s="132"/>
      <c r="AD37" s="130"/>
      <c r="AE37" s="129"/>
      <c r="AG37" s="266"/>
      <c r="AH37" s="132"/>
      <c r="AI37" s="130"/>
      <c r="AJ37" s="129"/>
      <c r="AL37" s="266"/>
      <c r="AM37" s="132"/>
      <c r="AN37" s="130"/>
      <c r="AO37" s="129"/>
      <c r="AQ37" s="266"/>
      <c r="AR37" s="132"/>
      <c r="AS37" s="130"/>
      <c r="AT37" s="129"/>
      <c r="AV37" s="266"/>
      <c r="AW37" s="132"/>
      <c r="AX37" s="130"/>
      <c r="AY37" s="129"/>
    </row>
    <row r="38" spans="1:51" ht="16" customHeight="1" outlineLevel="1">
      <c r="A38" s="41" t="s">
        <v>382</v>
      </c>
      <c r="B38" s="236"/>
      <c r="C38" s="481" t="s">
        <v>105</v>
      </c>
      <c r="D38" s="128">
        <f>VLOOKUP($A38&amp;C$31,XL_DT_TD!$F:$K,2,)</f>
        <v>173.845</v>
      </c>
      <c r="E38" s="127">
        <f>IFERROR(VLOOKUP($A38&amp;C$31,XL_DT_TD!$F:$K,3,0),0)</f>
        <v>0</v>
      </c>
      <c r="F38" s="482">
        <f t="shared" ca="1" si="12"/>
        <v>0</v>
      </c>
      <c r="H38" s="481" t="s">
        <v>105</v>
      </c>
      <c r="I38" s="128">
        <f>VLOOKUP($A38&amp;H$31,XL_DT_TD!$F:$K,2,)</f>
        <v>124.175</v>
      </c>
      <c r="J38" s="127">
        <f>IFERROR(VLOOKUP($A38&amp;H$31,XL_DT_TD!$F:$K,3,0),0)</f>
        <v>0</v>
      </c>
      <c r="K38" s="482">
        <f t="shared" ca="1" si="9"/>
        <v>0</v>
      </c>
      <c r="M38" s="481" t="s">
        <v>105</v>
      </c>
      <c r="N38" s="128">
        <f>VLOOKUP($A38&amp;M$31,XL_DT_TD!$F:$K,2,)</f>
        <v>149.01</v>
      </c>
      <c r="O38" s="127">
        <f>IFERROR(VLOOKUP($A38&amp;M$31,XL_DT_TD!$F:$K,3,0),0)</f>
        <v>5.73</v>
      </c>
      <c r="P38" s="482">
        <f t="shared" ca="1" si="10"/>
        <v>0.19226897523656133</v>
      </c>
      <c r="R38" s="481" t="s">
        <v>105</v>
      </c>
      <c r="S38" s="128">
        <f>VLOOKUP($A38&amp;R$31,XL_DT_TD!$F:$K,2,)</f>
        <v>49.67</v>
      </c>
      <c r="T38" s="127">
        <f>IFERROR(VLOOKUP($A38&amp;R$31,XL_DT_TD!$F:$K,3,0),0)</f>
        <v>26.72</v>
      </c>
      <c r="U38" s="482">
        <f t="shared" ca="1" si="11"/>
        <v>2.689752365613046</v>
      </c>
      <c r="W38" s="266"/>
      <c r="X38" s="132"/>
      <c r="Y38" s="130"/>
      <c r="Z38" s="129"/>
      <c r="AB38" s="266"/>
      <c r="AC38" s="132"/>
      <c r="AD38" s="130"/>
      <c r="AE38" s="129"/>
      <c r="AG38" s="266"/>
      <c r="AH38" s="132"/>
      <c r="AI38" s="130"/>
      <c r="AJ38" s="129"/>
      <c r="AL38" s="266"/>
      <c r="AM38" s="132"/>
      <c r="AN38" s="130"/>
      <c r="AO38" s="129"/>
      <c r="AQ38" s="266"/>
      <c r="AR38" s="132"/>
      <c r="AS38" s="130"/>
      <c r="AT38" s="129"/>
      <c r="AV38" s="266"/>
      <c r="AW38" s="132"/>
      <c r="AX38" s="130"/>
      <c r="AY38" s="129"/>
    </row>
    <row r="39" spans="1:51" ht="16" customHeight="1" outlineLevel="1">
      <c r="A39" s="41" t="s">
        <v>114</v>
      </c>
      <c r="B39" s="236"/>
      <c r="C39" s="483" t="s">
        <v>395</v>
      </c>
      <c r="D39" s="128">
        <f>VLOOKUP($A39&amp;C$31,XL_DT_TD!$F:$K,2,)</f>
        <v>12.95</v>
      </c>
      <c r="E39" s="127">
        <f>IFERROR(VLOOKUP($A39&amp;C$31,XL_DT_TD!$F:$K,3,0),0)</f>
        <v>0</v>
      </c>
      <c r="F39" s="482">
        <f t="shared" ca="1" si="12"/>
        <v>0</v>
      </c>
      <c r="H39" s="483" t="s">
        <v>395</v>
      </c>
      <c r="I39" s="128">
        <f>VLOOKUP($A39&amp;H$31,XL_DT_TD!$F:$K,2,)</f>
        <v>9.25</v>
      </c>
      <c r="J39" s="127">
        <f>IFERROR(VLOOKUP($A39&amp;H$31,XL_DT_TD!$F:$K,3,0),0)</f>
        <v>1</v>
      </c>
      <c r="K39" s="482">
        <f t="shared" ca="1" si="9"/>
        <v>0.54054054054054057</v>
      </c>
      <c r="M39" s="483" t="s">
        <v>395</v>
      </c>
      <c r="N39" s="128">
        <f>VLOOKUP($A39&amp;M$31,XL_DT_TD!$F:$K,2,)</f>
        <v>11.1</v>
      </c>
      <c r="O39" s="127">
        <f>IFERROR(VLOOKUP($A39&amp;M$31,XL_DT_TD!$F:$K,3,0),0)</f>
        <v>0</v>
      </c>
      <c r="P39" s="482">
        <f t="shared" ca="1" si="10"/>
        <v>0</v>
      </c>
      <c r="R39" s="483" t="s">
        <v>395</v>
      </c>
      <c r="S39" s="128">
        <f>VLOOKUP($A39&amp;R$31,XL_DT_TD!$F:$K,2,)</f>
        <v>11.1</v>
      </c>
      <c r="T39" s="127">
        <f>IFERROR(VLOOKUP($A39&amp;R$31,XL_DT_TD!$F:$K,3,0),0)</f>
        <v>0</v>
      </c>
      <c r="U39" s="482">
        <f t="shared" ca="1" si="11"/>
        <v>0</v>
      </c>
      <c r="W39" s="266"/>
      <c r="X39" s="132"/>
      <c r="Y39" s="130"/>
      <c r="Z39" s="129"/>
      <c r="AB39" s="266"/>
      <c r="AC39" s="132"/>
      <c r="AD39" s="130"/>
      <c r="AE39" s="129"/>
      <c r="AG39" s="266"/>
      <c r="AH39" s="132"/>
      <c r="AI39" s="130"/>
      <c r="AJ39" s="129"/>
      <c r="AL39" s="266"/>
      <c r="AM39" s="132"/>
      <c r="AN39" s="130"/>
      <c r="AO39" s="129"/>
      <c r="AQ39" s="266"/>
      <c r="AR39" s="132"/>
      <c r="AS39" s="130"/>
      <c r="AT39" s="129"/>
      <c r="AV39" s="266"/>
      <c r="AW39" s="132"/>
      <c r="AX39" s="130"/>
      <c r="AY39" s="129"/>
    </row>
    <row r="40" spans="1:51" ht="16" customHeight="1" outlineLevel="1">
      <c r="A40" s="41" t="s">
        <v>379</v>
      </c>
      <c r="B40" s="236"/>
      <c r="C40" s="483" t="s">
        <v>336</v>
      </c>
      <c r="D40" s="128">
        <f>VLOOKUP($A40&amp;C$31,XL_DT_TD!$F:$K,2,)</f>
        <v>30.869999999999997</v>
      </c>
      <c r="E40" s="127">
        <f>IFERROR(VLOOKUP($A40&amp;C$31,XL_DT_TD!$F:$K,3,0),0)</f>
        <v>0.54</v>
      </c>
      <c r="F40" s="482">
        <f t="shared" ca="1" si="12"/>
        <v>8.7463556851311963E-2</v>
      </c>
      <c r="H40" s="483" t="s">
        <v>336</v>
      </c>
      <c r="I40" s="128">
        <f>VLOOKUP($A40&amp;H$31,XL_DT_TD!$F:$K,2,)</f>
        <v>22.05</v>
      </c>
      <c r="J40" s="127">
        <f>IFERROR(VLOOKUP($A40&amp;H$31,XL_DT_TD!$F:$K,3,0),0)</f>
        <v>2.35</v>
      </c>
      <c r="K40" s="482">
        <f t="shared" ca="1" si="9"/>
        <v>0.53287981859410427</v>
      </c>
      <c r="M40" s="483" t="s">
        <v>336</v>
      </c>
      <c r="N40" s="128">
        <f>VLOOKUP($A40&amp;M$31,XL_DT_TD!$F:$K,2,)</f>
        <v>26.46</v>
      </c>
      <c r="O40" s="127">
        <f>IFERROR(VLOOKUP($A40&amp;M$31,XL_DT_TD!$F:$K,3,0),0)</f>
        <v>0</v>
      </c>
      <c r="P40" s="482">
        <f t="shared" ca="1" si="10"/>
        <v>0</v>
      </c>
      <c r="R40" s="483" t="s">
        <v>336</v>
      </c>
      <c r="S40" s="128">
        <f>VLOOKUP($A40&amp;R$31,XL_DT_TD!$F:$K,2,)</f>
        <v>8.82</v>
      </c>
      <c r="T40" s="127">
        <f>IFERROR(VLOOKUP($A40&amp;R$31,XL_DT_TD!$F:$K,3,0),0)</f>
        <v>0</v>
      </c>
      <c r="U40" s="482">
        <f t="shared" ca="1" si="11"/>
        <v>0</v>
      </c>
      <c r="W40" s="266"/>
      <c r="X40" s="132"/>
      <c r="Y40" s="130"/>
      <c r="Z40" s="129"/>
      <c r="AB40" s="266"/>
      <c r="AC40" s="132"/>
      <c r="AD40" s="130"/>
      <c r="AE40" s="129"/>
      <c r="AG40" s="266"/>
      <c r="AH40" s="132"/>
      <c r="AI40" s="130"/>
      <c r="AJ40" s="129"/>
      <c r="AL40" s="266"/>
      <c r="AM40" s="132"/>
      <c r="AN40" s="130"/>
      <c r="AO40" s="129"/>
      <c r="AQ40" s="266"/>
      <c r="AR40" s="132"/>
      <c r="AS40" s="130"/>
      <c r="AT40" s="129"/>
      <c r="AV40" s="266"/>
      <c r="AW40" s="132"/>
      <c r="AX40" s="130"/>
      <c r="AY40" s="129"/>
    </row>
    <row r="41" spans="1:51" ht="16" customHeight="1" outlineLevel="1">
      <c r="A41" s="41" t="s">
        <v>378</v>
      </c>
      <c r="B41" s="236"/>
      <c r="C41" s="483" t="s">
        <v>397</v>
      </c>
      <c r="D41" s="128" t="e">
        <f>VLOOKUP($A41&amp;C$31,XL_DT_TD!$F:$K,2,)</f>
        <v>#N/A</v>
      </c>
      <c r="E41" s="127">
        <f>IFERROR(VLOOKUP($A41&amp;C$31,XL_DT_TD!$F:$K,3,0),0)</f>
        <v>0</v>
      </c>
      <c r="F41" s="482" t="e">
        <f t="shared" ca="1" si="12"/>
        <v>#N/A</v>
      </c>
      <c r="H41" s="483" t="s">
        <v>397</v>
      </c>
      <c r="I41" s="128" t="e">
        <f>VLOOKUP($A41&amp;H$31,XL_DT_TD!$F:$K,2,)</f>
        <v>#N/A</v>
      </c>
      <c r="J41" s="127">
        <f>IFERROR(VLOOKUP($A41&amp;H$31,XL_DT_TD!$F:$K,3,0),0)</f>
        <v>0</v>
      </c>
      <c r="K41" s="482" t="e">
        <f t="shared" ca="1" si="9"/>
        <v>#N/A</v>
      </c>
      <c r="M41" s="483" t="s">
        <v>397</v>
      </c>
      <c r="N41" s="128" t="e">
        <f>VLOOKUP($A41&amp;M$31,XL_DT_TD!$F:$K,2,)</f>
        <v>#N/A</v>
      </c>
      <c r="O41" s="127">
        <f>IFERROR(VLOOKUP($A41&amp;M$31,XL_DT_TD!$F:$K,3,0),0)</f>
        <v>0</v>
      </c>
      <c r="P41" s="482" t="e">
        <f t="shared" ca="1" si="10"/>
        <v>#N/A</v>
      </c>
      <c r="R41" s="483" t="s">
        <v>397</v>
      </c>
      <c r="S41" s="128" t="e">
        <f>VLOOKUP($A41&amp;R$31,XL_DT_TD!$F:$K,2,)</f>
        <v>#N/A</v>
      </c>
      <c r="T41" s="127">
        <f>IFERROR(VLOOKUP($A41&amp;R$31,XL_DT_TD!$F:$K,3,0),0)</f>
        <v>0</v>
      </c>
      <c r="U41" s="482" t="e">
        <f t="shared" ca="1" si="11"/>
        <v>#N/A</v>
      </c>
      <c r="W41" s="266"/>
      <c r="X41" s="132"/>
      <c r="Y41" s="130"/>
      <c r="Z41" s="129"/>
      <c r="AB41" s="266"/>
      <c r="AC41" s="132"/>
      <c r="AD41" s="130"/>
      <c r="AE41" s="129"/>
      <c r="AG41" s="266"/>
      <c r="AH41" s="132"/>
      <c r="AI41" s="130"/>
      <c r="AJ41" s="129"/>
      <c r="AL41" s="266"/>
      <c r="AM41" s="132"/>
      <c r="AN41" s="130"/>
      <c r="AO41" s="129"/>
      <c r="AQ41" s="266"/>
      <c r="AR41" s="132"/>
      <c r="AS41" s="130"/>
      <c r="AT41" s="129"/>
      <c r="AV41" s="266"/>
      <c r="AW41" s="132"/>
      <c r="AX41" s="130"/>
      <c r="AY41" s="129"/>
    </row>
    <row r="42" spans="1:51" ht="16" customHeight="1" outlineLevel="1">
      <c r="A42" s="41" t="s">
        <v>176</v>
      </c>
      <c r="B42" s="236"/>
      <c r="C42" s="483" t="s">
        <v>393</v>
      </c>
      <c r="D42" s="128">
        <f>VLOOKUP($A42&amp;C$31,XL_DT_TD!$F:$K,2,)</f>
        <v>10.88</v>
      </c>
      <c r="E42" s="127">
        <f>IFERROR(VLOOKUP($A42&amp;C$31,XL_DT_TD!$F:$K,3,0),0)</f>
        <v>8.15</v>
      </c>
      <c r="F42" s="482">
        <f t="shared" ca="1" si="12"/>
        <v>3.7454044117647056</v>
      </c>
      <c r="H42" s="483" t="s">
        <v>393</v>
      </c>
      <c r="I42" s="128">
        <f>VLOOKUP($A42&amp;H$31,XL_DT_TD!$F:$K,2,)</f>
        <v>10.88</v>
      </c>
      <c r="J42" s="127">
        <f>IFERROR(VLOOKUP($A42&amp;H$31,XL_DT_TD!$F:$K,3,0),0)</f>
        <v>1.71</v>
      </c>
      <c r="K42" s="482">
        <f t="shared" ca="1" si="9"/>
        <v>0.78584558823529393</v>
      </c>
      <c r="M42" s="483" t="s">
        <v>393</v>
      </c>
      <c r="N42" s="128">
        <f>VLOOKUP($A42&amp;M$31,XL_DT_TD!$F:$K,2,)</f>
        <v>10.88</v>
      </c>
      <c r="O42" s="127">
        <f>IFERROR(VLOOKUP($A42&amp;M$31,XL_DT_TD!$F:$K,3,0),0)</f>
        <v>0</v>
      </c>
      <c r="P42" s="482">
        <f t="shared" ca="1" si="10"/>
        <v>0</v>
      </c>
      <c r="R42" s="483" t="s">
        <v>393</v>
      </c>
      <c r="S42" s="128">
        <f>VLOOKUP($A42&amp;R$31,XL_DT_TD!$F:$K,2,)</f>
        <v>10.88</v>
      </c>
      <c r="T42" s="127">
        <f>IFERROR(VLOOKUP($A42&amp;R$31,XL_DT_TD!$F:$K,3,0),0)</f>
        <v>0</v>
      </c>
      <c r="U42" s="482">
        <f t="shared" ca="1" si="11"/>
        <v>0</v>
      </c>
      <c r="W42" s="266"/>
      <c r="X42" s="132"/>
      <c r="Y42" s="130"/>
      <c r="Z42" s="129"/>
      <c r="AB42" s="266"/>
      <c r="AC42" s="132"/>
      <c r="AD42" s="130"/>
      <c r="AE42" s="129"/>
      <c r="AG42" s="266"/>
      <c r="AH42" s="132"/>
      <c r="AI42" s="130"/>
      <c r="AJ42" s="129"/>
      <c r="AL42" s="266"/>
      <c r="AM42" s="132"/>
      <c r="AN42" s="130"/>
      <c r="AO42" s="129"/>
      <c r="AQ42" s="266"/>
      <c r="AR42" s="132"/>
      <c r="AS42" s="130"/>
      <c r="AT42" s="129"/>
      <c r="AV42" s="266"/>
      <c r="AW42" s="132"/>
      <c r="AX42" s="130"/>
      <c r="AY42" s="129"/>
    </row>
    <row r="43" spans="1:51" ht="16" customHeight="1" outlineLevel="1">
      <c r="A43" s="41" t="s">
        <v>227</v>
      </c>
      <c r="B43" s="236"/>
      <c r="C43" s="484" t="s">
        <v>401</v>
      </c>
      <c r="D43" s="128" t="e">
        <f>VLOOKUP($A43&amp;C$31,XL_DT_TD!$F:$K,2,)</f>
        <v>#N/A</v>
      </c>
      <c r="E43" s="127">
        <f>IFERROR(VLOOKUP($A43&amp;C$31,XL_DT_TD!$F:$K,3,0),0)</f>
        <v>0</v>
      </c>
      <c r="F43" s="482" t="e">
        <f t="shared" ca="1" si="12"/>
        <v>#N/A</v>
      </c>
      <c r="H43" s="484" t="s">
        <v>401</v>
      </c>
      <c r="I43" s="128" t="e">
        <f>VLOOKUP($A43&amp;H$31,XL_DT_TD!$F:$K,2,)</f>
        <v>#N/A</v>
      </c>
      <c r="J43" s="127">
        <f>IFERROR(VLOOKUP($A43&amp;H$31,XL_DT_TD!$F:$K,3,0),0)</f>
        <v>0</v>
      </c>
      <c r="K43" s="482" t="e">
        <f t="shared" ca="1" si="9"/>
        <v>#N/A</v>
      </c>
      <c r="M43" s="484" t="s">
        <v>401</v>
      </c>
      <c r="N43" s="128" t="e">
        <f>VLOOKUP($A43&amp;M$31,XL_DT_TD!$F:$K,2,)</f>
        <v>#N/A</v>
      </c>
      <c r="O43" s="127">
        <f>IFERROR(VLOOKUP($A43&amp;M$31,XL_DT_TD!$F:$K,3,0),0)</f>
        <v>0</v>
      </c>
      <c r="P43" s="482" t="e">
        <f t="shared" ca="1" si="10"/>
        <v>#N/A</v>
      </c>
      <c r="R43" s="484" t="s">
        <v>401</v>
      </c>
      <c r="S43" s="128" t="e">
        <f>VLOOKUP($A43&amp;R$31,XL_DT_TD!$F:$K,2,)</f>
        <v>#N/A</v>
      </c>
      <c r="T43" s="127">
        <f>IFERROR(VLOOKUP($A43&amp;R$31,XL_DT_TD!$F:$K,3,0),0)</f>
        <v>0</v>
      </c>
      <c r="U43" s="482" t="e">
        <f t="shared" ca="1" si="11"/>
        <v>#N/A</v>
      </c>
      <c r="W43" s="266"/>
      <c r="X43" s="132"/>
      <c r="Y43" s="130"/>
      <c r="Z43" s="129"/>
      <c r="AB43" s="266"/>
      <c r="AC43" s="132"/>
      <c r="AD43" s="130"/>
      <c r="AE43" s="129"/>
      <c r="AG43" s="266"/>
      <c r="AH43" s="132"/>
      <c r="AI43" s="130"/>
      <c r="AJ43" s="129"/>
      <c r="AL43" s="266"/>
      <c r="AM43" s="132"/>
      <c r="AN43" s="130"/>
      <c r="AO43" s="129"/>
      <c r="AQ43" s="266"/>
      <c r="AR43" s="132"/>
      <c r="AS43" s="130"/>
      <c r="AT43" s="129"/>
      <c r="AV43" s="266"/>
      <c r="AW43" s="132"/>
      <c r="AX43" s="130"/>
      <c r="AY43" s="129"/>
    </row>
    <row r="44" spans="1:51" ht="20">
      <c r="B44" s="237"/>
      <c r="C44" s="497" t="s">
        <v>2</v>
      </c>
      <c r="D44" s="233" t="e">
        <f>SUMIFS('Hieu Qua NV'!#REF!,'Hieu Qua NV'!#REF!,'TD THI DUA'!C31)</f>
        <v>#REF!</v>
      </c>
      <c r="E44" s="234" t="e">
        <f>SUMIFS('Hieu Qua NV'!#REF!,'Hieu Qua NV'!#REF!,'TD THI DUA'!C31)</f>
        <v>#REF!</v>
      </c>
      <c r="F44" s="498" t="e">
        <f t="shared" ca="1" si="12"/>
        <v>#REF!</v>
      </c>
      <c r="H44" s="497" t="s">
        <v>2</v>
      </c>
      <c r="I44" s="233" t="e">
        <f>SUMIFS('Hieu Qua NV'!#REF!,'Hieu Qua NV'!#REF!,'TD THI DUA'!H31)</f>
        <v>#REF!</v>
      </c>
      <c r="J44" s="234" t="e">
        <f>SUMIFS('Hieu Qua NV'!#REF!,'Hieu Qua NV'!#REF!,'TD THI DUA'!H31)</f>
        <v>#REF!</v>
      </c>
      <c r="K44" s="498" t="e">
        <f t="shared" ca="1" si="9"/>
        <v>#REF!</v>
      </c>
      <c r="M44" s="497" t="s">
        <v>2</v>
      </c>
      <c r="N44" s="233" t="e">
        <f>SUMIFS('Hieu Qua NV'!#REF!,'Hieu Qua NV'!#REF!,'TD THI DUA'!M31)</f>
        <v>#REF!</v>
      </c>
      <c r="O44" s="234" t="e">
        <f>SUMIFS('Hieu Qua NV'!#REF!,'Hieu Qua NV'!#REF!,'TD THI DUA'!M31)</f>
        <v>#REF!</v>
      </c>
      <c r="P44" s="498" t="e">
        <f t="shared" ca="1" si="10"/>
        <v>#REF!</v>
      </c>
      <c r="R44" s="497" t="s">
        <v>2</v>
      </c>
      <c r="S44" s="233" t="e">
        <f>SUMIFS('Hieu Qua NV'!#REF!,'Hieu Qua NV'!#REF!,'TD THI DUA'!R31)</f>
        <v>#REF!</v>
      </c>
      <c r="T44" s="234" t="e">
        <f>SUMIFS('Hieu Qua NV'!#REF!,'Hieu Qua NV'!#REF!,'TD THI DUA'!R31)</f>
        <v>#REF!</v>
      </c>
      <c r="U44" s="498" t="e">
        <f t="shared" ca="1" si="11"/>
        <v>#REF!</v>
      </c>
      <c r="W44" s="232"/>
      <c r="X44" s="233"/>
      <c r="Y44" s="234"/>
      <c r="Z44" s="235"/>
      <c r="AB44" s="232"/>
      <c r="AC44" s="233"/>
      <c r="AD44" s="234"/>
      <c r="AE44" s="235"/>
      <c r="AG44" s="232"/>
      <c r="AH44" s="233"/>
      <c r="AI44" s="234"/>
      <c r="AJ44" s="235"/>
      <c r="AL44" s="232"/>
      <c r="AM44" s="233"/>
      <c r="AN44" s="234"/>
      <c r="AO44" s="235"/>
      <c r="AQ44" s="232"/>
      <c r="AR44" s="233"/>
      <c r="AS44" s="234"/>
      <c r="AT44" s="235"/>
      <c r="AV44" s="232"/>
      <c r="AW44" s="233"/>
      <c r="AX44" s="234"/>
      <c r="AY44" s="235"/>
    </row>
    <row r="45" spans="1:51" ht="20">
      <c r="B45" s="237"/>
      <c r="C45" s="487" t="s">
        <v>213</v>
      </c>
      <c r="D45" s="488" t="e">
        <f>SUMIFS('Hieu Qua NV'!#REF!,'Hieu Qua NV'!#REF!,'TD THI DUA'!C31)</f>
        <v>#REF!</v>
      </c>
      <c r="E45" s="489" t="e">
        <f>SUMIFS('Hieu Qua NV'!#REF!,'Hieu Qua NV'!#REF!,'TD THI DUA'!C31)</f>
        <v>#REF!</v>
      </c>
      <c r="F45" s="490" t="e">
        <f t="shared" ca="1" si="12"/>
        <v>#REF!</v>
      </c>
      <c r="H45" s="487" t="s">
        <v>213</v>
      </c>
      <c r="I45" s="488" t="e">
        <f>SUMIFS('Hieu Qua NV'!#REF!,'Hieu Qua NV'!#REF!,'TD THI DUA'!H31)</f>
        <v>#REF!</v>
      </c>
      <c r="J45" s="489" t="e">
        <f>SUMIFS('Hieu Qua NV'!#REF!,'Hieu Qua NV'!#REF!,'TD THI DUA'!H31)</f>
        <v>#REF!</v>
      </c>
      <c r="K45" s="490" t="e">
        <f t="shared" ca="1" si="9"/>
        <v>#REF!</v>
      </c>
      <c r="M45" s="487" t="s">
        <v>213</v>
      </c>
      <c r="N45" s="488" t="e">
        <f>SUMIFS('Hieu Qua NV'!#REF!,'Hieu Qua NV'!#REF!,'TD THI DUA'!M31)</f>
        <v>#REF!</v>
      </c>
      <c r="O45" s="489" t="e">
        <f>SUMIFS('Hieu Qua NV'!#REF!,'Hieu Qua NV'!#REF!,'TD THI DUA'!M31)</f>
        <v>#REF!</v>
      </c>
      <c r="P45" s="490" t="e">
        <f t="shared" ca="1" si="10"/>
        <v>#REF!</v>
      </c>
      <c r="R45" s="487" t="s">
        <v>213</v>
      </c>
      <c r="S45" s="488" t="e">
        <f>SUMIFS('Hieu Qua NV'!#REF!,'Hieu Qua NV'!#REF!,'TD THI DUA'!R31)</f>
        <v>#REF!</v>
      </c>
      <c r="T45" s="489" t="e">
        <f>SUMIFS('Hieu Qua NV'!#REF!,'Hieu Qua NV'!#REF!,'TD THI DUA'!R31)</f>
        <v>#REF!</v>
      </c>
      <c r="U45" s="490" t="e">
        <f t="shared" ca="1" si="11"/>
        <v>#REF!</v>
      </c>
      <c r="W45" s="159"/>
      <c r="X45" s="160"/>
      <c r="Y45" s="161"/>
      <c r="Z45" s="162"/>
      <c r="AB45" s="159"/>
      <c r="AC45" s="160"/>
      <c r="AD45" s="161"/>
      <c r="AE45" s="162"/>
      <c r="AG45" s="159"/>
      <c r="AH45" s="160"/>
      <c r="AI45" s="161"/>
      <c r="AJ45" s="162"/>
      <c r="AL45" s="159"/>
      <c r="AM45" s="160"/>
      <c r="AN45" s="161"/>
      <c r="AO45" s="162"/>
      <c r="AQ45" s="159"/>
      <c r="AR45" s="160"/>
      <c r="AS45" s="161"/>
      <c r="AT45" s="162"/>
      <c r="AV45" s="159"/>
      <c r="AW45" s="160"/>
      <c r="AX45" s="161"/>
      <c r="AY45" s="162"/>
    </row>
  </sheetData>
  <customSheetViews>
    <customSheetView guid="{FEB50EEF-352C-B844-A6F4-33499875B85A}" scale="80">
      <selection activeCell="F2" sqref="F2"/>
      <pageMargins left="0.7" right="0.7" top="0.75" bottom="0.75" header="0.3" footer="0.3"/>
    </customSheetView>
  </customSheetViews>
  <mergeCells count="14">
    <mergeCell ref="AG3:AG4"/>
    <mergeCell ref="AL3:AL4"/>
    <mergeCell ref="AQ3:AQ4"/>
    <mergeCell ref="AV3:AV4"/>
    <mergeCell ref="C32:C33"/>
    <mergeCell ref="H32:H33"/>
    <mergeCell ref="M32:M33"/>
    <mergeCell ref="R32:R33"/>
    <mergeCell ref="C3:C4"/>
    <mergeCell ref="H3:H4"/>
    <mergeCell ref="M3:M4"/>
    <mergeCell ref="R3:R4"/>
    <mergeCell ref="W3:W4"/>
    <mergeCell ref="AB3:AB4"/>
  </mergeCells>
  <phoneticPr fontId="45" type="noConversion"/>
  <conditionalFormatting sqref="F5:F27">
    <cfRule type="cellIs" dxfId="178" priority="341" operator="lessThan">
      <formula>1</formula>
    </cfRule>
    <cfRule type="cellIs" dxfId="177" priority="342" operator="greaterThan">
      <formula>1</formula>
    </cfRule>
  </conditionalFormatting>
  <conditionalFormatting sqref="F35:F43">
    <cfRule type="cellIs" dxfId="176" priority="329" operator="lessThan">
      <formula>1</formula>
    </cfRule>
    <cfRule type="cellIs" dxfId="175" priority="330" operator="greaterThan">
      <formula>1</formula>
    </cfRule>
  </conditionalFormatting>
  <conditionalFormatting sqref="K5:K27 P5:P27 U5:U27 Z5:Z27 AE5:AE27 AJ5:AJ27 AO5:AO27 AT5:AT27 AY5:AY27">
    <cfRule type="cellIs" dxfId="174" priority="29" operator="lessThan">
      <formula>1</formula>
    </cfRule>
    <cfRule type="cellIs" dxfId="173" priority="30" operator="greaterThan">
      <formula>1</formula>
    </cfRule>
  </conditionalFormatting>
  <conditionalFormatting sqref="Z34:Z43 AE34:AE43 AJ34:AJ43 AO34:AO43 AT34:AT43 AY34:AY43">
    <cfRule type="cellIs" dxfId="172" priority="19" operator="lessThan">
      <formula>1</formula>
    </cfRule>
    <cfRule type="cellIs" dxfId="171" priority="20" operator="greaterThan">
      <formula>1</formula>
    </cfRule>
  </conditionalFormatting>
  <conditionalFormatting sqref="F34">
    <cfRule type="cellIs" dxfId="170" priority="13" operator="lessThan">
      <formula>1</formula>
    </cfRule>
    <cfRule type="cellIs" dxfId="169" priority="14" operator="greaterThan">
      <formula>1</formula>
    </cfRule>
  </conditionalFormatting>
  <conditionalFormatting sqref="K35:K43">
    <cfRule type="cellIs" dxfId="168" priority="11" operator="lessThan">
      <formula>1</formula>
    </cfRule>
    <cfRule type="cellIs" dxfId="167" priority="12" operator="greaterThan">
      <formula>1</formula>
    </cfRule>
  </conditionalFormatting>
  <conditionalFormatting sqref="K34">
    <cfRule type="cellIs" dxfId="166" priority="9" operator="lessThan">
      <formula>1</formula>
    </cfRule>
    <cfRule type="cellIs" dxfId="165" priority="10" operator="greaterThan">
      <formula>1</formula>
    </cfRule>
  </conditionalFormatting>
  <conditionalFormatting sqref="P35:P43">
    <cfRule type="cellIs" dxfId="164" priority="7" operator="lessThan">
      <formula>1</formula>
    </cfRule>
    <cfRule type="cellIs" dxfId="163" priority="8" operator="greaterThan">
      <formula>1</formula>
    </cfRule>
  </conditionalFormatting>
  <conditionalFormatting sqref="P34">
    <cfRule type="cellIs" dxfId="162" priority="5" operator="lessThan">
      <formula>1</formula>
    </cfRule>
    <cfRule type="cellIs" dxfId="161" priority="6" operator="greaterThan">
      <formula>1</formula>
    </cfRule>
  </conditionalFormatting>
  <conditionalFormatting sqref="U35:U43">
    <cfRule type="cellIs" dxfId="160" priority="3" operator="lessThan">
      <formula>1</formula>
    </cfRule>
    <cfRule type="cellIs" dxfId="159" priority="4" operator="greaterThan">
      <formula>1</formula>
    </cfRule>
  </conditionalFormatting>
  <conditionalFormatting sqref="U34">
    <cfRule type="cellIs" dxfId="158" priority="1" operator="lessThan">
      <formula>1</formula>
    </cfRule>
    <cfRule type="cellIs" dxfId="157" priority="2" operator="greaterThan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 altText="Tuần 1">
                <anchor moveWithCells="1" sizeWithCells="1">
                  <from>
                    <xdr:col>98</xdr:col>
                    <xdr:colOff>304800</xdr:colOff>
                    <xdr:row>6</xdr:row>
                    <xdr:rowOff>165100</xdr:rowOff>
                  </from>
                  <to>
                    <xdr:col>101</xdr:col>
                    <xdr:colOff>203200</xdr:colOff>
                    <xdr:row>8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utton2_Click" altText="Tuần 2">
                <anchor moveWithCells="1" sizeWithCells="1">
                  <from>
                    <xdr:col>98</xdr:col>
                    <xdr:colOff>317500</xdr:colOff>
                    <xdr:row>9</xdr:row>
                    <xdr:rowOff>76200</xdr:rowOff>
                  </from>
                  <to>
                    <xdr:col>101</xdr:col>
                    <xdr:colOff>215900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149A80-EE18-0C44-BD4F-A7FA09F59043}">
  <sheetPr codeName="Sheet2">
    <tabColor rgb="FF00B050"/>
  </sheetPr>
  <dimension ref="A1:AY95"/>
  <sheetViews>
    <sheetView topLeftCell="A3" zoomScaleNormal="100" workbookViewId="0">
      <selection activeCell="L7" sqref="L7"/>
    </sheetView>
  </sheetViews>
  <sheetFormatPr baseColWidth="10" defaultRowHeight="16"/>
  <cols>
    <col min="1" max="1" width="20.83203125" style="69" bestFit="1" customWidth="1"/>
    <col min="2" max="2" width="32.1640625" style="69" bestFit="1" customWidth="1"/>
    <col min="3" max="3" width="9.6640625" style="70" customWidth="1"/>
    <col min="4" max="4" width="10.6640625" style="72" customWidth="1"/>
    <col min="5" max="7" width="11" style="70" customWidth="1"/>
    <col min="8" max="8" width="9.6640625" style="73" customWidth="1"/>
    <col min="9" max="9" width="11.33203125" style="69" bestFit="1" customWidth="1"/>
    <col min="10" max="10" width="9.83203125" style="69" bestFit="1" customWidth="1"/>
    <col min="11" max="11" width="10.33203125" style="67" bestFit="1" customWidth="1"/>
    <col min="12" max="12" width="8.6640625" style="45" customWidth="1"/>
    <col min="13" max="13" width="8.1640625" style="45" customWidth="1"/>
    <col min="14" max="14" width="5.83203125" style="69" customWidth="1"/>
    <col min="15" max="15" width="3.1640625" style="69" customWidth="1"/>
    <col min="16" max="16" width="3.6640625" style="68" customWidth="1"/>
    <col min="17" max="17" width="28.6640625" style="68" customWidth="1"/>
    <col min="18" max="19" width="10.5" style="68" customWidth="1"/>
    <col min="20" max="20" width="11.33203125" style="68" hidden="1" customWidth="1"/>
    <col min="21" max="21" width="13.6640625" style="74" hidden="1" customWidth="1"/>
    <col min="22" max="22" width="13.6640625" style="69" bestFit="1" customWidth="1"/>
    <col min="23" max="23" width="5" style="69" customWidth="1"/>
    <col min="24" max="30" width="6" style="69" customWidth="1"/>
    <col min="31" max="31" width="1.6640625" style="69" customWidth="1"/>
    <col min="32" max="38" width="5.83203125" style="69" customWidth="1"/>
    <col min="39" max="39" width="1.33203125" style="69" customWidth="1"/>
    <col min="40" max="40" width="9.1640625" style="69" customWidth="1"/>
    <col min="41" max="41" width="7.33203125" style="69" bestFit="1" customWidth="1"/>
    <col min="42" max="42" width="7.6640625" style="69" bestFit="1" customWidth="1"/>
    <col min="43" max="43" width="8.1640625" style="69" customWidth="1"/>
    <col min="44" max="44" width="1" style="69" customWidth="1"/>
    <col min="45" max="51" width="5.83203125" style="69" customWidth="1"/>
    <col min="52" max="16384" width="10.83203125" style="69"/>
  </cols>
  <sheetData>
    <row r="1" spans="1:51">
      <c r="G1" s="367" t="s">
        <v>38</v>
      </c>
      <c r="H1" s="368">
        <f ca="1">DATE(YEAR(TODAY()),MONTH(TODAY()),1)</f>
        <v>46174</v>
      </c>
      <c r="I1" s="363" t="s">
        <v>39</v>
      </c>
      <c r="J1" s="364">
        <f ca="1">DAY(EOMONTH(H1,0))</f>
        <v>30</v>
      </c>
      <c r="K1" s="69"/>
      <c r="X1" s="69" t="s">
        <v>185</v>
      </c>
      <c r="Y1" s="69" t="s">
        <v>186</v>
      </c>
      <c r="Z1" s="69" t="s">
        <v>113</v>
      </c>
      <c r="AA1" s="69" t="s">
        <v>187</v>
      </c>
      <c r="AB1" s="69" t="s">
        <v>188</v>
      </c>
      <c r="AC1" s="69" t="s">
        <v>189</v>
      </c>
      <c r="AD1" s="69" t="s">
        <v>190</v>
      </c>
    </row>
    <row r="2" spans="1:51">
      <c r="G2" s="367" t="s">
        <v>40</v>
      </c>
      <c r="H2" s="369">
        <f ca="1">TODAY()</f>
        <v>46180</v>
      </c>
      <c r="I2" s="365" t="s">
        <v>36</v>
      </c>
      <c r="J2" s="366">
        <f ca="1">J1-DAY(H2)</f>
        <v>23</v>
      </c>
      <c r="K2" s="69"/>
    </row>
    <row r="3" spans="1:51" ht="33" customHeight="1">
      <c r="A3" s="70"/>
      <c r="B3" s="70"/>
      <c r="D3" s="70"/>
      <c r="I3" s="70"/>
      <c r="J3" s="70"/>
      <c r="N3" s="70"/>
      <c r="O3" s="70"/>
      <c r="Q3" s="70"/>
      <c r="X3" s="797" t="str">
        <f ca="1">"LỊCH  THÁNG "&amp;MONTH((NOW()))&amp;"/"&amp;YEAR(NOW())</f>
        <v>LỊCH  THÁNG 6/2026</v>
      </c>
      <c r="Y3" s="798"/>
      <c r="Z3" s="798"/>
      <c r="AA3" s="798"/>
      <c r="AB3" s="798"/>
      <c r="AC3" s="798"/>
      <c r="AD3" s="799"/>
      <c r="AE3" s="81"/>
      <c r="AF3" s="800" t="s">
        <v>116</v>
      </c>
      <c r="AG3" s="801"/>
      <c r="AH3" s="801"/>
      <c r="AI3" s="801"/>
      <c r="AJ3" s="801"/>
      <c r="AK3" s="801"/>
      <c r="AL3" s="802"/>
      <c r="AM3" s="45"/>
      <c r="AN3" s="791" t="s">
        <v>117</v>
      </c>
      <c r="AO3" s="792"/>
      <c r="AP3" s="792"/>
      <c r="AQ3" s="793"/>
      <c r="AS3" s="794" t="s">
        <v>118</v>
      </c>
      <c r="AT3" s="795"/>
      <c r="AU3" s="795"/>
      <c r="AV3" s="795"/>
      <c r="AW3" s="795"/>
      <c r="AX3" s="795"/>
      <c r="AY3" s="796"/>
    </row>
    <row r="4" spans="1:51" s="70" customFormat="1" ht="30" customHeight="1" thickBot="1">
      <c r="A4" s="69"/>
      <c r="B4" s="803" t="s">
        <v>144</v>
      </c>
      <c r="C4" s="804" t="s">
        <v>2</v>
      </c>
      <c r="D4" s="804"/>
      <c r="E4" s="804"/>
      <c r="F4" s="805" t="s">
        <v>141</v>
      </c>
      <c r="G4" s="806"/>
      <c r="H4" s="806"/>
      <c r="I4" s="807"/>
      <c r="J4" s="814" t="s">
        <v>46</v>
      </c>
      <c r="K4" s="814" t="s">
        <v>145</v>
      </c>
      <c r="L4" s="45"/>
      <c r="M4" s="45"/>
      <c r="N4" s="69"/>
      <c r="O4" s="69"/>
      <c r="P4" s="68"/>
      <c r="Q4" s="68"/>
      <c r="R4" s="68"/>
      <c r="S4" s="68"/>
      <c r="T4" s="68"/>
      <c r="X4" s="172" t="s">
        <v>119</v>
      </c>
      <c r="Y4" s="173" t="s">
        <v>120</v>
      </c>
      <c r="Z4" s="173" t="s">
        <v>121</v>
      </c>
      <c r="AA4" s="173" t="s">
        <v>122</v>
      </c>
      <c r="AB4" s="173" t="s">
        <v>123</v>
      </c>
      <c r="AC4" s="82" t="s">
        <v>124</v>
      </c>
      <c r="AD4" s="174" t="s">
        <v>125</v>
      </c>
      <c r="AE4" s="82"/>
      <c r="AF4" s="83" t="s">
        <v>119</v>
      </c>
      <c r="AG4" s="84" t="s">
        <v>120</v>
      </c>
      <c r="AH4" s="84" t="s">
        <v>121</v>
      </c>
      <c r="AI4" s="84" t="s">
        <v>122</v>
      </c>
      <c r="AJ4" s="84" t="s">
        <v>123</v>
      </c>
      <c r="AK4" s="85" t="s">
        <v>124</v>
      </c>
      <c r="AL4" s="86" t="s">
        <v>125</v>
      </c>
      <c r="AM4" s="45"/>
      <c r="AN4" s="164" t="s">
        <v>12</v>
      </c>
      <c r="AO4" s="165" t="s">
        <v>126</v>
      </c>
      <c r="AP4" s="165" t="s">
        <v>127</v>
      </c>
      <c r="AQ4" s="166" t="s">
        <v>14</v>
      </c>
      <c r="AR4" s="69"/>
      <c r="AS4" s="83" t="s">
        <v>119</v>
      </c>
      <c r="AT4" s="84" t="s">
        <v>120</v>
      </c>
      <c r="AU4" s="84" t="s">
        <v>121</v>
      </c>
      <c r="AV4" s="84" t="s">
        <v>122</v>
      </c>
      <c r="AW4" s="84" t="s">
        <v>123</v>
      </c>
      <c r="AX4" s="85" t="s">
        <v>124</v>
      </c>
      <c r="AY4" s="86" t="s">
        <v>125</v>
      </c>
    </row>
    <row r="5" spans="1:51" ht="26" customHeight="1">
      <c r="B5" s="803"/>
      <c r="C5" s="97" t="s">
        <v>12</v>
      </c>
      <c r="D5" s="98" t="s">
        <v>126</v>
      </c>
      <c r="E5" s="97" t="s">
        <v>14</v>
      </c>
      <c r="F5" s="97" t="s">
        <v>10</v>
      </c>
      <c r="G5" s="97" t="s">
        <v>142</v>
      </c>
      <c r="H5" s="97" t="s">
        <v>143</v>
      </c>
      <c r="I5" s="97" t="s">
        <v>14</v>
      </c>
      <c r="J5" s="814"/>
      <c r="K5" s="814"/>
      <c r="X5" s="175" cm="1">
        <f t="array" ref="X5:AD9">_xlfn.SEQUENCE(5,7,"1/26/2025")</f>
        <v>45683</v>
      </c>
      <c r="Y5" s="163">
        <v>45684</v>
      </c>
      <c r="Z5" s="163">
        <v>45685</v>
      </c>
      <c r="AA5" s="163">
        <v>45686</v>
      </c>
      <c r="AB5" s="163">
        <v>45687</v>
      </c>
      <c r="AC5" s="163">
        <v>45688</v>
      </c>
      <c r="AD5" s="176">
        <v>45689</v>
      </c>
      <c r="AE5" s="87"/>
      <c r="AF5" s="175"/>
      <c r="AG5" s="163"/>
      <c r="AH5" s="163"/>
      <c r="AI5" s="163"/>
      <c r="AJ5" s="163"/>
      <c r="AK5" s="163"/>
      <c r="AL5" s="188">
        <v>350</v>
      </c>
      <c r="AM5" s="45"/>
      <c r="AN5" s="167">
        <f t="shared" ref="AN5:AN7" si="0">SUM(AF5:AL5)</f>
        <v>350</v>
      </c>
      <c r="AO5" s="91">
        <f t="shared" ref="AO5:AO7" si="1">SUM(AS5:AY5)</f>
        <v>365</v>
      </c>
      <c r="AP5" s="92">
        <f>AN5-AO5</f>
        <v>-15</v>
      </c>
      <c r="AQ5" s="168">
        <f>IFERROR(AO5/AN5,0)</f>
        <v>1.0428571428571429</v>
      </c>
      <c r="AR5" s="71"/>
      <c r="AS5" s="88"/>
      <c r="AT5" s="89"/>
      <c r="AU5" s="89"/>
      <c r="AV5" s="89"/>
      <c r="AW5" s="89"/>
      <c r="AX5" s="198"/>
      <c r="AY5" s="90">
        <v>365</v>
      </c>
    </row>
    <row r="6" spans="1:51" ht="26" customHeight="1">
      <c r="B6" s="96" t="s">
        <v>129</v>
      </c>
      <c r="C6" s="99">
        <v>5502</v>
      </c>
      <c r="D6" s="219">
        <v>7099</v>
      </c>
      <c r="E6" s="205">
        <f>D6/C6</f>
        <v>1.2902580879680117</v>
      </c>
      <c r="F6" s="99">
        <v>1126</v>
      </c>
      <c r="G6" s="99">
        <v>1464</v>
      </c>
      <c r="H6" s="220">
        <v>44</v>
      </c>
      <c r="I6" s="205">
        <f t="shared" ref="I6:I18" si="2">(G6-H6)/F6</f>
        <v>1.2611012433392539</v>
      </c>
      <c r="J6" s="100">
        <v>0.1711</v>
      </c>
      <c r="K6" s="100">
        <v>0.19170000000000001</v>
      </c>
      <c r="L6" s="260"/>
      <c r="M6" s="260"/>
      <c r="N6" s="261"/>
      <c r="Q6" s="223"/>
      <c r="R6" s="222"/>
      <c r="X6" s="177">
        <v>45690</v>
      </c>
      <c r="Y6" s="178">
        <v>45691</v>
      </c>
      <c r="Z6" s="178">
        <v>45692</v>
      </c>
      <c r="AA6" s="178">
        <v>45693</v>
      </c>
      <c r="AB6" s="178">
        <v>45694</v>
      </c>
      <c r="AC6" s="179">
        <v>45695</v>
      </c>
      <c r="AD6" s="180">
        <v>45696</v>
      </c>
      <c r="AE6" s="87"/>
      <c r="AF6" s="189">
        <v>200</v>
      </c>
      <c r="AG6" s="190">
        <v>200</v>
      </c>
      <c r="AH6" s="190">
        <v>200</v>
      </c>
      <c r="AI6" s="190">
        <v>250</v>
      </c>
      <c r="AJ6" s="190">
        <v>300</v>
      </c>
      <c r="AK6" s="201">
        <v>500</v>
      </c>
      <c r="AL6" s="202">
        <v>500</v>
      </c>
      <c r="AM6" s="45"/>
      <c r="AN6" s="167">
        <f t="shared" si="0"/>
        <v>2150</v>
      </c>
      <c r="AO6" s="91">
        <f t="shared" si="1"/>
        <v>1845</v>
      </c>
      <c r="AP6" s="92">
        <f>AN6-AO6</f>
        <v>305</v>
      </c>
      <c r="AQ6" s="168">
        <f t="shared" ref="AQ6:AQ9" si="3">IFERROR(AO6/AN6,0)</f>
        <v>0.85813953488372097</v>
      </c>
      <c r="AR6" s="71"/>
      <c r="AS6" s="88">
        <v>160</v>
      </c>
      <c r="AT6" s="89">
        <v>267</v>
      </c>
      <c r="AU6" s="89">
        <v>205</v>
      </c>
      <c r="AV6" s="89">
        <v>233</v>
      </c>
      <c r="AW6" s="89">
        <v>211</v>
      </c>
      <c r="AX6" s="198">
        <v>425</v>
      </c>
      <c r="AY6" s="90">
        <v>344</v>
      </c>
    </row>
    <row r="7" spans="1:51" ht="26" customHeight="1">
      <c r="B7" s="96" t="s">
        <v>130</v>
      </c>
      <c r="C7" s="99">
        <v>3345</v>
      </c>
      <c r="D7" s="219">
        <v>3972</v>
      </c>
      <c r="E7" s="205">
        <f t="shared" ref="E7:E17" si="4">D7/C7</f>
        <v>1.1874439461883408</v>
      </c>
      <c r="F7" s="99">
        <v>672</v>
      </c>
      <c r="G7" s="99">
        <v>859</v>
      </c>
      <c r="H7" s="220">
        <v>37</v>
      </c>
      <c r="I7" s="205">
        <f t="shared" si="2"/>
        <v>1.2232142857142858</v>
      </c>
      <c r="J7" s="100">
        <v>0.21779999999999999</v>
      </c>
      <c r="K7" s="100">
        <v>0.1847</v>
      </c>
      <c r="L7" s="260"/>
      <c r="M7" s="260"/>
      <c r="N7" s="261"/>
      <c r="Q7" s="222"/>
      <c r="X7" s="177">
        <v>45697</v>
      </c>
      <c r="Y7" s="178">
        <v>45698</v>
      </c>
      <c r="Z7" s="178">
        <v>45699</v>
      </c>
      <c r="AA7" s="178">
        <v>45700</v>
      </c>
      <c r="AB7" s="178">
        <v>45701</v>
      </c>
      <c r="AC7" s="179">
        <v>45702</v>
      </c>
      <c r="AD7" s="180">
        <v>45703</v>
      </c>
      <c r="AE7" s="87"/>
      <c r="AF7" s="203">
        <v>300</v>
      </c>
      <c r="AG7" s="204">
        <v>400</v>
      </c>
      <c r="AH7" s="204">
        <v>500</v>
      </c>
      <c r="AI7" s="204">
        <v>500</v>
      </c>
      <c r="AJ7" s="204">
        <v>700</v>
      </c>
      <c r="AK7" s="201">
        <v>700</v>
      </c>
      <c r="AL7" s="202">
        <v>700</v>
      </c>
      <c r="AM7" s="45"/>
      <c r="AN7" s="167">
        <f t="shared" si="0"/>
        <v>3800</v>
      </c>
      <c r="AO7" s="91">
        <f t="shared" si="1"/>
        <v>3567</v>
      </c>
      <c r="AP7" s="92">
        <f>AN7-AO7</f>
        <v>233</v>
      </c>
      <c r="AQ7" s="168">
        <f t="shared" si="3"/>
        <v>0.93868421052631579</v>
      </c>
      <c r="AR7" s="71"/>
      <c r="AS7" s="88">
        <v>320</v>
      </c>
      <c r="AT7" s="89">
        <v>332</v>
      </c>
      <c r="AU7" s="89">
        <v>292</v>
      </c>
      <c r="AV7" s="89">
        <v>596</v>
      </c>
      <c r="AW7" s="89">
        <v>709</v>
      </c>
      <c r="AX7" s="198">
        <v>621</v>
      </c>
      <c r="AY7" s="90">
        <v>697</v>
      </c>
    </row>
    <row r="8" spans="1:51" ht="26" customHeight="1">
      <c r="B8" s="96" t="s">
        <v>131</v>
      </c>
      <c r="C8" s="99">
        <v>3570</v>
      </c>
      <c r="D8" s="219">
        <v>4257</v>
      </c>
      <c r="E8" s="205">
        <f t="shared" si="4"/>
        <v>1.1924369747899159</v>
      </c>
      <c r="F8" s="99">
        <v>721</v>
      </c>
      <c r="G8" s="99">
        <v>851</v>
      </c>
      <c r="H8" s="220">
        <v>45</v>
      </c>
      <c r="I8" s="205">
        <f t="shared" si="2"/>
        <v>1.1178918169209431</v>
      </c>
      <c r="J8" s="100">
        <v>0.1409</v>
      </c>
      <c r="K8" s="100">
        <v>0.15720000000000001</v>
      </c>
      <c r="L8" s="260"/>
      <c r="M8" s="260"/>
      <c r="N8" s="261"/>
      <c r="Q8" s="222"/>
      <c r="X8" s="181">
        <v>45704</v>
      </c>
      <c r="Y8" s="182">
        <v>45705</v>
      </c>
      <c r="Z8" s="182">
        <v>45706</v>
      </c>
      <c r="AA8" s="182">
        <v>45707</v>
      </c>
      <c r="AB8" s="179">
        <v>45708</v>
      </c>
      <c r="AC8" s="179">
        <v>45709</v>
      </c>
      <c r="AD8" s="180">
        <v>45710</v>
      </c>
      <c r="AE8" s="87"/>
      <c r="AF8" s="192"/>
      <c r="AG8" s="193"/>
      <c r="AH8" s="193"/>
      <c r="AI8" s="193"/>
      <c r="AJ8" s="191">
        <v>150</v>
      </c>
      <c r="AK8" s="191">
        <v>200</v>
      </c>
      <c r="AL8" s="188">
        <v>200</v>
      </c>
      <c r="AM8" s="45"/>
      <c r="AN8" s="167">
        <f t="shared" ref="AN8:AN9" si="5">SUM(AF8:AL8)</f>
        <v>550</v>
      </c>
      <c r="AO8" s="91">
        <f t="shared" ref="AO8:AO9" si="6">SUM(AS8:AY8)</f>
        <v>347</v>
      </c>
      <c r="AP8" s="92">
        <f t="shared" ref="AP8:AP10" si="7">AN8-AO8</f>
        <v>203</v>
      </c>
      <c r="AQ8" s="168">
        <f t="shared" si="3"/>
        <v>0.63090909090909086</v>
      </c>
      <c r="AR8" s="71"/>
      <c r="AS8" s="88"/>
      <c r="AT8" s="89"/>
      <c r="AU8" s="89"/>
      <c r="AV8" s="89"/>
      <c r="AW8" s="89">
        <v>80</v>
      </c>
      <c r="AX8" s="198">
        <v>83</v>
      </c>
      <c r="AY8" s="90">
        <v>184</v>
      </c>
    </row>
    <row r="9" spans="1:51" ht="26" customHeight="1">
      <c r="B9" s="96" t="s">
        <v>132</v>
      </c>
      <c r="C9" s="99">
        <v>4413</v>
      </c>
      <c r="D9" s="219">
        <v>4093</v>
      </c>
      <c r="E9" s="205">
        <f t="shared" si="4"/>
        <v>0.92748697031497851</v>
      </c>
      <c r="F9" s="99">
        <v>902</v>
      </c>
      <c r="G9" s="99">
        <v>864</v>
      </c>
      <c r="H9" s="220">
        <v>51</v>
      </c>
      <c r="I9" s="205">
        <f t="shared" si="2"/>
        <v>0.90133037694013307</v>
      </c>
      <c r="J9" s="100">
        <v>0.129</v>
      </c>
      <c r="K9" s="100">
        <v>0.16439999999999999</v>
      </c>
      <c r="L9" s="260"/>
      <c r="M9" s="260"/>
      <c r="N9" s="261"/>
      <c r="Q9" s="222"/>
      <c r="X9" s="177">
        <v>45711</v>
      </c>
      <c r="Y9" s="178">
        <v>45712</v>
      </c>
      <c r="Z9" s="178">
        <v>45713</v>
      </c>
      <c r="AA9" s="178">
        <v>45714</v>
      </c>
      <c r="AB9" s="178">
        <v>45715</v>
      </c>
      <c r="AC9" s="179">
        <v>45716</v>
      </c>
      <c r="AD9" s="183">
        <v>45717</v>
      </c>
      <c r="AE9" s="87"/>
      <c r="AF9" s="189">
        <v>150</v>
      </c>
      <c r="AG9" s="190">
        <v>150</v>
      </c>
      <c r="AH9" s="190">
        <v>200</v>
      </c>
      <c r="AI9" s="190">
        <v>200</v>
      </c>
      <c r="AJ9" s="190">
        <v>200</v>
      </c>
      <c r="AK9" s="191">
        <v>250</v>
      </c>
      <c r="AL9" s="194"/>
      <c r="AM9" s="45"/>
      <c r="AN9" s="167">
        <f t="shared" si="5"/>
        <v>1150</v>
      </c>
      <c r="AO9" s="91">
        <f t="shared" si="6"/>
        <v>60</v>
      </c>
      <c r="AP9" s="92">
        <f t="shared" si="7"/>
        <v>1090</v>
      </c>
      <c r="AQ9" s="168">
        <f t="shared" si="3"/>
        <v>5.2173913043478258E-2</v>
      </c>
      <c r="AR9" s="71"/>
      <c r="AS9" s="88">
        <v>60</v>
      </c>
      <c r="AT9" s="89"/>
      <c r="AU9" s="89"/>
      <c r="AV9" s="89"/>
      <c r="AW9" s="89"/>
      <c r="AX9" s="198"/>
      <c r="AY9" s="90"/>
    </row>
    <row r="10" spans="1:51" ht="26" customHeight="1">
      <c r="B10" s="96" t="s">
        <v>133</v>
      </c>
      <c r="C10" s="99">
        <v>4104</v>
      </c>
      <c r="D10" s="219">
        <v>4526</v>
      </c>
      <c r="E10" s="205">
        <f t="shared" si="4"/>
        <v>1.1028265107212476</v>
      </c>
      <c r="F10" s="99">
        <v>799</v>
      </c>
      <c r="G10" s="99">
        <v>981</v>
      </c>
      <c r="H10" s="220">
        <v>51</v>
      </c>
      <c r="I10" s="205">
        <f t="shared" si="2"/>
        <v>1.1639549436795995</v>
      </c>
      <c r="J10" s="100">
        <v>0.1799</v>
      </c>
      <c r="K10" s="100">
        <v>0.23799999999999999</v>
      </c>
      <c r="L10" s="260"/>
      <c r="M10" s="260"/>
      <c r="N10" s="261"/>
      <c r="Q10" s="222"/>
      <c r="X10" s="184"/>
      <c r="Y10" s="185"/>
      <c r="Z10" s="185"/>
      <c r="AA10" s="186"/>
      <c r="AB10" s="186"/>
      <c r="AC10" s="186"/>
      <c r="AD10" s="187"/>
      <c r="AE10" s="93"/>
      <c r="AF10" s="195"/>
      <c r="AG10" s="196"/>
      <c r="AH10" s="196"/>
      <c r="AI10" s="196"/>
      <c r="AJ10" s="196"/>
      <c r="AK10" s="196"/>
      <c r="AL10" s="197"/>
      <c r="AM10" s="45"/>
      <c r="AN10" s="167">
        <f>SUM(AF10:AL10)</f>
        <v>0</v>
      </c>
      <c r="AO10" s="91">
        <f>SUM(AS18:AY18)</f>
        <v>0</v>
      </c>
      <c r="AP10" s="92">
        <f t="shared" si="7"/>
        <v>0</v>
      </c>
      <c r="AQ10" s="168">
        <f>IFERROR(AO10/AN10,0)</f>
        <v>0</v>
      </c>
      <c r="AR10" s="71"/>
      <c r="AS10" s="88"/>
      <c r="AT10" s="89"/>
      <c r="AU10" s="89"/>
      <c r="AV10" s="89"/>
      <c r="AW10" s="89"/>
      <c r="AX10" s="198"/>
      <c r="AY10" s="90"/>
    </row>
    <row r="11" spans="1:51" ht="26" customHeight="1">
      <c r="A11" s="71"/>
      <c r="B11" s="96" t="s">
        <v>134</v>
      </c>
      <c r="C11" s="99">
        <v>4505</v>
      </c>
      <c r="D11" s="219">
        <v>4551</v>
      </c>
      <c r="E11" s="205">
        <f t="shared" si="4"/>
        <v>1.0102108768035516</v>
      </c>
      <c r="F11" s="99">
        <v>900</v>
      </c>
      <c r="G11" s="99">
        <v>956</v>
      </c>
      <c r="H11" s="220"/>
      <c r="I11" s="205">
        <f t="shared" si="2"/>
        <v>1.0622222222222222</v>
      </c>
      <c r="J11" s="100">
        <v>0.14180000000000001</v>
      </c>
      <c r="K11" s="100">
        <v>0.2185</v>
      </c>
      <c r="L11" s="260"/>
      <c r="M11" s="260"/>
      <c r="N11" s="261"/>
      <c r="O11" s="71"/>
      <c r="Q11" s="222"/>
      <c r="X11" s="178"/>
      <c r="Y11" s="178"/>
      <c r="Z11" s="178"/>
      <c r="AA11" s="269"/>
      <c r="AB11" s="269"/>
      <c r="AC11" s="269"/>
      <c r="AD11" s="269"/>
      <c r="AE11" s="93"/>
      <c r="AF11" s="198"/>
      <c r="AG11" s="198"/>
      <c r="AH11" s="198"/>
      <c r="AI11" s="198"/>
      <c r="AJ11" s="198"/>
      <c r="AK11" s="198"/>
      <c r="AL11" s="198"/>
      <c r="AM11" s="45"/>
      <c r="AN11" s="167"/>
      <c r="AO11" s="91"/>
      <c r="AP11" s="92"/>
      <c r="AQ11" s="168"/>
      <c r="AR11" s="71"/>
      <c r="AS11" s="88"/>
      <c r="AT11" s="89"/>
      <c r="AU11" s="89"/>
      <c r="AV11" s="89"/>
      <c r="AW11" s="89"/>
      <c r="AX11" s="198"/>
      <c r="AY11" s="90"/>
    </row>
    <row r="12" spans="1:51" ht="26" customHeight="1">
      <c r="A12" s="71"/>
      <c r="B12" s="96" t="s">
        <v>135</v>
      </c>
      <c r="C12" s="99">
        <v>4037</v>
      </c>
      <c r="D12" s="219">
        <v>4646</v>
      </c>
      <c r="E12" s="205">
        <f t="shared" si="4"/>
        <v>1.1508545949962843</v>
      </c>
      <c r="F12" s="99">
        <v>751</v>
      </c>
      <c r="G12" s="99">
        <v>914</v>
      </c>
      <c r="H12" s="220"/>
      <c r="I12" s="205">
        <f t="shared" si="2"/>
        <v>1.2170439414114513</v>
      </c>
      <c r="J12" s="100">
        <v>0.1968</v>
      </c>
      <c r="K12" s="101" t="s">
        <v>146</v>
      </c>
      <c r="L12" s="260"/>
      <c r="M12" s="260"/>
      <c r="N12" s="261"/>
      <c r="O12" s="71"/>
      <c r="Q12" s="222"/>
      <c r="X12" s="178"/>
      <c r="Y12" s="178"/>
      <c r="Z12" s="178"/>
      <c r="AA12" s="269"/>
      <c r="AB12" s="269"/>
      <c r="AC12" s="269"/>
      <c r="AD12" s="269"/>
      <c r="AE12" s="93"/>
      <c r="AF12" s="198"/>
      <c r="AG12" s="198"/>
      <c r="AH12" s="198"/>
      <c r="AI12" s="198"/>
      <c r="AJ12" s="198"/>
      <c r="AK12" s="198"/>
      <c r="AL12" s="198"/>
      <c r="AM12" s="45"/>
      <c r="AN12" s="167"/>
      <c r="AO12" s="91"/>
      <c r="AP12" s="92"/>
      <c r="AQ12" s="168"/>
      <c r="AR12" s="71"/>
      <c r="AS12" s="88"/>
      <c r="AT12" s="89"/>
      <c r="AU12" s="89"/>
      <c r="AV12" s="89"/>
      <c r="AW12" s="89"/>
      <c r="AX12" s="198"/>
      <c r="AY12" s="90"/>
    </row>
    <row r="13" spans="1:51" ht="26" customHeight="1">
      <c r="A13" s="71"/>
      <c r="B13" s="96" t="s">
        <v>136</v>
      </c>
      <c r="C13" s="99">
        <v>3989</v>
      </c>
      <c r="D13" s="219">
        <v>5262</v>
      </c>
      <c r="E13" s="205">
        <f t="shared" si="4"/>
        <v>1.3191276009024819</v>
      </c>
      <c r="F13" s="99">
        <v>749</v>
      </c>
      <c r="G13" s="99">
        <v>1033</v>
      </c>
      <c r="H13" s="220">
        <v>71</v>
      </c>
      <c r="I13" s="205">
        <f t="shared" si="2"/>
        <v>1.2843791722296396</v>
      </c>
      <c r="J13" s="100">
        <v>0.24160000000000001</v>
      </c>
      <c r="K13" s="100">
        <v>0.26750000000000002</v>
      </c>
      <c r="L13" s="260"/>
      <c r="M13" s="260"/>
      <c r="N13" s="261"/>
      <c r="O13" s="71"/>
      <c r="Q13" s="222"/>
      <c r="X13" s="178"/>
      <c r="Y13" s="178"/>
      <c r="Z13" s="178"/>
      <c r="AA13" s="269"/>
      <c r="AB13" s="269"/>
      <c r="AC13" s="269"/>
      <c r="AD13" s="269"/>
      <c r="AE13" s="93"/>
      <c r="AF13" s="198"/>
      <c r="AG13" s="198"/>
      <c r="AH13" s="198"/>
      <c r="AI13" s="198"/>
      <c r="AJ13" s="198"/>
      <c r="AK13" s="198"/>
      <c r="AL13" s="198"/>
      <c r="AM13" s="45"/>
      <c r="AN13" s="167"/>
      <c r="AO13" s="91"/>
      <c r="AP13" s="92"/>
      <c r="AQ13" s="168"/>
      <c r="AR13" s="71"/>
      <c r="AS13" s="88"/>
      <c r="AT13" s="89"/>
      <c r="AU13" s="89"/>
      <c r="AV13" s="89"/>
      <c r="AW13" s="89"/>
      <c r="AX13" s="198"/>
      <c r="AY13" s="90"/>
    </row>
    <row r="14" spans="1:51" ht="26" customHeight="1">
      <c r="A14" s="71"/>
      <c r="B14" s="96" t="s">
        <v>137</v>
      </c>
      <c r="C14" s="99">
        <v>4136</v>
      </c>
      <c r="D14" s="219">
        <v>4196</v>
      </c>
      <c r="E14" s="205">
        <f t="shared" si="4"/>
        <v>1.0145067698259187</v>
      </c>
      <c r="F14" s="99">
        <v>761</v>
      </c>
      <c r="G14" s="99">
        <v>818</v>
      </c>
      <c r="H14" s="220">
        <v>56</v>
      </c>
      <c r="I14" s="205">
        <f t="shared" si="2"/>
        <v>1.0013140604467805</v>
      </c>
      <c r="J14" s="100">
        <v>0.21279999999999999</v>
      </c>
      <c r="K14" s="100">
        <v>0.23769999999999999</v>
      </c>
      <c r="L14" s="260"/>
      <c r="M14" s="260"/>
      <c r="N14" s="261"/>
      <c r="O14" s="71"/>
      <c r="Q14" s="222"/>
      <c r="X14" s="178"/>
      <c r="Y14" s="178"/>
      <c r="Z14" s="178"/>
      <c r="AA14" s="269"/>
      <c r="AB14" s="269"/>
      <c r="AC14" s="269"/>
      <c r="AD14" s="269"/>
      <c r="AE14" s="93"/>
      <c r="AF14" s="198"/>
      <c r="AG14" s="198"/>
      <c r="AH14" s="198"/>
      <c r="AI14" s="198"/>
      <c r="AJ14" s="198"/>
      <c r="AK14" s="198"/>
      <c r="AL14" s="198"/>
      <c r="AM14" s="45"/>
      <c r="AN14" s="167"/>
      <c r="AO14" s="91"/>
      <c r="AP14" s="92"/>
      <c r="AQ14" s="168"/>
      <c r="AR14" s="71"/>
      <c r="AS14" s="88"/>
      <c r="AT14" s="89"/>
      <c r="AU14" s="89"/>
      <c r="AV14" s="89"/>
      <c r="AW14" s="89"/>
      <c r="AX14" s="198"/>
      <c r="AY14" s="90"/>
    </row>
    <row r="15" spans="1:51" ht="26" customHeight="1">
      <c r="A15" s="71"/>
      <c r="B15" s="96" t="s">
        <v>138</v>
      </c>
      <c r="C15" s="99">
        <v>4334</v>
      </c>
      <c r="D15" s="219">
        <v>5146</v>
      </c>
      <c r="E15" s="205">
        <f t="shared" si="4"/>
        <v>1.1873557914167052</v>
      </c>
      <c r="F15" s="99">
        <v>819</v>
      </c>
      <c r="G15" s="99">
        <v>898</v>
      </c>
      <c r="H15" s="220">
        <v>59</v>
      </c>
      <c r="I15" s="205">
        <f t="shared" si="2"/>
        <v>1.0244200244200243</v>
      </c>
      <c r="J15" s="100">
        <v>0.1404</v>
      </c>
      <c r="K15" s="100">
        <v>0.20949999999999999</v>
      </c>
      <c r="L15" s="260"/>
      <c r="M15" s="260"/>
      <c r="N15" s="261"/>
      <c r="O15" s="71"/>
      <c r="Q15" s="222"/>
      <c r="X15" s="178"/>
      <c r="Y15" s="178"/>
      <c r="Z15" s="178"/>
      <c r="AA15" s="269"/>
      <c r="AB15" s="269"/>
      <c r="AC15" s="269"/>
      <c r="AD15" s="269"/>
      <c r="AE15" s="93"/>
      <c r="AF15" s="198"/>
      <c r="AG15" s="198"/>
      <c r="AH15" s="198"/>
      <c r="AI15" s="198"/>
      <c r="AJ15" s="198"/>
      <c r="AK15" s="198"/>
      <c r="AL15" s="198"/>
      <c r="AM15" s="45"/>
      <c r="AN15" s="167"/>
      <c r="AO15" s="91"/>
      <c r="AP15" s="92"/>
      <c r="AQ15" s="168"/>
      <c r="AR15" s="71"/>
      <c r="AS15" s="88"/>
      <c r="AT15" s="89"/>
      <c r="AU15" s="89"/>
      <c r="AV15" s="89"/>
      <c r="AW15" s="89"/>
      <c r="AX15" s="198"/>
      <c r="AY15" s="90"/>
    </row>
    <row r="16" spans="1:51" ht="26" customHeight="1">
      <c r="A16" s="71"/>
      <c r="B16" s="96" t="s">
        <v>139</v>
      </c>
      <c r="C16" s="99">
        <v>3919</v>
      </c>
      <c r="D16" s="219">
        <v>4990</v>
      </c>
      <c r="E16" s="205">
        <f t="shared" si="4"/>
        <v>1.2732840010206685</v>
      </c>
      <c r="F16" s="99">
        <v>737</v>
      </c>
      <c r="G16" s="99">
        <v>1029</v>
      </c>
      <c r="H16" s="220"/>
      <c r="I16" s="205">
        <f t="shared" si="2"/>
        <v>1.3962008141112618</v>
      </c>
      <c r="J16" s="100">
        <v>9.1499999999999998E-2</v>
      </c>
      <c r="K16" s="100">
        <v>0.2172</v>
      </c>
      <c r="L16" s="260"/>
      <c r="M16" s="260"/>
      <c r="N16" s="261"/>
      <c r="O16" s="71"/>
      <c r="Q16" s="222"/>
      <c r="X16" s="68"/>
      <c r="Y16" s="68"/>
      <c r="Z16" s="68"/>
      <c r="AA16" s="68"/>
      <c r="AB16" s="68"/>
      <c r="AC16" s="74"/>
      <c r="AD16" s="74"/>
      <c r="AE16" s="74"/>
      <c r="AM16" s="45"/>
      <c r="AN16" s="169">
        <f>SUM(AN5:AN10)</f>
        <v>8000</v>
      </c>
      <c r="AO16" s="170">
        <f>SUM(AO5:AO10)</f>
        <v>6184</v>
      </c>
      <c r="AP16" s="170">
        <f>SUM(AP5:AP10)</f>
        <v>1816</v>
      </c>
      <c r="AQ16" s="171">
        <f>AO16/AN16</f>
        <v>0.77300000000000002</v>
      </c>
      <c r="AS16" s="199"/>
      <c r="AT16" s="200"/>
      <c r="AU16" s="200"/>
      <c r="AV16" s="200"/>
      <c r="AW16" s="200"/>
      <c r="AX16" s="196"/>
      <c r="AY16" s="197"/>
    </row>
    <row r="17" spans="1:51" ht="26" customHeight="1">
      <c r="B17" s="96" t="s">
        <v>140</v>
      </c>
      <c r="C17" s="99">
        <v>4113</v>
      </c>
      <c r="D17" s="219">
        <v>6106</v>
      </c>
      <c r="E17" s="205">
        <f t="shared" si="4"/>
        <v>1.4845611475808413</v>
      </c>
      <c r="F17" s="99">
        <v>820</v>
      </c>
      <c r="G17" s="99">
        <v>1221</v>
      </c>
      <c r="H17" s="220"/>
      <c r="I17" s="205">
        <f t="shared" si="2"/>
        <v>1.4890243902439024</v>
      </c>
      <c r="J17" s="100">
        <v>0.1719</v>
      </c>
      <c r="K17" s="100">
        <v>0.1638</v>
      </c>
      <c r="L17" s="260"/>
      <c r="M17" s="260"/>
      <c r="N17" s="261"/>
      <c r="Q17" s="222"/>
      <c r="X17" s="68"/>
      <c r="Y17" s="68"/>
      <c r="Z17" s="68"/>
      <c r="AA17" s="68"/>
      <c r="AB17" s="68"/>
      <c r="AC17" s="74"/>
      <c r="AD17" s="74"/>
      <c r="AE17" s="74"/>
      <c r="AM17" s="45"/>
      <c r="AN17" s="270"/>
      <c r="AO17" s="270"/>
      <c r="AP17" s="270"/>
      <c r="AQ17" s="271"/>
      <c r="AS17" s="89"/>
      <c r="AT17" s="89"/>
      <c r="AU17" s="89"/>
      <c r="AV17" s="89"/>
      <c r="AW17" s="89"/>
      <c r="AX17" s="198"/>
      <c r="AY17" s="198"/>
    </row>
    <row r="18" spans="1:51" ht="27" customHeight="1">
      <c r="A18" s="211"/>
      <c r="B18" s="206" t="s">
        <v>144</v>
      </c>
      <c r="C18" s="207">
        <f>SUM(C6:C17)</f>
        <v>49967</v>
      </c>
      <c r="D18" s="207">
        <f>SUM(D6:D17)</f>
        <v>58844</v>
      </c>
      <c r="E18" s="208">
        <f t="shared" ref="E18" si="8">D18/C18</f>
        <v>1.1776572537874999</v>
      </c>
      <c r="F18" s="207">
        <f>SUM(F6:F17)</f>
        <v>9757</v>
      </c>
      <c r="G18" s="207">
        <f>SUM(G6:G17)</f>
        <v>11888</v>
      </c>
      <c r="H18" s="221">
        <f>SUM(H6:H17)</f>
        <v>414</v>
      </c>
      <c r="I18" s="208">
        <f t="shared" si="2"/>
        <v>1.1759762221994465</v>
      </c>
      <c r="J18" s="209">
        <f>AVERAGE(J6:J17)</f>
        <v>0.169625</v>
      </c>
      <c r="K18" s="209">
        <f>AVERAGE(K6:K17)</f>
        <v>0.20456363636363639</v>
      </c>
      <c r="L18" s="210"/>
      <c r="M18" s="210"/>
      <c r="N18" s="211"/>
      <c r="O18" s="211"/>
      <c r="P18" s="212"/>
      <c r="Q18" s="212"/>
      <c r="R18" s="212"/>
      <c r="S18" s="212"/>
      <c r="T18" s="212"/>
    </row>
    <row r="19" spans="1:51" ht="20" customHeight="1"/>
    <row r="20" spans="1:51" ht="32" customHeight="1">
      <c r="B20" s="816" t="s">
        <v>411</v>
      </c>
      <c r="C20" s="817" t="s">
        <v>2</v>
      </c>
      <c r="D20" s="817"/>
      <c r="E20" s="817"/>
      <c r="F20" s="818" t="s">
        <v>141</v>
      </c>
      <c r="G20" s="819"/>
      <c r="H20" s="819"/>
      <c r="I20" s="820"/>
      <c r="J20" s="815" t="s">
        <v>46</v>
      </c>
      <c r="K20" s="815" t="s">
        <v>145</v>
      </c>
      <c r="L20" s="815" t="s">
        <v>266</v>
      </c>
    </row>
    <row r="21" spans="1:51">
      <c r="B21" s="816"/>
      <c r="C21" s="213" t="s">
        <v>12</v>
      </c>
      <c r="D21" s="214" t="s">
        <v>126</v>
      </c>
      <c r="E21" s="213" t="s">
        <v>14</v>
      </c>
      <c r="F21" s="213" t="s">
        <v>10</v>
      </c>
      <c r="G21" s="213" t="s">
        <v>142</v>
      </c>
      <c r="H21" s="213" t="s">
        <v>143</v>
      </c>
      <c r="I21" s="213" t="s">
        <v>14</v>
      </c>
      <c r="J21" s="815"/>
      <c r="K21" s="815"/>
      <c r="L21" s="815"/>
    </row>
    <row r="22" spans="1:51" ht="23" customHeight="1">
      <c r="B22" s="96" t="s">
        <v>129</v>
      </c>
      <c r="C22" s="99">
        <v>6105</v>
      </c>
      <c r="D22" s="99">
        <v>7259</v>
      </c>
      <c r="E22" s="75">
        <f>IFERROR(D22/C22,0)</f>
        <v>1.189025389025389</v>
      </c>
      <c r="F22" s="99">
        <v>1510</v>
      </c>
      <c r="G22" s="99">
        <v>1441</v>
      </c>
      <c r="H22" s="77">
        <v>40</v>
      </c>
      <c r="I22" s="75">
        <f t="shared" ref="I22:I34" si="9">IFERROR((G22-H22)/F22,0)</f>
        <v>0.92781456953642383</v>
      </c>
      <c r="J22" s="100">
        <v>0.22220000000000001</v>
      </c>
      <c r="K22" s="100">
        <v>0.215</v>
      </c>
      <c r="L22" s="100">
        <f>D22/D6</f>
        <v>1.0225383856881252</v>
      </c>
    </row>
    <row r="23" spans="1:51" ht="23" customHeight="1">
      <c r="B23" s="96" t="s">
        <v>130</v>
      </c>
      <c r="C23" s="99">
        <v>7041</v>
      </c>
      <c r="D23" s="99">
        <v>7318</v>
      </c>
      <c r="E23" s="75">
        <f t="shared" ref="E23:E33" si="10">IFERROR(D23/C23,0)</f>
        <v>1.0393410026984804</v>
      </c>
      <c r="F23" s="99">
        <v>1049</v>
      </c>
      <c r="G23" s="99">
        <v>1384</v>
      </c>
      <c r="H23" s="77">
        <v>52</v>
      </c>
      <c r="I23" s="75">
        <f t="shared" si="9"/>
        <v>1.2697807435653004</v>
      </c>
      <c r="J23" s="100">
        <v>0.1988</v>
      </c>
      <c r="K23" s="100">
        <v>0.21029999999999999</v>
      </c>
      <c r="L23" s="100">
        <f>SUM(D22:D23)/SUM(D6:D7)</f>
        <v>1.3166832264474755</v>
      </c>
    </row>
    <row r="24" spans="1:51" ht="23" customHeight="1">
      <c r="B24" s="96" t="s">
        <v>131</v>
      </c>
      <c r="C24" s="99">
        <v>4837</v>
      </c>
      <c r="D24" s="99">
        <v>4672</v>
      </c>
      <c r="E24" s="75">
        <f t="shared" si="10"/>
        <v>0.96588794707463299</v>
      </c>
      <c r="F24" s="99">
        <v>947</v>
      </c>
      <c r="G24" s="99">
        <v>939</v>
      </c>
      <c r="H24" s="77">
        <v>52</v>
      </c>
      <c r="I24" s="75">
        <f t="shared" si="9"/>
        <v>0.93664202745512148</v>
      </c>
      <c r="J24" s="100">
        <v>0.2142</v>
      </c>
      <c r="K24" s="100">
        <v>0.1691</v>
      </c>
      <c r="L24" s="100">
        <f>SUM(D22:D24)/SUM(D6:D8)</f>
        <v>1.2558063674321502</v>
      </c>
      <c r="N24" s="68"/>
      <c r="O24" s="68"/>
    </row>
    <row r="25" spans="1:51" ht="23" customHeight="1">
      <c r="B25" s="96" t="s">
        <v>132</v>
      </c>
      <c r="C25" s="99"/>
      <c r="D25" s="99"/>
      <c r="E25" s="75">
        <f t="shared" si="10"/>
        <v>0</v>
      </c>
      <c r="F25" s="99"/>
      <c r="G25" s="99"/>
      <c r="H25" s="77"/>
      <c r="I25" s="75">
        <f t="shared" si="9"/>
        <v>0</v>
      </c>
      <c r="J25" s="100"/>
      <c r="K25" s="100"/>
      <c r="L25" s="100"/>
    </row>
    <row r="26" spans="1:51" ht="23" customHeight="1">
      <c r="B26" s="96" t="s">
        <v>133</v>
      </c>
      <c r="C26" s="99"/>
      <c r="D26" s="99"/>
      <c r="E26" s="75">
        <f t="shared" si="10"/>
        <v>0</v>
      </c>
      <c r="F26" s="99"/>
      <c r="G26" s="99"/>
      <c r="H26" s="77"/>
      <c r="I26" s="75">
        <f t="shared" si="9"/>
        <v>0</v>
      </c>
      <c r="J26" s="100"/>
      <c r="K26" s="100"/>
      <c r="L26" s="100"/>
    </row>
    <row r="27" spans="1:51" ht="23" customHeight="1">
      <c r="B27" s="96" t="s">
        <v>134</v>
      </c>
      <c r="C27" s="99"/>
      <c r="D27" s="99"/>
      <c r="E27" s="75">
        <f t="shared" si="10"/>
        <v>0</v>
      </c>
      <c r="F27" s="99"/>
      <c r="G27" s="99"/>
      <c r="H27" s="77"/>
      <c r="I27" s="75">
        <f t="shared" si="9"/>
        <v>0</v>
      </c>
      <c r="J27" s="100"/>
      <c r="K27" s="100"/>
      <c r="L27" s="100"/>
    </row>
    <row r="28" spans="1:51" ht="23" customHeight="1">
      <c r="B28" s="96" t="s">
        <v>135</v>
      </c>
      <c r="C28" s="99"/>
      <c r="D28" s="99"/>
      <c r="E28" s="75">
        <f t="shared" si="10"/>
        <v>0</v>
      </c>
      <c r="F28" s="99"/>
      <c r="G28" s="99"/>
      <c r="H28" s="77"/>
      <c r="I28" s="75">
        <f t="shared" si="9"/>
        <v>0</v>
      </c>
      <c r="J28" s="100"/>
      <c r="K28" s="101"/>
      <c r="L28" s="101"/>
    </row>
    <row r="29" spans="1:51" ht="23" customHeight="1">
      <c r="B29" s="96" t="s">
        <v>136</v>
      </c>
      <c r="C29" s="99"/>
      <c r="D29" s="99"/>
      <c r="E29" s="75">
        <f t="shared" si="10"/>
        <v>0</v>
      </c>
      <c r="F29" s="99"/>
      <c r="G29" s="99"/>
      <c r="H29" s="77"/>
      <c r="I29" s="75">
        <f t="shared" si="9"/>
        <v>0</v>
      </c>
      <c r="J29" s="100"/>
      <c r="K29" s="100"/>
      <c r="L29" s="100"/>
    </row>
    <row r="30" spans="1:51" ht="23" customHeight="1">
      <c r="B30" s="96" t="s">
        <v>137</v>
      </c>
      <c r="C30" s="99"/>
      <c r="D30" s="99"/>
      <c r="E30" s="75">
        <f t="shared" si="10"/>
        <v>0</v>
      </c>
      <c r="F30" s="99"/>
      <c r="G30" s="99"/>
      <c r="H30" s="77"/>
      <c r="I30" s="75">
        <f t="shared" si="9"/>
        <v>0</v>
      </c>
      <c r="J30" s="100"/>
      <c r="K30" s="100"/>
      <c r="L30" s="100"/>
    </row>
    <row r="31" spans="1:51" ht="23" customHeight="1">
      <c r="B31" s="96" t="s">
        <v>138</v>
      </c>
      <c r="C31" s="99"/>
      <c r="D31" s="99"/>
      <c r="E31" s="75">
        <f t="shared" si="10"/>
        <v>0</v>
      </c>
      <c r="F31" s="99"/>
      <c r="G31" s="99"/>
      <c r="H31" s="77"/>
      <c r="I31" s="75">
        <f t="shared" si="9"/>
        <v>0</v>
      </c>
      <c r="J31" s="100"/>
      <c r="K31" s="100"/>
      <c r="L31" s="100"/>
    </row>
    <row r="32" spans="1:51" ht="23" customHeight="1">
      <c r="B32" s="96" t="s">
        <v>139</v>
      </c>
      <c r="C32" s="99"/>
      <c r="D32" s="99"/>
      <c r="E32" s="75">
        <f t="shared" si="10"/>
        <v>0</v>
      </c>
      <c r="F32" s="99"/>
      <c r="G32" s="99"/>
      <c r="H32" s="77"/>
      <c r="I32" s="75">
        <f t="shared" si="9"/>
        <v>0</v>
      </c>
      <c r="J32" s="100"/>
      <c r="K32" s="100"/>
      <c r="L32" s="100"/>
    </row>
    <row r="33" spans="1:21" ht="23" customHeight="1">
      <c r="B33" s="96" t="s">
        <v>140</v>
      </c>
      <c r="C33" s="99"/>
      <c r="D33" s="99"/>
      <c r="E33" s="75">
        <f t="shared" si="10"/>
        <v>0</v>
      </c>
      <c r="F33" s="99"/>
      <c r="G33" s="99"/>
      <c r="H33" s="77"/>
      <c r="I33" s="75">
        <f t="shared" si="9"/>
        <v>0</v>
      </c>
      <c r="J33" s="100"/>
      <c r="K33" s="100"/>
      <c r="L33" s="100"/>
    </row>
    <row r="34" spans="1:21" ht="23" customHeight="1">
      <c r="A34" s="211"/>
      <c r="B34" s="215" t="s">
        <v>216</v>
      </c>
      <c r="C34" s="216">
        <f>SUM(C22:C33)</f>
        <v>17983</v>
      </c>
      <c r="D34" s="216">
        <f>SUM(D22:D33)</f>
        <v>19249</v>
      </c>
      <c r="E34" s="217">
        <f t="shared" ref="E34" si="11">D34/C34</f>
        <v>1.0703998220541622</v>
      </c>
      <c r="F34" s="216">
        <f>SUM(F22:F33)</f>
        <v>3506</v>
      </c>
      <c r="G34" s="216">
        <f>SUM(G22:G33)</f>
        <v>3764</v>
      </c>
      <c r="H34" s="216">
        <f>SUM(H22:H33)</f>
        <v>144</v>
      </c>
      <c r="I34" s="217">
        <f t="shared" si="9"/>
        <v>1.0325156873930406</v>
      </c>
      <c r="J34" s="218">
        <f>AVERAGE(J22:J33)</f>
        <v>0.21173333333333333</v>
      </c>
      <c r="K34" s="218">
        <f>AVERAGE(K22:K33)</f>
        <v>0.19813333333333336</v>
      </c>
      <c r="L34" s="218"/>
      <c r="M34" s="210"/>
      <c r="N34" s="211"/>
      <c r="O34" s="211"/>
      <c r="P34" s="212"/>
      <c r="Q34" s="212"/>
      <c r="R34" s="212"/>
      <c r="S34" s="212"/>
      <c r="T34" s="212"/>
    </row>
    <row r="35" spans="1:21" ht="21" customHeight="1"/>
    <row r="36" spans="1:21" s="45" customFormat="1">
      <c r="A36" s="69"/>
      <c r="B36" s="69"/>
      <c r="C36" s="70"/>
      <c r="D36" s="72"/>
      <c r="E36" s="70"/>
      <c r="F36" s="70"/>
      <c r="G36" s="70"/>
      <c r="H36" s="73"/>
      <c r="I36" s="69"/>
      <c r="J36" s="69"/>
      <c r="K36" s="67"/>
      <c r="N36" s="69"/>
      <c r="O36" s="69"/>
      <c r="P36" s="68"/>
      <c r="Q36" s="68"/>
      <c r="R36" s="68"/>
      <c r="S36" s="68"/>
      <c r="T36" s="68"/>
    </row>
    <row r="37" spans="1:21" ht="30" customHeight="1">
      <c r="U37" s="69"/>
    </row>
    <row r="38" spans="1:21">
      <c r="B38" s="809" t="s">
        <v>412</v>
      </c>
      <c r="C38" s="810" t="s">
        <v>2</v>
      </c>
      <c r="D38" s="810"/>
      <c r="E38" s="810"/>
      <c r="F38" s="811" t="s">
        <v>141</v>
      </c>
      <c r="G38" s="812"/>
      <c r="H38" s="812"/>
      <c r="I38" s="813"/>
      <c r="J38" s="808" t="s">
        <v>46</v>
      </c>
      <c r="K38" s="808" t="s">
        <v>145</v>
      </c>
      <c r="U38" s="69"/>
    </row>
    <row r="39" spans="1:21" ht="23" customHeight="1">
      <c r="B39" s="809"/>
      <c r="C39" s="473" t="s">
        <v>12</v>
      </c>
      <c r="D39" s="474" t="s">
        <v>126</v>
      </c>
      <c r="E39" s="473" t="s">
        <v>14</v>
      </c>
      <c r="F39" s="473" t="s">
        <v>10</v>
      </c>
      <c r="G39" s="473" t="s">
        <v>142</v>
      </c>
      <c r="H39" s="473" t="s">
        <v>143</v>
      </c>
      <c r="I39" s="473" t="s">
        <v>14</v>
      </c>
      <c r="J39" s="808"/>
      <c r="K39" s="808"/>
      <c r="U39" s="69"/>
    </row>
    <row r="40" spans="1:21" ht="23" customHeight="1">
      <c r="B40" s="96" t="s">
        <v>129</v>
      </c>
      <c r="C40" s="99">
        <v>6105</v>
      </c>
      <c r="D40" s="99">
        <v>7259</v>
      </c>
      <c r="E40" s="75">
        <f>IFERROR(D40/C40,0)</f>
        <v>1.189025389025389</v>
      </c>
      <c r="F40" s="99">
        <v>1510</v>
      </c>
      <c r="G40" s="99">
        <v>1441</v>
      </c>
      <c r="H40" s="77">
        <v>40</v>
      </c>
      <c r="I40" s="75">
        <f t="shared" ref="I40:I52" si="12">IFERROR((G40-H40)/F40,0)</f>
        <v>0.92781456953642383</v>
      </c>
      <c r="J40" s="100">
        <v>0.22220000000000001</v>
      </c>
      <c r="K40" s="100">
        <v>0.215</v>
      </c>
      <c r="L40" s="69"/>
      <c r="M40" s="68"/>
      <c r="N40" s="68"/>
      <c r="O40" s="68"/>
      <c r="R40" s="74"/>
      <c r="S40" s="69"/>
      <c r="T40" s="69"/>
      <c r="U40" s="69"/>
    </row>
    <row r="41" spans="1:21" ht="23" customHeight="1">
      <c r="B41" s="96" t="s">
        <v>130</v>
      </c>
      <c r="C41" s="99">
        <v>7041</v>
      </c>
      <c r="D41" s="99">
        <v>7318</v>
      </c>
      <c r="E41" s="75">
        <f t="shared" ref="E41:E51" si="13">IFERROR(D41/C41,0)</f>
        <v>1.0393410026984804</v>
      </c>
      <c r="F41" s="99">
        <v>1049</v>
      </c>
      <c r="G41" s="99">
        <v>1384</v>
      </c>
      <c r="H41" s="77">
        <v>52</v>
      </c>
      <c r="I41" s="75">
        <f t="shared" si="12"/>
        <v>1.2697807435653004</v>
      </c>
      <c r="J41" s="100">
        <v>0.1988</v>
      </c>
      <c r="K41" s="100">
        <v>0.21029999999999999</v>
      </c>
      <c r="L41" s="69"/>
      <c r="M41" s="68"/>
      <c r="N41" s="68"/>
      <c r="O41" s="68"/>
      <c r="R41" s="74"/>
      <c r="S41" s="69"/>
      <c r="T41" s="69"/>
      <c r="U41" s="69"/>
    </row>
    <row r="42" spans="1:21" ht="23" customHeight="1">
      <c r="B42" s="96" t="s">
        <v>131</v>
      </c>
      <c r="C42" s="99">
        <v>4837</v>
      </c>
      <c r="D42" s="99">
        <v>4672</v>
      </c>
      <c r="E42" s="75">
        <f t="shared" si="13"/>
        <v>0.96588794707463299</v>
      </c>
      <c r="F42" s="99">
        <v>947</v>
      </c>
      <c r="G42" s="99">
        <v>939</v>
      </c>
      <c r="H42" s="77">
        <v>52</v>
      </c>
      <c r="I42" s="75">
        <f t="shared" si="12"/>
        <v>0.93664202745512148</v>
      </c>
      <c r="J42" s="100">
        <v>0.2142</v>
      </c>
      <c r="K42" s="100">
        <v>0.1691</v>
      </c>
      <c r="L42" s="69"/>
      <c r="M42" s="68"/>
      <c r="N42" s="68"/>
      <c r="O42" s="68"/>
      <c r="R42" s="74"/>
      <c r="S42" s="69"/>
      <c r="T42" s="69"/>
      <c r="U42" s="69"/>
    </row>
    <row r="43" spans="1:21" ht="23" customHeight="1">
      <c r="B43" s="96" t="s">
        <v>132</v>
      </c>
      <c r="C43" s="99"/>
      <c r="D43" s="99"/>
      <c r="E43" s="75">
        <f t="shared" si="13"/>
        <v>0</v>
      </c>
      <c r="F43" s="99"/>
      <c r="G43" s="99"/>
      <c r="H43" s="77"/>
      <c r="I43" s="75">
        <f t="shared" si="12"/>
        <v>0</v>
      </c>
      <c r="J43" s="100"/>
      <c r="K43" s="100"/>
      <c r="L43" s="69"/>
      <c r="M43" s="68"/>
      <c r="N43" s="68"/>
      <c r="O43" s="68"/>
      <c r="R43" s="74"/>
      <c r="S43" s="69"/>
      <c r="T43" s="69"/>
      <c r="U43" s="69"/>
    </row>
    <row r="44" spans="1:21" ht="23" customHeight="1">
      <c r="B44" s="96" t="s">
        <v>133</v>
      </c>
      <c r="C44" s="99"/>
      <c r="D44" s="99"/>
      <c r="E44" s="75">
        <f t="shared" si="13"/>
        <v>0</v>
      </c>
      <c r="F44" s="99"/>
      <c r="G44" s="99"/>
      <c r="H44" s="77"/>
      <c r="I44" s="75">
        <f t="shared" si="12"/>
        <v>0</v>
      </c>
      <c r="J44" s="100"/>
      <c r="K44" s="100"/>
      <c r="L44" s="69"/>
      <c r="M44" s="68"/>
      <c r="N44" s="68"/>
      <c r="O44" s="68"/>
      <c r="R44" s="74"/>
      <c r="S44" s="69"/>
      <c r="T44" s="69"/>
      <c r="U44" s="69"/>
    </row>
    <row r="45" spans="1:21" ht="23" customHeight="1">
      <c r="B45" s="96" t="s">
        <v>134</v>
      </c>
      <c r="C45" s="99"/>
      <c r="D45" s="99"/>
      <c r="E45" s="75">
        <f t="shared" si="13"/>
        <v>0</v>
      </c>
      <c r="F45" s="99"/>
      <c r="G45" s="99"/>
      <c r="H45" s="77"/>
      <c r="I45" s="75">
        <f t="shared" si="12"/>
        <v>0</v>
      </c>
      <c r="J45" s="100"/>
      <c r="K45" s="100"/>
      <c r="L45" s="69"/>
      <c r="M45" s="68"/>
      <c r="N45" s="68"/>
      <c r="O45" s="68"/>
      <c r="R45" s="74"/>
      <c r="S45" s="69"/>
      <c r="T45" s="69"/>
      <c r="U45" s="69"/>
    </row>
    <row r="46" spans="1:21" ht="23" customHeight="1">
      <c r="B46" s="96" t="s">
        <v>135</v>
      </c>
      <c r="C46" s="99"/>
      <c r="D46" s="99"/>
      <c r="E46" s="75">
        <f t="shared" si="13"/>
        <v>0</v>
      </c>
      <c r="F46" s="99"/>
      <c r="G46" s="99"/>
      <c r="H46" s="77"/>
      <c r="I46" s="75">
        <f t="shared" si="12"/>
        <v>0</v>
      </c>
      <c r="J46" s="100"/>
      <c r="K46" s="101"/>
      <c r="U46" s="69"/>
    </row>
    <row r="47" spans="1:21" ht="23" customHeight="1">
      <c r="B47" s="96" t="s">
        <v>136</v>
      </c>
      <c r="C47" s="99"/>
      <c r="D47" s="99"/>
      <c r="E47" s="75">
        <f t="shared" si="13"/>
        <v>0</v>
      </c>
      <c r="F47" s="99"/>
      <c r="G47" s="99"/>
      <c r="H47" s="77"/>
      <c r="I47" s="75">
        <f t="shared" si="12"/>
        <v>0</v>
      </c>
      <c r="J47" s="100"/>
      <c r="K47" s="100"/>
      <c r="U47" s="69"/>
    </row>
    <row r="48" spans="1:21" ht="23" customHeight="1">
      <c r="B48" s="96" t="s">
        <v>137</v>
      </c>
      <c r="C48" s="99"/>
      <c r="D48" s="99"/>
      <c r="E48" s="75">
        <f t="shared" si="13"/>
        <v>0</v>
      </c>
      <c r="F48" s="99"/>
      <c r="G48" s="99"/>
      <c r="H48" s="77"/>
      <c r="I48" s="75">
        <f t="shared" si="12"/>
        <v>0</v>
      </c>
      <c r="J48" s="100"/>
      <c r="K48" s="100"/>
      <c r="U48" s="69"/>
    </row>
    <row r="49" spans="1:21" ht="23" customHeight="1">
      <c r="B49" s="96" t="s">
        <v>138</v>
      </c>
      <c r="C49" s="99"/>
      <c r="D49" s="99"/>
      <c r="E49" s="75">
        <f t="shared" si="13"/>
        <v>0</v>
      </c>
      <c r="F49" s="99"/>
      <c r="G49" s="99"/>
      <c r="H49" s="77"/>
      <c r="I49" s="75">
        <f t="shared" si="12"/>
        <v>0</v>
      </c>
      <c r="J49" s="100"/>
      <c r="K49" s="100"/>
      <c r="U49" s="69"/>
    </row>
    <row r="50" spans="1:21" ht="20" customHeight="1">
      <c r="B50" s="96" t="s">
        <v>139</v>
      </c>
      <c r="C50" s="99"/>
      <c r="D50" s="99"/>
      <c r="E50" s="75">
        <f t="shared" si="13"/>
        <v>0</v>
      </c>
      <c r="F50" s="99"/>
      <c r="G50" s="99"/>
      <c r="H50" s="77"/>
      <c r="I50" s="75">
        <f t="shared" si="12"/>
        <v>0</v>
      </c>
      <c r="J50" s="100"/>
      <c r="K50" s="100"/>
    </row>
    <row r="51" spans="1:21" s="70" customFormat="1">
      <c r="A51" s="69"/>
      <c r="B51" s="96" t="s">
        <v>140</v>
      </c>
      <c r="C51" s="99"/>
      <c r="D51" s="99"/>
      <c r="E51" s="75">
        <f t="shared" si="13"/>
        <v>0</v>
      </c>
      <c r="F51" s="99"/>
      <c r="G51" s="99"/>
      <c r="H51" s="77"/>
      <c r="I51" s="75">
        <f t="shared" si="12"/>
        <v>0</v>
      </c>
      <c r="J51" s="100"/>
      <c r="K51" s="100"/>
      <c r="L51" s="45"/>
      <c r="M51" s="45"/>
      <c r="N51" s="69"/>
      <c r="O51" s="69"/>
      <c r="P51" s="68"/>
      <c r="Q51" s="68"/>
      <c r="R51" s="68"/>
      <c r="S51" s="68"/>
      <c r="T51" s="68"/>
      <c r="U51" s="74"/>
    </row>
    <row r="52" spans="1:21" ht="26" customHeight="1">
      <c r="B52" s="215" t="s">
        <v>216</v>
      </c>
      <c r="C52" s="216">
        <f>SUM(C40:C51)</f>
        <v>17983</v>
      </c>
      <c r="D52" s="216">
        <f>SUM(D40:D51)</f>
        <v>19249</v>
      </c>
      <c r="E52" s="217">
        <f t="shared" ref="E52" si="14">D52/C52</f>
        <v>1.0703998220541622</v>
      </c>
      <c r="F52" s="216">
        <f>SUM(F40:F51)</f>
        <v>3506</v>
      </c>
      <c r="G52" s="216">
        <f>SUM(G40:G51)</f>
        <v>3764</v>
      </c>
      <c r="H52" s="216">
        <f>SUM(H40:H51)</f>
        <v>144</v>
      </c>
      <c r="I52" s="217">
        <f t="shared" si="12"/>
        <v>1.0325156873930406</v>
      </c>
      <c r="J52" s="218">
        <f>AVERAGE(J40:J51)</f>
        <v>0.21173333333333333</v>
      </c>
      <c r="K52" s="218">
        <f>AVERAGE(K40:K51)</f>
        <v>0.19813333333333336</v>
      </c>
    </row>
    <row r="53" spans="1:21" ht="19" customHeight="1"/>
    <row r="54" spans="1:21" ht="18" customHeight="1">
      <c r="C54" s="262"/>
    </row>
    <row r="55" spans="1:21" ht="18" customHeight="1">
      <c r="C55" s="262"/>
    </row>
    <row r="56" spans="1:21" ht="18" customHeight="1">
      <c r="C56" s="262"/>
    </row>
    <row r="57" spans="1:21" ht="18" customHeight="1"/>
    <row r="58" spans="1:21" ht="18" customHeight="1"/>
    <row r="59" spans="1:21" s="71" customFormat="1" ht="18" customHeight="1">
      <c r="A59" s="69"/>
      <c r="B59" s="69"/>
      <c r="C59" s="70"/>
      <c r="D59" s="72"/>
      <c r="E59" s="70"/>
      <c r="F59" s="70"/>
      <c r="G59" s="70"/>
      <c r="H59" s="73"/>
      <c r="I59" s="69"/>
      <c r="J59" s="69"/>
      <c r="K59" s="67"/>
      <c r="L59" s="45"/>
      <c r="M59" s="45"/>
      <c r="N59" s="69"/>
      <c r="O59" s="69"/>
      <c r="P59" s="68"/>
      <c r="Q59" s="68"/>
      <c r="R59" s="68"/>
      <c r="S59" s="68"/>
      <c r="T59" s="68"/>
      <c r="U59" s="74"/>
    </row>
    <row r="60" spans="1:21" s="71" customFormat="1" ht="18" customHeight="1">
      <c r="A60" s="69"/>
      <c r="B60" s="69"/>
      <c r="C60" s="70"/>
      <c r="D60" s="72"/>
      <c r="E60" s="70"/>
      <c r="F60" s="70"/>
      <c r="G60" s="70"/>
      <c r="H60" s="73"/>
      <c r="I60" s="69"/>
      <c r="J60" s="69"/>
      <c r="K60" s="67"/>
      <c r="L60" s="45"/>
      <c r="M60" s="45"/>
      <c r="N60" s="69"/>
      <c r="O60" s="69"/>
      <c r="P60" s="68"/>
      <c r="Q60" s="68"/>
      <c r="R60" s="68"/>
      <c r="S60" s="68"/>
      <c r="T60" s="68"/>
      <c r="U60" s="74"/>
    </row>
    <row r="61" spans="1:21" s="71" customFormat="1" ht="18" customHeight="1">
      <c r="A61" s="69"/>
      <c r="B61" s="69"/>
      <c r="C61" s="70"/>
      <c r="D61" s="72"/>
      <c r="E61" s="70"/>
      <c r="F61" s="70"/>
      <c r="G61" s="70"/>
      <c r="H61" s="73"/>
      <c r="I61" s="69"/>
      <c r="J61" s="69"/>
      <c r="K61" s="67"/>
      <c r="L61" s="45"/>
      <c r="M61" s="45"/>
      <c r="N61" s="69"/>
      <c r="O61" s="69"/>
      <c r="P61" s="68"/>
      <c r="Q61" s="68"/>
      <c r="R61" s="68"/>
      <c r="S61" s="68"/>
      <c r="T61" s="68"/>
      <c r="U61" s="74"/>
    </row>
    <row r="62" spans="1:21" s="71" customFormat="1" ht="18" customHeight="1">
      <c r="A62" s="69"/>
      <c r="B62" s="69"/>
      <c r="C62" s="70"/>
      <c r="D62" s="72"/>
      <c r="E62" s="70"/>
      <c r="F62" s="70"/>
      <c r="G62" s="70"/>
      <c r="H62" s="73"/>
      <c r="I62" s="69"/>
      <c r="J62" s="69"/>
      <c r="K62" s="67"/>
      <c r="L62" s="45"/>
      <c r="M62" s="45"/>
      <c r="N62" s="69"/>
      <c r="O62" s="69"/>
      <c r="P62" s="68"/>
      <c r="Q62" s="68"/>
      <c r="R62" s="68"/>
      <c r="S62" s="68"/>
      <c r="T62" s="68"/>
      <c r="U62" s="74"/>
    </row>
    <row r="63" spans="1:21" s="71" customFormat="1" ht="18" customHeight="1">
      <c r="A63" s="69"/>
      <c r="B63" s="69"/>
      <c r="C63" s="70"/>
      <c r="D63" s="72"/>
      <c r="E63" s="70"/>
      <c r="F63" s="70"/>
      <c r="G63" s="70"/>
      <c r="H63" s="73"/>
      <c r="I63" s="69"/>
      <c r="J63" s="69"/>
      <c r="K63" s="67"/>
      <c r="L63" s="45"/>
      <c r="M63" s="45"/>
      <c r="N63" s="69"/>
      <c r="O63" s="69"/>
      <c r="P63" s="68"/>
      <c r="Q63" s="68"/>
      <c r="R63" s="68"/>
      <c r="S63" s="68"/>
      <c r="T63" s="68"/>
      <c r="U63" s="74"/>
    </row>
    <row r="64" spans="1:21" s="71" customFormat="1" ht="18" customHeight="1">
      <c r="A64" s="69"/>
      <c r="B64" s="69"/>
      <c r="C64" s="70"/>
      <c r="D64" s="72"/>
      <c r="E64" s="70"/>
      <c r="F64" s="70"/>
      <c r="G64" s="70"/>
      <c r="H64" s="73"/>
      <c r="I64" s="69"/>
      <c r="J64" s="69"/>
      <c r="K64" s="67"/>
      <c r="L64" s="45"/>
      <c r="M64" s="45"/>
      <c r="N64" s="69"/>
      <c r="O64" s="69"/>
      <c r="P64" s="68"/>
      <c r="Q64" s="68"/>
      <c r="R64" s="68"/>
      <c r="S64" s="68"/>
      <c r="T64" s="68"/>
      <c r="U64" s="74"/>
    </row>
    <row r="65" spans="1:21" ht="18" customHeight="1"/>
    <row r="66" spans="1:21" s="211" customFormat="1" ht="29" customHeight="1">
      <c r="A66" s="69"/>
      <c r="B66" s="69"/>
      <c r="C66" s="70"/>
      <c r="D66" s="72"/>
      <c r="E66" s="70"/>
      <c r="F66" s="70"/>
      <c r="G66" s="70"/>
      <c r="H66" s="73"/>
      <c r="I66" s="69"/>
      <c r="J66" s="69"/>
      <c r="K66" s="67"/>
      <c r="L66" s="45"/>
      <c r="M66" s="45"/>
      <c r="N66" s="69"/>
      <c r="O66" s="69"/>
      <c r="P66" s="68"/>
      <c r="Q66" s="68"/>
      <c r="R66" s="68"/>
      <c r="S66" s="68"/>
      <c r="T66" s="68"/>
      <c r="U66" s="81"/>
    </row>
    <row r="68" spans="1:21" ht="21" customHeight="1"/>
    <row r="69" spans="1:21" ht="21" customHeight="1"/>
    <row r="70" spans="1:21" ht="16" customHeight="1"/>
    <row r="82" spans="1:21" s="211" customFormat="1" ht="21">
      <c r="A82" s="69"/>
      <c r="B82" s="69"/>
      <c r="C82" s="70"/>
      <c r="D82" s="72"/>
      <c r="E82" s="70"/>
      <c r="F82" s="70"/>
      <c r="G82" s="70"/>
      <c r="H82" s="73"/>
      <c r="I82" s="69"/>
      <c r="J82" s="69"/>
      <c r="K82" s="67"/>
      <c r="L82" s="45"/>
      <c r="M82" s="45"/>
      <c r="N82" s="69"/>
      <c r="O82" s="69"/>
      <c r="P82" s="68"/>
      <c r="Q82" s="68"/>
      <c r="R82" s="68"/>
      <c r="S82" s="68"/>
      <c r="T82" s="68"/>
      <c r="U82" s="81"/>
    </row>
    <row r="87" spans="1:21" ht="20" customHeight="1"/>
    <row r="88" spans="1:21">
      <c r="U88" s="69"/>
    </row>
    <row r="89" spans="1:21" ht="24" customHeight="1">
      <c r="U89" s="69"/>
    </row>
    <row r="90" spans="1:21" ht="24" customHeight="1">
      <c r="U90" s="69"/>
    </row>
    <row r="91" spans="1:21" ht="24" customHeight="1">
      <c r="U91" s="69"/>
    </row>
    <row r="92" spans="1:21" ht="24" customHeight="1">
      <c r="U92" s="69"/>
    </row>
    <row r="93" spans="1:21" ht="24" customHeight="1">
      <c r="U93" s="69"/>
    </row>
    <row r="94" spans="1:21" ht="24" customHeight="1"/>
    <row r="95" spans="1:21" ht="24" customHeight="1"/>
  </sheetData>
  <customSheetViews>
    <customSheetView guid="{FEB50EEF-352C-B844-A6F4-33499875B85A}" hiddenColumns="1">
      <selection activeCell="B3" sqref="B3:J48"/>
      <pageMargins left="0.7" right="0.7" top="0.75" bottom="0.75" header="0.3" footer="0.3"/>
    </customSheetView>
  </customSheetViews>
  <mergeCells count="20">
    <mergeCell ref="L20:L21"/>
    <mergeCell ref="B20:B21"/>
    <mergeCell ref="C20:E20"/>
    <mergeCell ref="F20:I20"/>
    <mergeCell ref="J20:J21"/>
    <mergeCell ref="K20:K21"/>
    <mergeCell ref="J38:J39"/>
    <mergeCell ref="K38:K39"/>
    <mergeCell ref="B38:B39"/>
    <mergeCell ref="C38:E38"/>
    <mergeCell ref="F38:I38"/>
    <mergeCell ref="AN3:AQ3"/>
    <mergeCell ref="AS3:AY3"/>
    <mergeCell ref="X3:AD3"/>
    <mergeCell ref="AF3:AL3"/>
    <mergeCell ref="B4:B5"/>
    <mergeCell ref="C4:E4"/>
    <mergeCell ref="F4:I4"/>
    <mergeCell ref="J4:J5"/>
    <mergeCell ref="K4:K5"/>
  </mergeCells>
  <phoneticPr fontId="45" type="noConversion"/>
  <conditionalFormatting sqref="E6:E17">
    <cfRule type="cellIs" dxfId="156" priority="34" stopIfTrue="1" operator="lessThan">
      <formula>1.1</formula>
    </cfRule>
  </conditionalFormatting>
  <conditionalFormatting sqref="E22:E33">
    <cfRule type="cellIs" dxfId="155" priority="15" stopIfTrue="1" operator="lessThan">
      <formula>1.1</formula>
    </cfRule>
  </conditionalFormatting>
  <conditionalFormatting sqref="I6:I17">
    <cfRule type="cellIs" dxfId="154" priority="33" operator="lessThan">
      <formula>1.2</formula>
    </cfRule>
  </conditionalFormatting>
  <conditionalFormatting sqref="I22:I33">
    <cfRule type="cellIs" dxfId="153" priority="14" operator="lessThan">
      <formula>1.2</formula>
    </cfRule>
  </conditionalFormatting>
  <conditionalFormatting sqref="J6:K17">
    <cfRule type="cellIs" dxfId="152" priority="31" operator="lessThan">
      <formula>0.2</formula>
    </cfRule>
  </conditionalFormatting>
  <conditionalFormatting sqref="J22:K23 J25:K33 K24 L22:L33">
    <cfRule type="cellIs" dxfId="151" priority="13" operator="lessThan">
      <formula>0.2</formula>
    </cfRule>
  </conditionalFormatting>
  <conditionalFormatting sqref="G1:J2">
    <cfRule type="containsErrors" dxfId="150" priority="54">
      <formula>ISERROR(G1)</formula>
    </cfRule>
  </conditionalFormatting>
  <conditionalFormatting sqref="AP5:AP15">
    <cfRule type="cellIs" dxfId="149" priority="35" stopIfTrue="1" operator="lessThan">
      <formula>0</formula>
    </cfRule>
  </conditionalFormatting>
  <conditionalFormatting sqref="J24">
    <cfRule type="cellIs" dxfId="148" priority="11" operator="lessThan">
      <formula>0.2</formula>
    </cfRule>
  </conditionalFormatting>
  <conditionalFormatting sqref="E40:E51">
    <cfRule type="cellIs" dxfId="147" priority="4" stopIfTrue="1" operator="lessThan">
      <formula>1.1</formula>
    </cfRule>
  </conditionalFormatting>
  <conditionalFormatting sqref="I40:I51">
    <cfRule type="cellIs" dxfId="146" priority="3" operator="lessThan">
      <formula>1.2</formula>
    </cfRule>
  </conditionalFormatting>
  <conditionalFormatting sqref="J40:K41 J43:K51 K42">
    <cfRule type="cellIs" dxfId="145" priority="2" operator="lessThan">
      <formula>0.2</formula>
    </cfRule>
  </conditionalFormatting>
  <conditionalFormatting sqref="J42">
    <cfRule type="cellIs" dxfId="144" priority="1" operator="lessThan">
      <formula>0.2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AF7204-EDFB-AA49-8B84-1E57BE5612CE}">
  <sheetPr codeName="Sheet3">
    <tabColor rgb="FF0070C0"/>
  </sheetPr>
  <dimension ref="A1:AH43"/>
  <sheetViews>
    <sheetView topLeftCell="A16" zoomScale="80" zoomScaleNormal="80" workbookViewId="0">
      <selection activeCell="B30" sqref="B30:AA43"/>
    </sheetView>
  </sheetViews>
  <sheetFormatPr baseColWidth="10" defaultColWidth="6.1640625" defaultRowHeight="21.5" customHeight="1"/>
  <cols>
    <col min="1" max="1" width="3.1640625" style="28" customWidth="1"/>
    <col min="2" max="2" width="33.6640625" style="28" bestFit="1" customWidth="1"/>
    <col min="3" max="3" width="9.33203125" style="28" hidden="1" customWidth="1"/>
    <col min="4" max="4" width="7.5" style="27" hidden="1" customWidth="1"/>
    <col min="5" max="5" width="8.5" style="27" customWidth="1"/>
    <col min="6" max="6" width="7" style="27" customWidth="1"/>
    <col min="7" max="19" width="8.5" style="27" customWidth="1"/>
    <col min="20" max="20" width="10.5" style="27" customWidth="1"/>
    <col min="21" max="23" width="8.5" style="27" customWidth="1"/>
    <col min="24" max="27" width="8.5" style="26" customWidth="1"/>
    <col min="28" max="16384" width="6.1640625" style="26"/>
  </cols>
  <sheetData>
    <row r="1" spans="1:34" s="24" customFormat="1" ht="14">
      <c r="I1" s="25"/>
      <c r="U1" s="25"/>
      <c r="V1" s="25"/>
      <c r="W1" s="25"/>
    </row>
    <row r="2" spans="1:34" s="28" customFormat="1" ht="18">
      <c r="B2" s="47"/>
      <c r="C2" s="47"/>
      <c r="D2" s="29"/>
      <c r="E2" s="465" t="s">
        <v>508</v>
      </c>
      <c r="F2" s="466" t="s">
        <v>514</v>
      </c>
      <c r="G2" s="616" t="s">
        <v>502</v>
      </c>
      <c r="H2" s="466" t="s">
        <v>510</v>
      </c>
      <c r="I2" s="465" t="s">
        <v>511</v>
      </c>
      <c r="J2" s="466" t="s">
        <v>224</v>
      </c>
      <c r="K2" s="465" t="s">
        <v>520</v>
      </c>
      <c r="L2" s="466" t="s">
        <v>268</v>
      </c>
      <c r="M2" s="465" t="s">
        <v>222</v>
      </c>
      <c r="N2" s="466" t="s">
        <v>522</v>
      </c>
      <c r="O2" s="465" t="s">
        <v>517</v>
      </c>
      <c r="P2" s="466" t="s">
        <v>519</v>
      </c>
      <c r="Q2" s="465" t="s">
        <v>509</v>
      </c>
      <c r="R2" s="617" t="s">
        <v>114</v>
      </c>
      <c r="S2" s="465" t="s">
        <v>494</v>
      </c>
      <c r="T2" s="466" t="s">
        <v>512</v>
      </c>
      <c r="U2" s="465" t="s">
        <v>506</v>
      </c>
      <c r="V2" s="617" t="s">
        <v>176</v>
      </c>
      <c r="W2" s="465" t="s">
        <v>516</v>
      </c>
      <c r="X2" s="466" t="s">
        <v>223</v>
      </c>
      <c r="Y2" s="465" t="s">
        <v>226</v>
      </c>
      <c r="Z2" s="466" t="s">
        <v>225</v>
      </c>
      <c r="AA2" s="465" t="s">
        <v>507</v>
      </c>
      <c r="AB2" s="392"/>
      <c r="AC2" s="392"/>
      <c r="AD2" s="392"/>
      <c r="AE2" s="392"/>
      <c r="AF2" s="392"/>
      <c r="AG2" s="392"/>
      <c r="AH2" s="392"/>
    </row>
    <row r="3" spans="1:34" ht="34" customHeight="1">
      <c r="B3" s="47" t="s">
        <v>48</v>
      </c>
      <c r="C3" s="47"/>
      <c r="D3" s="30"/>
      <c r="E3" s="583" t="s">
        <v>52</v>
      </c>
      <c r="F3" s="612" t="s">
        <v>33</v>
      </c>
      <c r="G3" s="583" t="s">
        <v>112</v>
      </c>
      <c r="H3" s="612" t="s">
        <v>30</v>
      </c>
      <c r="I3" s="583" t="s">
        <v>32</v>
      </c>
      <c r="J3" s="612" t="s">
        <v>64</v>
      </c>
      <c r="K3" s="583" t="s">
        <v>168</v>
      </c>
      <c r="L3" s="613" t="s">
        <v>169</v>
      </c>
      <c r="M3" s="583" t="s">
        <v>147</v>
      </c>
      <c r="N3" s="613" t="s">
        <v>26</v>
      </c>
      <c r="O3" s="583" t="s">
        <v>229</v>
      </c>
      <c r="P3" s="613" t="s">
        <v>524</v>
      </c>
      <c r="Q3" s="583" t="s">
        <v>104</v>
      </c>
      <c r="R3" s="612" t="s">
        <v>25</v>
      </c>
      <c r="S3" s="583" t="s">
        <v>70</v>
      </c>
      <c r="T3" s="612" t="s">
        <v>171</v>
      </c>
      <c r="U3" s="614" t="s">
        <v>231</v>
      </c>
      <c r="V3" s="615" t="s">
        <v>31</v>
      </c>
      <c r="W3" s="583" t="s">
        <v>228</v>
      </c>
      <c r="X3" s="612" t="s">
        <v>232</v>
      </c>
      <c r="Y3" s="583" t="s">
        <v>128</v>
      </c>
      <c r="Z3" s="612" t="s">
        <v>61</v>
      </c>
      <c r="AA3" s="583" t="s">
        <v>392</v>
      </c>
      <c r="AD3" s="583" t="s">
        <v>52</v>
      </c>
      <c r="AE3" s="465" t="s">
        <v>508</v>
      </c>
    </row>
    <row r="4" spans="1:34" s="95" customFormat="1" ht="28" customHeight="1">
      <c r="A4" s="94"/>
      <c r="B4" s="821" t="s">
        <v>28</v>
      </c>
      <c r="C4" s="822" t="s">
        <v>67</v>
      </c>
      <c r="D4" s="822" t="s">
        <v>47</v>
      </c>
      <c r="E4" s="327"/>
      <c r="F4" s="327"/>
      <c r="G4" s="327"/>
      <c r="H4" s="327"/>
      <c r="I4" s="327"/>
      <c r="J4" s="327"/>
      <c r="K4" s="327"/>
      <c r="L4" s="327"/>
      <c r="M4" s="327"/>
      <c r="N4" s="328"/>
      <c r="O4" s="327"/>
      <c r="P4" s="327"/>
      <c r="Q4" s="327"/>
      <c r="R4" s="329"/>
      <c r="S4" s="329"/>
      <c r="T4" s="329"/>
      <c r="U4" s="329"/>
      <c r="V4" s="330"/>
      <c r="W4" s="331"/>
      <c r="X4" s="331"/>
      <c r="Y4" s="331"/>
      <c r="Z4" s="331"/>
      <c r="AA4" s="331"/>
      <c r="AD4" s="612" t="s">
        <v>33</v>
      </c>
      <c r="AE4" s="466" t="s">
        <v>514</v>
      </c>
    </row>
    <row r="5" spans="1:34" s="44" customFormat="1" ht="17" customHeight="1">
      <c r="A5" s="43"/>
      <c r="B5" s="821"/>
      <c r="C5" s="822"/>
      <c r="D5" s="822"/>
      <c r="E5" s="401" t="s">
        <v>69</v>
      </c>
      <c r="F5" s="401" t="s">
        <v>69</v>
      </c>
      <c r="G5" s="401" t="s">
        <v>69</v>
      </c>
      <c r="H5" s="401" t="s">
        <v>69</v>
      </c>
      <c r="I5" s="401" t="s">
        <v>69</v>
      </c>
      <c r="J5" s="401" t="s">
        <v>69</v>
      </c>
      <c r="K5" s="401" t="s">
        <v>69</v>
      </c>
      <c r="L5" s="401" t="s">
        <v>69</v>
      </c>
      <c r="M5" s="401" t="s">
        <v>69</v>
      </c>
      <c r="N5" s="401" t="s">
        <v>69</v>
      </c>
      <c r="O5" s="401" t="s">
        <v>69</v>
      </c>
      <c r="P5" s="401" t="s">
        <v>69</v>
      </c>
      <c r="Q5" s="401" t="s">
        <v>69</v>
      </c>
      <c r="R5" s="331" t="s">
        <v>413</v>
      </c>
      <c r="S5" s="331" t="s">
        <v>413</v>
      </c>
      <c r="T5" s="331" t="s">
        <v>413</v>
      </c>
      <c r="U5" s="331" t="s">
        <v>413</v>
      </c>
      <c r="V5" s="331" t="s">
        <v>413</v>
      </c>
      <c r="W5" s="331" t="s">
        <v>413</v>
      </c>
      <c r="X5" s="331" t="s">
        <v>413</v>
      </c>
      <c r="Y5" s="331" t="s">
        <v>413</v>
      </c>
      <c r="Z5" s="331" t="s">
        <v>413</v>
      </c>
      <c r="AA5" s="331" t="s">
        <v>413</v>
      </c>
      <c r="AD5" s="583" t="s">
        <v>112</v>
      </c>
      <c r="AE5" s="616" t="s">
        <v>502</v>
      </c>
    </row>
    <row r="6" spans="1:34" s="1" customFormat="1" ht="25" customHeight="1">
      <c r="A6" s="61"/>
      <c r="B6" s="396" t="s">
        <v>56</v>
      </c>
      <c r="C6" s="397" t="e">
        <f>SUMIFS('Hieu Qua NV'!#REF!,'Hieu Qua NV'!#REF!,'Thi dua NV'!B6)</f>
        <v>#REF!</v>
      </c>
      <c r="D6" s="397" t="str">
        <f t="shared" ref="D6:D16" ca="1" si="0">COUNTIF(E6:AA6,"&gt;=1")&amp;"/"&amp;COUNT(E6:AA6)</f>
        <v>6/23</v>
      </c>
      <c r="E6" s="398">
        <f ca="1">SUMIFS(XL_DT_TD!$L:$L,XL_DT_TD!$E:$E,$B:$B,XL_DT_TD!$D:$D,'Thi dua NV'!E$3)</f>
        <v>3.8453593035266338</v>
      </c>
      <c r="F6" s="398">
        <f ca="1">SUMIFS(XL_DT_TD!$L:$L,XL_DT_TD!$E:$E,$B:$B,XL_DT_TD!$D:$D,'Thi dua NV'!F$3)</f>
        <v>0.32460411457647936</v>
      </c>
      <c r="G6" s="398">
        <f ca="1">SUMIFS(XL_DT_TD!$L:$L,XL_DT_TD!$E:$E,$B:$B,XL_DT_TD!$D:$D,'Thi dua NV'!G$3)</f>
        <v>0</v>
      </c>
      <c r="H6" s="398">
        <f ca="1">SUMIFS(XL_DT_TD!$L:$L,XL_DT_TD!$E:$E,$B:$B,XL_DT_TD!$D:$D,'Thi dua NV'!H$3)</f>
        <v>3.0204441008461114</v>
      </c>
      <c r="I6" s="398">
        <f ca="1">SUMIFS(XL_DT_TD!$L:$L,XL_DT_TD!$E:$E,$B:$B,XL_DT_TD!$D:$D,'Thi dua NV'!I$3)</f>
        <v>0</v>
      </c>
      <c r="J6" s="398">
        <f ca="1">SUMIFS(XL_DT_TD!$L:$L,XL_DT_TD!$E:$E,$B:$B,XL_DT_TD!$D:$D,'Thi dua NV'!J$3)</f>
        <v>0.60255762852970474</v>
      </c>
      <c r="K6" s="398">
        <f ca="1">SUMIFS(XL_DT_TD!$L:$L,XL_DT_TD!$E:$E,$B:$B,XL_DT_TD!$D:$D,'Thi dua NV'!K$3)</f>
        <v>1.8758216199817981</v>
      </c>
      <c r="L6" s="398">
        <f ca="1">SUMIFS(XL_DT_TD!$L:$L,XL_DT_TD!$E:$E,$B:$B,XL_DT_TD!$D:$D,'Thi dua NV'!L$3)</f>
        <v>1.5717543236199953</v>
      </c>
      <c r="M6" s="398">
        <f ca="1">SUMIFS(XL_DT_TD!$L:$L,XL_DT_TD!$E:$E,$B:$B,XL_DT_TD!$D:$D,'Thi dua NV'!M$3)</f>
        <v>0.95829115205507187</v>
      </c>
      <c r="N6" s="398">
        <f ca="1">SUMIFS(XL_DT_TD!$L:$L,XL_DT_TD!$E:$E,$B:$B,XL_DT_TD!$D:$D,'Thi dua NV'!N$3)</f>
        <v>0.44295753588516751</v>
      </c>
      <c r="O6" s="398">
        <f ca="1">SUMIFS(XL_DT_TD!$L:$L,XL_DT_TD!$E:$E,$B:$B,XL_DT_TD!$D:$D,'Thi dua NV'!O$3)</f>
        <v>0</v>
      </c>
      <c r="P6" s="398">
        <f ca="1">SUMIFS(XL_DT_TD!$L:$L,XL_DT_TD!$E:$E,$B:$B,XL_DT_TD!$D:$D,'Thi dua NV'!P$3)</f>
        <v>0.45663400926558811</v>
      </c>
      <c r="Q6" s="398">
        <f ca="1">SUMIFS(XL_DT_TD!$L:$L,XL_DT_TD!$E:$E,$B:$B,XL_DT_TD!$D:$D,'Thi dua NV'!Q$3)</f>
        <v>0</v>
      </c>
      <c r="R6" s="398">
        <f ca="1">SUMIFS(XL_DT_TD!$L:$L,XL_DT_TD!$E:$E,$B:$B,XL_DT_TD!$D:$D,'Thi dua NV'!R$3)</f>
        <v>0</v>
      </c>
      <c r="S6" s="398">
        <f ca="1">SUMIFS(XL_DT_TD!$L:$L,XL_DT_TD!$E:$E,$B:$B,XL_DT_TD!$D:$D,'Thi dua NV'!S$3)</f>
        <v>2.392084406946783</v>
      </c>
      <c r="T6" s="398">
        <f ca="1">SUMIFS(XL_DT_TD!$L:$L,XL_DT_TD!$E:$E,$B:$B,XL_DT_TD!$D:$D,'Thi dua NV'!T$3)</f>
        <v>0</v>
      </c>
      <c r="U6" s="398">
        <f ca="1">SUMIFS(XL_DT_TD!$L:$L,XL_DT_TD!$E:$E,$B:$B,XL_DT_TD!$D:$D,'Thi dua NV'!U$3)</f>
        <v>0</v>
      </c>
      <c r="V6" s="398">
        <f ca="1">SUMIFS(XL_DT_TD!$L:$L,XL_DT_TD!$E:$E,$B:$B,XL_DT_TD!$D:$D,'Thi dua NV'!V$3)</f>
        <v>0</v>
      </c>
      <c r="W6" s="398">
        <f ca="1">SUMIFS(XL_DT_TD!$L:$L,XL_DT_TD!$E:$E,$B:$B,XL_DT_TD!$D:$D,'Thi dua NV'!W$3)</f>
        <v>3.2875929102344199</v>
      </c>
      <c r="X6" s="398">
        <f ca="1">SUMIFS(XL_DT_TD!$L:$L,XL_DT_TD!$E:$E,$B:$B,XL_DT_TD!$D:$D,'Thi dua NV'!X$3)</f>
        <v>0.45812858312858312</v>
      </c>
      <c r="Y6" s="398">
        <f ca="1">SUMIFS(XL_DT_TD!$L:$L,XL_DT_TD!$E:$E,$B:$B,XL_DT_TD!$D:$D,'Thi dua NV'!Y$3)</f>
        <v>0</v>
      </c>
      <c r="Z6" s="398">
        <f ca="1">SUMIFS(XL_DT_TD!$L:$L,XL_DT_TD!$E:$E,$B:$B,XL_DT_TD!$D:$D,'Thi dua NV'!Z$3)</f>
        <v>0</v>
      </c>
      <c r="AA6" s="399">
        <f>SUMIFS(XL_DT_TD!$L:$L,XL_DT_TD!$E:$E,$B:$B,XL_DT_TD!$D:$D,'Thi dua NV'!AA$3)</f>
        <v>0</v>
      </c>
      <c r="AD6" s="612" t="s">
        <v>30</v>
      </c>
      <c r="AE6" s="466" t="s">
        <v>510</v>
      </c>
    </row>
    <row r="7" spans="1:34" s="1" customFormat="1" ht="25" customHeight="1">
      <c r="A7" s="61"/>
      <c r="B7" s="396" t="s">
        <v>60</v>
      </c>
      <c r="C7" s="397" t="e">
        <f>SUMIFS('Hieu Qua NV'!#REF!,'Hieu Qua NV'!#REF!,'Thi dua NV'!B7)</f>
        <v>#REF!</v>
      </c>
      <c r="D7" s="397" t="str">
        <f t="shared" ca="1" si="0"/>
        <v>6/23</v>
      </c>
      <c r="E7" s="398">
        <f ca="1">SUMIFS(XL_DT_TD!$L:$L,XL_DT_TD!$E:$E,$B:$B,XL_DT_TD!$D:$D,'Thi dua NV'!E$3)</f>
        <v>0</v>
      </c>
      <c r="F7" s="398">
        <f ca="1">SUMIFS(XL_DT_TD!$L:$L,XL_DT_TD!$E:$E,$B:$B,XL_DT_TD!$D:$D,'Thi dua NV'!F$3)</f>
        <v>0</v>
      </c>
      <c r="G7" s="398">
        <f ca="1">SUMIFS(XL_DT_TD!$L:$L,XL_DT_TD!$E:$E,$B:$B,XL_DT_TD!$D:$D,'Thi dua NV'!G$3)</f>
        <v>0</v>
      </c>
      <c r="H7" s="398">
        <f ca="1">SUMIFS(XL_DT_TD!$L:$L,XL_DT_TD!$E:$E,$B:$B,XL_DT_TD!$D:$D,'Thi dua NV'!H$3)</f>
        <v>1.291714985182322</v>
      </c>
      <c r="I7" s="398">
        <f ca="1">SUMIFS(XL_DT_TD!$L:$L,XL_DT_TD!$E:$E,$B:$B,XL_DT_TD!$D:$D,'Thi dua NV'!I$3)</f>
        <v>0</v>
      </c>
      <c r="J7" s="398">
        <f ca="1">SUMIFS(XL_DT_TD!$L:$L,XL_DT_TD!$E:$E,$B:$B,XL_DT_TD!$D:$D,'Thi dua NV'!J$3)</f>
        <v>4.7410298753940845</v>
      </c>
      <c r="K7" s="398">
        <f ca="1">SUMIFS(XL_DT_TD!$L:$L,XL_DT_TD!$E:$E,$B:$B,XL_DT_TD!$D:$D,'Thi dua NV'!K$3)</f>
        <v>0.48545022590258036</v>
      </c>
      <c r="L7" s="398">
        <f ca="1">SUMIFS(XL_DT_TD!$L:$L,XL_DT_TD!$E:$E,$B:$B,XL_DT_TD!$D:$D,'Thi dua NV'!L$3)</f>
        <v>0.45753375977256572</v>
      </c>
      <c r="M7" s="398">
        <f ca="1">SUMIFS(XL_DT_TD!$L:$L,XL_DT_TD!$E:$E,$B:$B,XL_DT_TD!$D:$D,'Thi dua NV'!M$3)</f>
        <v>0.79163573372927498</v>
      </c>
      <c r="N7" s="398">
        <f ca="1">SUMIFS(XL_DT_TD!$L:$L,XL_DT_TD!$E:$E,$B:$B,XL_DT_TD!$D:$D,'Thi dua NV'!N$3)</f>
        <v>1.7326845760233918</v>
      </c>
      <c r="O7" s="398">
        <f ca="1">SUMIFS(XL_DT_TD!$L:$L,XL_DT_TD!$E:$E,$B:$B,XL_DT_TD!$D:$D,'Thi dua NV'!O$3)</f>
        <v>0.60410135841170332</v>
      </c>
      <c r="P7" s="398">
        <f ca="1">SUMIFS(XL_DT_TD!$L:$L,XL_DT_TD!$E:$E,$B:$B,XL_DT_TD!$D:$D,'Thi dua NV'!P$3)</f>
        <v>1.0098548841238899</v>
      </c>
      <c r="Q7" s="398">
        <f ca="1">SUMIFS(XL_DT_TD!$L:$L,XL_DT_TD!$E:$E,$B:$B,XL_DT_TD!$D:$D,'Thi dua NV'!Q$3)</f>
        <v>0</v>
      </c>
      <c r="R7" s="398">
        <f ca="1">SUMIFS(XL_DT_TD!$L:$L,XL_DT_TD!$E:$E,$B:$B,XL_DT_TD!$D:$D,'Thi dua NV'!R$3)</f>
        <v>0</v>
      </c>
      <c r="S7" s="398">
        <f ca="1">SUMIFS(XL_DT_TD!$L:$L,XL_DT_TD!$E:$E,$B:$B,XL_DT_TD!$D:$D,'Thi dua NV'!S$3)</f>
        <v>3.6352990665893556</v>
      </c>
      <c r="T7" s="398">
        <f ca="1">SUMIFS(XL_DT_TD!$L:$L,XL_DT_TD!$E:$E,$B:$B,XL_DT_TD!$D:$D,'Thi dua NV'!T$3)</f>
        <v>0</v>
      </c>
      <c r="U7" s="398">
        <f ca="1">SUMIFS(XL_DT_TD!$L:$L,XL_DT_TD!$E:$E,$B:$B,XL_DT_TD!$D:$D,'Thi dua NV'!U$3)</f>
        <v>0</v>
      </c>
      <c r="V7" s="398">
        <f ca="1">SUMIFS(XL_DT_TD!$L:$L,XL_DT_TD!$E:$E,$B:$B,XL_DT_TD!$D:$D,'Thi dua NV'!V$3)</f>
        <v>0</v>
      </c>
      <c r="W7" s="398">
        <f ca="1">SUMIFS(XL_DT_TD!$L:$L,XL_DT_TD!$E:$E,$B:$B,XL_DT_TD!$D:$D,'Thi dua NV'!W$3)</f>
        <v>0.48360968172288921</v>
      </c>
      <c r="X7" s="398">
        <f ca="1">SUMIFS(XL_DT_TD!$L:$L,XL_DT_TD!$E:$E,$B:$B,XL_DT_TD!$D:$D,'Thi dua NV'!X$3)</f>
        <v>1.8815690690690692</v>
      </c>
      <c r="Y7" s="398">
        <f ca="1">SUMIFS(XL_DT_TD!$L:$L,XL_DT_TD!$E:$E,$B:$B,XL_DT_TD!$D:$D,'Thi dua NV'!Y$3)</f>
        <v>0</v>
      </c>
      <c r="Z7" s="398">
        <f ca="1">SUMIFS(XL_DT_TD!$L:$L,XL_DT_TD!$E:$E,$B:$B,XL_DT_TD!$D:$D,'Thi dua NV'!Z$3)</f>
        <v>0</v>
      </c>
      <c r="AA7" s="399">
        <f>SUMIFS(XL_DT_TD!$L:$L,XL_DT_TD!$E:$E,$B:$B,XL_DT_TD!$D:$D,'Thi dua NV'!AA$3)</f>
        <v>0</v>
      </c>
      <c r="AD7" s="583" t="s">
        <v>32</v>
      </c>
      <c r="AE7" s="465" t="s">
        <v>511</v>
      </c>
    </row>
    <row r="8" spans="1:34" s="1" customFormat="1" ht="25" customHeight="1">
      <c r="A8" s="61"/>
      <c r="B8" s="396" t="s">
        <v>57</v>
      </c>
      <c r="C8" s="397" t="e">
        <f>SUMIFS('Hieu Qua NV'!#REF!,'Hieu Qua NV'!#REF!,'Thi dua NV'!B8)</f>
        <v>#REF!</v>
      </c>
      <c r="D8" s="397" t="str">
        <f t="shared" ca="1" si="0"/>
        <v>6/23</v>
      </c>
      <c r="E8" s="398">
        <f ca="1">SUMIFS(XL_DT_TD!$L:$L,XL_DT_TD!$E:$E,$B:$B,XL_DT_TD!$D:$D,'Thi dua NV'!E$3)</f>
        <v>1.1374256062171069</v>
      </c>
      <c r="F8" s="398">
        <f ca="1">SUMIFS(XL_DT_TD!$L:$L,XL_DT_TD!$E:$E,$B:$B,XL_DT_TD!$D:$D,'Thi dua NV'!F$3)</f>
        <v>0.35202000263192523</v>
      </c>
      <c r="G8" s="398">
        <f ca="1">SUMIFS(XL_DT_TD!$L:$L,XL_DT_TD!$E:$E,$B:$B,XL_DT_TD!$D:$D,'Thi dua NV'!G$3)</f>
        <v>0</v>
      </c>
      <c r="H8" s="398">
        <f ca="1">SUMIFS(XL_DT_TD!$L:$L,XL_DT_TD!$E:$E,$B:$B,XL_DT_TD!$D:$D,'Thi dua NV'!H$3)</f>
        <v>0</v>
      </c>
      <c r="I8" s="398">
        <f ca="1">SUMIFS(XL_DT_TD!$L:$L,XL_DT_TD!$E:$E,$B:$B,XL_DT_TD!$D:$D,'Thi dua NV'!I$3)</f>
        <v>1.1905253167168737</v>
      </c>
      <c r="J8" s="398">
        <f ca="1">SUMIFS(XL_DT_TD!$L:$L,XL_DT_TD!$E:$E,$B:$B,XL_DT_TD!$D:$D,'Thi dua NV'!J$3)</f>
        <v>2.5384076464995244</v>
      </c>
      <c r="K8" s="398">
        <f ca="1">SUMIFS(XL_DT_TD!$L:$L,XL_DT_TD!$E:$E,$B:$B,XL_DT_TD!$D:$D,'Thi dua NV'!K$3)</f>
        <v>0.56488129346861271</v>
      </c>
      <c r="L8" s="398">
        <f ca="1">SUMIFS(XL_DT_TD!$L:$L,XL_DT_TD!$E:$E,$B:$B,XL_DT_TD!$D:$D,'Thi dua NV'!L$3)</f>
        <v>0.77144041696280519</v>
      </c>
      <c r="M8" s="398">
        <f ca="1">SUMIFS(XL_DT_TD!$L:$L,XL_DT_TD!$E:$E,$B:$B,XL_DT_TD!$D:$D,'Thi dua NV'!M$3)</f>
        <v>0.43528829497649102</v>
      </c>
      <c r="N8" s="398">
        <f ca="1">SUMIFS(XL_DT_TD!$L:$L,XL_DT_TD!$E:$E,$B:$B,XL_DT_TD!$D:$D,'Thi dua NV'!N$3)</f>
        <v>0.46372441520467844</v>
      </c>
      <c r="O8" s="398">
        <f ca="1">SUMIFS(XL_DT_TD!$L:$L,XL_DT_TD!$E:$E,$B:$B,XL_DT_TD!$D:$D,'Thi dua NV'!O$3)</f>
        <v>0.4980842911877395</v>
      </c>
      <c r="P8" s="398">
        <f ca="1">SUMIFS(XL_DT_TD!$L:$L,XL_DT_TD!$E:$E,$B:$B,XL_DT_TD!$D:$D,'Thi dua NV'!P$3)</f>
        <v>1.2287663603453076</v>
      </c>
      <c r="Q8" s="398">
        <f ca="1">SUMIFS(XL_DT_TD!$L:$L,XL_DT_TD!$E:$E,$B:$B,XL_DT_TD!$D:$D,'Thi dua NV'!Q$3)</f>
        <v>0</v>
      </c>
      <c r="R8" s="398">
        <f ca="1">SUMIFS(XL_DT_TD!$L:$L,XL_DT_TD!$E:$E,$B:$B,XL_DT_TD!$D:$D,'Thi dua NV'!R$3)</f>
        <v>0.52410901467505244</v>
      </c>
      <c r="S8" s="398">
        <f ca="1">SUMIFS(XL_DT_TD!$L:$L,XL_DT_TD!$E:$E,$B:$B,XL_DT_TD!$D:$D,'Thi dua NV'!S$3)</f>
        <v>1.3458926727626204</v>
      </c>
      <c r="T8" s="398">
        <f ca="1">SUMIFS(XL_DT_TD!$L:$L,XL_DT_TD!$E:$E,$B:$B,XL_DT_TD!$D:$D,'Thi dua NV'!T$3)</f>
        <v>0</v>
      </c>
      <c r="U8" s="398">
        <f ca="1">SUMIFS(XL_DT_TD!$L:$L,XL_DT_TD!$E:$E,$B:$B,XL_DT_TD!$D:$D,'Thi dua NV'!U$3)</f>
        <v>0</v>
      </c>
      <c r="V8" s="398">
        <f ca="1">SUMIFS(XL_DT_TD!$L:$L,XL_DT_TD!$E:$E,$B:$B,XL_DT_TD!$D:$D,'Thi dua NV'!V$3)</f>
        <v>5.9549228944246737</v>
      </c>
      <c r="W8" s="398">
        <f ca="1">SUMIFS(XL_DT_TD!$L:$L,XL_DT_TD!$E:$E,$B:$B,XL_DT_TD!$D:$D,'Thi dua NV'!W$3)</f>
        <v>0</v>
      </c>
      <c r="X8" s="398">
        <f ca="1">SUMIFS(XL_DT_TD!$L:$L,XL_DT_TD!$E:$E,$B:$B,XL_DT_TD!$D:$D,'Thi dua NV'!X$3)</f>
        <v>0</v>
      </c>
      <c r="Y8" s="398">
        <f ca="1">SUMIFS(XL_DT_TD!$L:$L,XL_DT_TD!$E:$E,$B:$B,XL_DT_TD!$D:$D,'Thi dua NV'!Y$3)</f>
        <v>0</v>
      </c>
      <c r="Z8" s="398">
        <f ca="1">SUMIFS(XL_DT_TD!$L:$L,XL_DT_TD!$E:$E,$B:$B,XL_DT_TD!$D:$D,'Thi dua NV'!Z$3)</f>
        <v>0</v>
      </c>
      <c r="AA8" s="399">
        <f>SUMIFS(XL_DT_TD!$L:$L,XL_DT_TD!$E:$E,$B:$B,XL_DT_TD!$D:$D,'Thi dua NV'!AA$3)</f>
        <v>0</v>
      </c>
      <c r="AD8" s="612" t="s">
        <v>64</v>
      </c>
      <c r="AE8" s="466" t="s">
        <v>224</v>
      </c>
    </row>
    <row r="9" spans="1:34" s="1" customFormat="1" ht="25" customHeight="1">
      <c r="A9" s="61"/>
      <c r="B9" s="396" t="s">
        <v>151</v>
      </c>
      <c r="C9" s="397" t="e">
        <f>SUMIFS('Hieu Qua NV'!#REF!,'Hieu Qua NV'!#REF!,'Thi dua NV'!B9)</f>
        <v>#REF!</v>
      </c>
      <c r="D9" s="397" t="str">
        <f ca="1">COUNTIF(E9:AA9,"&gt;=1")&amp;"/"&amp;COUNT(E9:AA9)</f>
        <v>3/23</v>
      </c>
      <c r="E9" s="398">
        <f ca="1">SUMIFS(XL_DT_TD!$L:$L,XL_DT_TD!$E:$E,$B:$B,XL_DT_TD!$D:$D,'Thi dua NV'!E$3)</f>
        <v>0</v>
      </c>
      <c r="F9" s="398">
        <f ca="1">SUMIFS(XL_DT_TD!$L:$L,XL_DT_TD!$E:$E,$B:$B,XL_DT_TD!$D:$D,'Thi dua NV'!F$3)</f>
        <v>0.15791551519936833</v>
      </c>
      <c r="G9" s="398">
        <f ca="1">SUMIFS(XL_DT_TD!$L:$L,XL_DT_TD!$E:$E,$B:$B,XL_DT_TD!$D:$D,'Thi dua NV'!G$3)</f>
        <v>0</v>
      </c>
      <c r="H9" s="398">
        <f ca="1">SUMIFS(XL_DT_TD!$L:$L,XL_DT_TD!$E:$E,$B:$B,XL_DT_TD!$D:$D,'Thi dua NV'!H$3)</f>
        <v>0</v>
      </c>
      <c r="I9" s="398">
        <f ca="1">SUMIFS(XL_DT_TD!$L:$L,XL_DT_TD!$E:$E,$B:$B,XL_DT_TD!$D:$D,'Thi dua NV'!I$3)</f>
        <v>0</v>
      </c>
      <c r="J9" s="398">
        <f ca="1">SUMIFS(XL_DT_TD!$L:$L,XL_DT_TD!$E:$E,$B:$B,XL_DT_TD!$D:$D,'Thi dua NV'!J$3)</f>
        <v>1.4458122737660344</v>
      </c>
      <c r="K9" s="398">
        <f ca="1">SUMIFS(XL_DT_TD!$L:$L,XL_DT_TD!$E:$E,$B:$B,XL_DT_TD!$D:$D,'Thi dua NV'!K$3)</f>
        <v>0</v>
      </c>
      <c r="L9" s="398">
        <f ca="1">SUMIFS(XL_DT_TD!$L:$L,XL_DT_TD!$E:$E,$B:$B,XL_DT_TD!$D:$D,'Thi dua NV'!L$3)</f>
        <v>0.33335756283517487</v>
      </c>
      <c r="M9" s="398">
        <f ca="1">SUMIFS(XL_DT_TD!$L:$L,XL_DT_TD!$E:$E,$B:$B,XL_DT_TD!$D:$D,'Thi dua NV'!M$3)</f>
        <v>0.28829497649096758</v>
      </c>
      <c r="N9" s="398">
        <f ca="1">SUMIFS(XL_DT_TD!$L:$L,XL_DT_TD!$E:$E,$B:$B,XL_DT_TD!$D:$D,'Thi dua NV'!N$3)</f>
        <v>0</v>
      </c>
      <c r="O9" s="398">
        <f ca="1">SUMIFS(XL_DT_TD!$L:$L,XL_DT_TD!$E:$E,$B:$B,XL_DT_TD!$D:$D,'Thi dua NV'!O$3)</f>
        <v>0.55555555555555558</v>
      </c>
      <c r="P9" s="398">
        <f ca="1">SUMIFS(XL_DT_TD!$L:$L,XL_DT_TD!$E:$E,$B:$B,XL_DT_TD!$D:$D,'Thi dua NV'!P$3)</f>
        <v>0</v>
      </c>
      <c r="Q9" s="398">
        <f ca="1">SUMIFS(XL_DT_TD!$L:$L,XL_DT_TD!$E:$E,$B:$B,XL_DT_TD!$D:$D,'Thi dua NV'!Q$3)</f>
        <v>0</v>
      </c>
      <c r="R9" s="398">
        <f ca="1">SUMIFS(XL_DT_TD!$L:$L,XL_DT_TD!$E:$E,$B:$B,XL_DT_TD!$D:$D,'Thi dua NV'!R$3)</f>
        <v>0</v>
      </c>
      <c r="S9" s="398">
        <f ca="1">SUMIFS(XL_DT_TD!$L:$L,XL_DT_TD!$E:$E,$B:$B,XL_DT_TD!$D:$D,'Thi dua NV'!S$3)</f>
        <v>1.0502290892140478</v>
      </c>
      <c r="T9" s="398">
        <f ca="1">SUMIFS(XL_DT_TD!$L:$L,XL_DT_TD!$E:$E,$B:$B,XL_DT_TD!$D:$D,'Thi dua NV'!T$3)</f>
        <v>0</v>
      </c>
      <c r="U9" s="398">
        <f ca="1">SUMIFS(XL_DT_TD!$L:$L,XL_DT_TD!$E:$E,$B:$B,XL_DT_TD!$D:$D,'Thi dua NV'!U$3)</f>
        <v>0</v>
      </c>
      <c r="V9" s="398">
        <f ca="1">SUMIFS(XL_DT_TD!$L:$L,XL_DT_TD!$E:$E,$B:$B,XL_DT_TD!$D:$D,'Thi dua NV'!V$3)</f>
        <v>0</v>
      </c>
      <c r="W9" s="398">
        <f ca="1">SUMIFS(XL_DT_TD!$L:$L,XL_DT_TD!$E:$E,$B:$B,XL_DT_TD!$D:$D,'Thi dua NV'!W$3)</f>
        <v>1.23642081189251</v>
      </c>
      <c r="X9" s="398">
        <f ca="1">SUMIFS(XL_DT_TD!$L:$L,XL_DT_TD!$E:$E,$B:$B,XL_DT_TD!$D:$D,'Thi dua NV'!X$3)</f>
        <v>0</v>
      </c>
      <c r="Y9" s="398">
        <f ca="1">SUMIFS(XL_DT_TD!$L:$L,XL_DT_TD!$E:$E,$B:$B,XL_DT_TD!$D:$D,'Thi dua NV'!Y$3)</f>
        <v>0</v>
      </c>
      <c r="Z9" s="398">
        <f ca="1">SUMIFS(XL_DT_TD!$L:$L,XL_DT_TD!$E:$E,$B:$B,XL_DT_TD!$D:$D,'Thi dua NV'!Z$3)</f>
        <v>0</v>
      </c>
      <c r="AA9" s="399">
        <f>SUMIFS(XL_DT_TD!$L:$L,XL_DT_TD!$E:$E,$B:$B,XL_DT_TD!$D:$D,'Thi dua NV'!AA$3)</f>
        <v>0</v>
      </c>
      <c r="AD9" s="583" t="s">
        <v>168</v>
      </c>
      <c r="AE9" s="465" t="s">
        <v>520</v>
      </c>
    </row>
    <row r="10" spans="1:34" s="1" customFormat="1" ht="25" customHeight="1">
      <c r="A10" s="61"/>
      <c r="B10" s="396" t="s">
        <v>15</v>
      </c>
      <c r="C10" s="397" t="e">
        <f>SUMIFS('Hieu Qua NV'!#REF!,'Hieu Qua NV'!#REF!,'Thi dua NV'!B10)</f>
        <v>#REF!</v>
      </c>
      <c r="D10" s="397" t="str">
        <f ca="1">COUNTIF(E10:AA10,"&gt;=1")&amp;"/"&amp;COUNT(E10:AA10)</f>
        <v>6/23</v>
      </c>
      <c r="E10" s="398">
        <f ca="1">SUMIFS(XL_DT_TD!$L:$L,XL_DT_TD!$E:$E,$B:$B,XL_DT_TD!$D:$D,'Thi dua NV'!E$3)</f>
        <v>0</v>
      </c>
      <c r="F10" s="398">
        <f ca="1">SUMIFS(XL_DT_TD!$L:$L,XL_DT_TD!$E:$E,$B:$B,XL_DT_TD!$D:$D,'Thi dua NV'!F$3)</f>
        <v>1.8642803877703207</v>
      </c>
      <c r="G10" s="398">
        <f ca="1">SUMIFS(XL_DT_TD!$L:$L,XL_DT_TD!$E:$E,$B:$B,XL_DT_TD!$D:$D,'Thi dua NV'!G$3)</f>
        <v>1.7361111111111112</v>
      </c>
      <c r="H10" s="398">
        <f ca="1">SUMIFS(XL_DT_TD!$L:$L,XL_DT_TD!$E:$E,$B:$B,XL_DT_TD!$D:$D,'Thi dua NV'!H$3)</f>
        <v>0</v>
      </c>
      <c r="I10" s="398">
        <f ca="1">SUMIFS(XL_DT_TD!$L:$L,XL_DT_TD!$E:$E,$B:$B,XL_DT_TD!$D:$D,'Thi dua NV'!I$3)</f>
        <v>0.89120895748222106</v>
      </c>
      <c r="J10" s="398">
        <f ca="1">SUMIFS(XL_DT_TD!$L:$L,XL_DT_TD!$E:$E,$B:$B,XL_DT_TD!$D:$D,'Thi dua NV'!J$3)</f>
        <v>1.2575689335935545</v>
      </c>
      <c r="K10" s="398">
        <f ca="1">SUMIFS(XL_DT_TD!$L:$L,XL_DT_TD!$E:$E,$B:$B,XL_DT_TD!$D:$D,'Thi dua NV'!K$3)</f>
        <v>-0.44493882091212456</v>
      </c>
      <c r="L10" s="398">
        <f ca="1">SUMIFS(XL_DT_TD!$L:$L,XL_DT_TD!$E:$E,$B:$B,XL_DT_TD!$D:$D,'Thi dua NV'!L$3)</f>
        <v>0.80154781647318973</v>
      </c>
      <c r="M10" s="398">
        <f ca="1">SUMIFS(XL_DT_TD!$L:$L,XL_DT_TD!$E:$E,$B:$B,XL_DT_TD!$D:$D,'Thi dua NV'!M$3)</f>
        <v>0.49324424647364512</v>
      </c>
      <c r="N10" s="398">
        <f ca="1">SUMIFS(XL_DT_TD!$L:$L,XL_DT_TD!$E:$E,$B:$B,XL_DT_TD!$D:$D,'Thi dua NV'!N$3)</f>
        <v>1.4172149122807018</v>
      </c>
      <c r="O10" s="398">
        <f ca="1">SUMIFS(XL_DT_TD!$L:$L,XL_DT_TD!$E:$E,$B:$B,XL_DT_TD!$D:$D,'Thi dua NV'!O$3)</f>
        <v>0</v>
      </c>
      <c r="P10" s="398">
        <f ca="1">SUMIFS(XL_DT_TD!$L:$L,XL_DT_TD!$E:$E,$B:$B,XL_DT_TD!$D:$D,'Thi dua NV'!P$3)</f>
        <v>-0.31483028559051951</v>
      </c>
      <c r="Q10" s="398">
        <f ca="1">SUMIFS(XL_DT_TD!$L:$L,XL_DT_TD!$E:$E,$B:$B,XL_DT_TD!$D:$D,'Thi dua NV'!Q$3)</f>
        <v>0</v>
      </c>
      <c r="R10" s="398">
        <f ca="1">SUMIFS(XL_DT_TD!$L:$L,XL_DT_TD!$E:$E,$B:$B,XL_DT_TD!$D:$D,'Thi dua NV'!R$3)</f>
        <v>1.2864493996569468</v>
      </c>
      <c r="S10" s="398">
        <f ca="1">SUMIFS(XL_DT_TD!$L:$L,XL_DT_TD!$E:$E,$B:$B,XL_DT_TD!$D:$D,'Thi dua NV'!S$3)</f>
        <v>0.2685971554282206</v>
      </c>
      <c r="T10" s="398">
        <f ca="1">SUMIFS(XL_DT_TD!$L:$L,XL_DT_TD!$E:$E,$B:$B,XL_DT_TD!$D:$D,'Thi dua NV'!T$3)</f>
        <v>1.0869565217391306</v>
      </c>
      <c r="U10" s="398">
        <f ca="1">SUMIFS(XL_DT_TD!$L:$L,XL_DT_TD!$E:$E,$B:$B,XL_DT_TD!$D:$D,'Thi dua NV'!U$3)</f>
        <v>0</v>
      </c>
      <c r="V10" s="398">
        <f ca="1">SUMIFS(XL_DT_TD!$L:$L,XL_DT_TD!$E:$E,$B:$B,XL_DT_TD!$D:$D,'Thi dua NV'!V$3)</f>
        <v>0</v>
      </c>
      <c r="W10" s="398">
        <f ca="1">SUMIFS(XL_DT_TD!$L:$L,XL_DT_TD!$E:$E,$B:$B,XL_DT_TD!$D:$D,'Thi dua NV'!W$3)</f>
        <v>0.50663871418588391</v>
      </c>
      <c r="X10" s="398">
        <f ca="1">SUMIFS(XL_DT_TD!$L:$L,XL_DT_TD!$E:$E,$B:$B,XL_DT_TD!$D:$D,'Thi dua NV'!X$3)</f>
        <v>0</v>
      </c>
      <c r="Y10" s="398">
        <f ca="1">SUMIFS(XL_DT_TD!$L:$L,XL_DT_TD!$E:$E,$B:$B,XL_DT_TD!$D:$D,'Thi dua NV'!Y$3)</f>
        <v>0</v>
      </c>
      <c r="Z10" s="398">
        <f ca="1">SUMIFS(XL_DT_TD!$L:$L,XL_DT_TD!$E:$E,$B:$B,XL_DT_TD!$D:$D,'Thi dua NV'!Z$3)</f>
        <v>0</v>
      </c>
      <c r="AA10" s="399">
        <f>SUMIFS(XL_DT_TD!$L:$L,XL_DT_TD!$E:$E,$B:$B,XL_DT_TD!$D:$D,'Thi dua NV'!AA$3)</f>
        <v>0</v>
      </c>
      <c r="AD10" s="613" t="s">
        <v>169</v>
      </c>
      <c r="AE10" s="466" t="s">
        <v>268</v>
      </c>
    </row>
    <row r="11" spans="1:34" s="1" customFormat="1" ht="25" customHeight="1">
      <c r="A11" s="61"/>
      <c r="B11" s="396" t="s">
        <v>293</v>
      </c>
      <c r="C11" s="397"/>
      <c r="D11" s="397"/>
      <c r="E11" s="398">
        <f ca="1">SUMIFS(XL_DT_TD!$L:$L,XL_DT_TD!$E:$E,$B:$B,XL_DT_TD!$D:$D,'Thi dua NV'!E$3)</f>
        <v>1.4239338940534161</v>
      </c>
      <c r="F11" s="398">
        <f ca="1">SUMIFS(XL_DT_TD!$L:$L,XL_DT_TD!$E:$E,$B:$B,XL_DT_TD!$D:$D,'Thi dua NV'!F$3)</f>
        <v>7.3474579988594996E-2</v>
      </c>
      <c r="G11" s="398">
        <f ca="1">SUMIFS(XL_DT_TD!$L:$L,XL_DT_TD!$E:$E,$B:$B,XL_DT_TD!$D:$D,'Thi dua NV'!G$3)</f>
        <v>0</v>
      </c>
      <c r="H11" s="398">
        <f ca="1">SUMIFS(XL_DT_TD!$L:$L,XL_DT_TD!$E:$E,$B:$B,XL_DT_TD!$D:$D,'Thi dua NV'!H$3)</f>
        <v>0</v>
      </c>
      <c r="I11" s="398">
        <f ca="1">SUMIFS(XL_DT_TD!$L:$L,XL_DT_TD!$E:$E,$B:$B,XL_DT_TD!$D:$D,'Thi dua NV'!I$3)</f>
        <v>0.71152973218338622</v>
      </c>
      <c r="J11" s="398">
        <f ca="1">SUMIFS(XL_DT_TD!$L:$L,XL_DT_TD!$E:$E,$B:$B,XL_DT_TD!$D:$D,'Thi dua NV'!J$3)</f>
        <v>0.56447980783666107</v>
      </c>
      <c r="K11" s="398">
        <f ca="1">SUMIFS(XL_DT_TD!$L:$L,XL_DT_TD!$E:$E,$B:$B,XL_DT_TD!$D:$D,'Thi dua NV'!K$3)</f>
        <v>0</v>
      </c>
      <c r="L11" s="398">
        <f ca="1">SUMIFS(XL_DT_TD!$L:$L,XL_DT_TD!$E:$E,$B:$B,XL_DT_TD!$D:$D,'Thi dua NV'!L$3)</f>
        <v>0.18523454157782512</v>
      </c>
      <c r="M11" s="398">
        <f ca="1">SUMIFS(XL_DT_TD!$L:$L,XL_DT_TD!$E:$E,$B:$B,XL_DT_TD!$D:$D,'Thi dua NV'!M$3)</f>
        <v>0.38708240534521154</v>
      </c>
      <c r="N11" s="398">
        <f ca="1">SUMIFS(XL_DT_TD!$L:$L,XL_DT_TD!$E:$E,$B:$B,XL_DT_TD!$D:$D,'Thi dua NV'!N$3)</f>
        <v>1.5892269736842104</v>
      </c>
      <c r="O11" s="398">
        <f ca="1">SUMIFS(XL_DT_TD!$L:$L,XL_DT_TD!$E:$E,$B:$B,XL_DT_TD!$D:$D,'Thi dua NV'!O$3)</f>
        <v>0.12931034482758619</v>
      </c>
      <c r="P11" s="398">
        <f ca="1">SUMIFS(XL_DT_TD!$L:$L,XL_DT_TD!$E:$E,$B:$B,XL_DT_TD!$D:$D,'Thi dua NV'!P$3)</f>
        <v>0.61728395061728392</v>
      </c>
      <c r="Q11" s="398">
        <f ca="1">SUMIFS(XL_DT_TD!$L:$L,XL_DT_TD!$E:$E,$B:$B,XL_DT_TD!$D:$D,'Thi dua NV'!Q$3)</f>
        <v>6.5030674846625773</v>
      </c>
      <c r="R11" s="398">
        <f ca="1">SUMIFS(XL_DT_TD!$L:$L,XL_DT_TD!$E:$E,$B:$B,XL_DT_TD!$D:$D,'Thi dua NV'!R$3)</f>
        <v>0</v>
      </c>
      <c r="S11" s="398">
        <f ca="1">SUMIFS(XL_DT_TD!$L:$L,XL_DT_TD!$E:$E,$B:$B,XL_DT_TD!$D:$D,'Thi dua NV'!S$3)</f>
        <v>2.0200211466966818</v>
      </c>
      <c r="T11" s="398">
        <f ca="1">SUMIFS(XL_DT_TD!$L:$L,XL_DT_TD!$E:$E,$B:$B,XL_DT_TD!$D:$D,'Thi dua NV'!T$3)</f>
        <v>0.23913043478260868</v>
      </c>
      <c r="U11" s="398">
        <f ca="1">SUMIFS(XL_DT_TD!$L:$L,XL_DT_TD!$E:$E,$B:$B,XL_DT_TD!$D:$D,'Thi dua NV'!U$3)</f>
        <v>0</v>
      </c>
      <c r="V11" s="398">
        <f ca="1">SUMIFS(XL_DT_TD!$L:$L,XL_DT_TD!$E:$E,$B:$B,XL_DT_TD!$D:$D,'Thi dua NV'!V$3)</f>
        <v>0</v>
      </c>
      <c r="W11" s="398">
        <f ca="1">SUMIFS(XL_DT_TD!$L:$L,XL_DT_TD!$E:$E,$B:$B,XL_DT_TD!$D:$D,'Thi dua NV'!W$3)</f>
        <v>0</v>
      </c>
      <c r="X11" s="398">
        <f ca="1">SUMIFS(XL_DT_TD!$L:$L,XL_DT_TD!$E:$E,$B:$B,XL_DT_TD!$D:$D,'Thi dua NV'!X$3)</f>
        <v>0</v>
      </c>
      <c r="Y11" s="398">
        <f ca="1">SUMIFS(XL_DT_TD!$L:$L,XL_DT_TD!$E:$E,$B:$B,XL_DT_TD!$D:$D,'Thi dua NV'!Y$3)</f>
        <v>0</v>
      </c>
      <c r="Z11" s="398">
        <f ca="1">SUMIFS(XL_DT_TD!$L:$L,XL_DT_TD!$E:$E,$B:$B,XL_DT_TD!$D:$D,'Thi dua NV'!Z$3)</f>
        <v>0</v>
      </c>
      <c r="AA11" s="399">
        <f>SUMIFS(XL_DT_TD!$L:$L,XL_DT_TD!$E:$E,$B:$B,XL_DT_TD!$D:$D,'Thi dua NV'!AA$3)</f>
        <v>0</v>
      </c>
      <c r="AD11" s="583" t="s">
        <v>147</v>
      </c>
      <c r="AE11" s="465" t="s">
        <v>222</v>
      </c>
    </row>
    <row r="12" spans="1:34" s="1" customFormat="1" ht="25" customHeight="1">
      <c r="A12" s="61"/>
      <c r="B12" s="396" t="s">
        <v>433</v>
      </c>
      <c r="C12" s="397"/>
      <c r="D12" s="397"/>
      <c r="E12" s="398">
        <f ca="1">SUMIFS(XL_DT_TD!$L:$L,XL_DT_TD!$E:$E,$B:$B,XL_DT_TD!$D:$D,'Thi dua NV'!E$3)</f>
        <v>0.64040135753283167</v>
      </c>
      <c r="F12" s="398">
        <f ca="1">SUMIFS(XL_DT_TD!$L:$L,XL_DT_TD!$E:$E,$B:$B,XL_DT_TD!$D:$D,'Thi dua NV'!F$3)</f>
        <v>0.15791551519936831</v>
      </c>
      <c r="G12" s="398">
        <f ca="1">SUMIFS(XL_DT_TD!$L:$L,XL_DT_TD!$E:$E,$B:$B,XL_DT_TD!$D:$D,'Thi dua NV'!G$3)</f>
        <v>0</v>
      </c>
      <c r="H12" s="398">
        <f ca="1">SUMIFS(XL_DT_TD!$L:$L,XL_DT_TD!$E:$E,$B:$B,XL_DT_TD!$D:$D,'Thi dua NV'!H$3)</f>
        <v>0</v>
      </c>
      <c r="I12" s="398">
        <f ca="1">SUMIFS(XL_DT_TD!$L:$L,XL_DT_TD!$E:$E,$B:$B,XL_DT_TD!$D:$D,'Thi dua NV'!I$3)</f>
        <v>0.54698138901497961</v>
      </c>
      <c r="J12" s="398">
        <f ca="1">SUMIFS(XL_DT_TD!$L:$L,XL_DT_TD!$E:$E,$B:$B,XL_DT_TD!$D:$D,'Thi dua NV'!J$3)</f>
        <v>1.4419756793274283</v>
      </c>
      <c r="K12" s="398">
        <f ca="1">SUMIFS(XL_DT_TD!$L:$L,XL_DT_TD!$E:$E,$B:$B,XL_DT_TD!$D:$D,'Thi dua NV'!K$3)</f>
        <v>0</v>
      </c>
      <c r="L12" s="398">
        <f ca="1">SUMIFS(XL_DT_TD!$L:$L,XL_DT_TD!$E:$E,$B:$B,XL_DT_TD!$D:$D,'Thi dua NV'!L$3)</f>
        <v>1.105188343994314</v>
      </c>
      <c r="M12" s="398">
        <f ca="1">SUMIFS(XL_DT_TD!$L:$L,XL_DT_TD!$E:$E,$B:$B,XL_DT_TD!$D:$D,'Thi dua NV'!M$3)</f>
        <v>0.1866369710467706</v>
      </c>
      <c r="N12" s="398">
        <f ca="1">SUMIFS(XL_DT_TD!$L:$L,XL_DT_TD!$E:$E,$B:$B,XL_DT_TD!$D:$D,'Thi dua NV'!N$3)</f>
        <v>0</v>
      </c>
      <c r="O12" s="398">
        <f ca="1">SUMIFS(XL_DT_TD!$L:$L,XL_DT_TD!$E:$E,$B:$B,XL_DT_TD!$D:$D,'Thi dua NV'!O$3)</f>
        <v>0.91954022988505757</v>
      </c>
      <c r="P12" s="398">
        <f ca="1">SUMIFS(XL_DT_TD!$L:$L,XL_DT_TD!$E:$E,$B:$B,XL_DT_TD!$D:$D,'Thi dua NV'!P$3)</f>
        <v>0</v>
      </c>
      <c r="Q12" s="398">
        <f ca="1">SUMIFS(XL_DT_TD!$L:$L,XL_DT_TD!$E:$E,$B:$B,XL_DT_TD!$D:$D,'Thi dua NV'!Q$3)</f>
        <v>0</v>
      </c>
      <c r="R12" s="398">
        <f ca="1">SUMIFS(XL_DT_TD!$L:$L,XL_DT_TD!$E:$E,$B:$B,XL_DT_TD!$D:$D,'Thi dua NV'!R$3)</f>
        <v>0</v>
      </c>
      <c r="S12" s="398">
        <f ca="1">SUMIFS(XL_DT_TD!$L:$L,XL_DT_TD!$E:$E,$B:$B,XL_DT_TD!$D:$D,'Thi dua NV'!S$3)</f>
        <v>1.1242709505781237</v>
      </c>
      <c r="T12" s="398">
        <f ca="1">SUMIFS(XL_DT_TD!$L:$L,XL_DT_TD!$E:$E,$B:$B,XL_DT_TD!$D:$D,'Thi dua NV'!T$3)</f>
        <v>0</v>
      </c>
      <c r="U12" s="398">
        <f ca="1">SUMIFS(XL_DT_TD!$L:$L,XL_DT_TD!$E:$E,$B:$B,XL_DT_TD!$D:$D,'Thi dua NV'!U$3)</f>
        <v>0</v>
      </c>
      <c r="V12" s="398">
        <f ca="1">SUMIFS(XL_DT_TD!$L:$L,XL_DT_TD!$E:$E,$B:$B,XL_DT_TD!$D:$D,'Thi dua NV'!V$3)</f>
        <v>0</v>
      </c>
      <c r="W12" s="398">
        <f ca="1">SUMIFS(XL_DT_TD!$L:$L,XL_DT_TD!$E:$E,$B:$B,XL_DT_TD!$D:$D,'Thi dua NV'!W$3)</f>
        <v>0.1816911250873515</v>
      </c>
      <c r="X12" s="398">
        <f ca="1">SUMIFS(XL_DT_TD!$L:$L,XL_DT_TD!$E:$E,$B:$B,XL_DT_TD!$D:$D,'Thi dua NV'!X$3)</f>
        <v>0</v>
      </c>
      <c r="Y12" s="398">
        <f ca="1">SUMIFS(XL_DT_TD!$L:$L,XL_DT_TD!$E:$E,$B:$B,XL_DT_TD!$D:$D,'Thi dua NV'!Y$3)</f>
        <v>0</v>
      </c>
      <c r="Z12" s="398">
        <f ca="1">SUMIFS(XL_DT_TD!$L:$L,XL_DT_TD!$E:$E,$B:$B,XL_DT_TD!$D:$D,'Thi dua NV'!Z$3)</f>
        <v>0</v>
      </c>
      <c r="AA12" s="399">
        <f>SUMIFS(XL_DT_TD!$L:$L,XL_DT_TD!$E:$E,$B:$B,XL_DT_TD!$D:$D,'Thi dua NV'!AA$3)</f>
        <v>0</v>
      </c>
      <c r="AD12" s="613" t="s">
        <v>26</v>
      </c>
      <c r="AE12" s="466" t="s">
        <v>522</v>
      </c>
    </row>
    <row r="13" spans="1:34" s="1" customFormat="1" ht="25" customHeight="1">
      <c r="A13" s="61"/>
      <c r="B13" s="396" t="s">
        <v>436</v>
      </c>
      <c r="C13" s="397"/>
      <c r="D13" s="397"/>
      <c r="E13" s="398">
        <f>SUMIFS(XL_DT_TD!$L:$L,XL_DT_TD!$E:$E,$B:$B,XL_DT_TD!$D:$D,'Thi dua NV'!E$3)</f>
        <v>0</v>
      </c>
      <c r="F13" s="398">
        <f>SUMIFS(XL_DT_TD!$L:$L,XL_DT_TD!$E:$E,$B:$B,XL_DT_TD!$D:$D,'Thi dua NV'!F$3)</f>
        <v>0</v>
      </c>
      <c r="G13" s="398">
        <f>SUMIFS(XL_DT_TD!$L:$L,XL_DT_TD!$E:$E,$B:$B,XL_DT_TD!$D:$D,'Thi dua NV'!G$3)</f>
        <v>0</v>
      </c>
      <c r="H13" s="398">
        <f>SUMIFS(XL_DT_TD!$L:$L,XL_DT_TD!$E:$E,$B:$B,XL_DT_TD!$D:$D,'Thi dua NV'!H$3)</f>
        <v>0</v>
      </c>
      <c r="I13" s="398">
        <f>SUMIFS(XL_DT_TD!$L:$L,XL_DT_TD!$E:$E,$B:$B,XL_DT_TD!$D:$D,'Thi dua NV'!I$3)</f>
        <v>0</v>
      </c>
      <c r="J13" s="398">
        <f>SUMIFS(XL_DT_TD!$L:$L,XL_DT_TD!$E:$E,$B:$B,XL_DT_TD!$D:$D,'Thi dua NV'!J$3)</f>
        <v>0</v>
      </c>
      <c r="K13" s="398">
        <f>SUMIFS(XL_DT_TD!$L:$L,XL_DT_TD!$E:$E,$B:$B,XL_DT_TD!$D:$D,'Thi dua NV'!K$3)</f>
        <v>0</v>
      </c>
      <c r="L13" s="398">
        <f>SUMIFS(XL_DT_TD!$L:$L,XL_DT_TD!$E:$E,$B:$B,XL_DT_TD!$D:$D,'Thi dua NV'!L$3)</f>
        <v>0</v>
      </c>
      <c r="M13" s="398">
        <f>SUMIFS(XL_DT_TD!$L:$L,XL_DT_TD!$E:$E,$B:$B,XL_DT_TD!$D:$D,'Thi dua NV'!M$3)</f>
        <v>0</v>
      </c>
      <c r="N13" s="398">
        <f>SUMIFS(XL_DT_TD!$L:$L,XL_DT_TD!$E:$E,$B:$B,XL_DT_TD!$D:$D,'Thi dua NV'!N$3)</f>
        <v>0</v>
      </c>
      <c r="O13" s="398">
        <f>SUMIFS(XL_DT_TD!$L:$L,XL_DT_TD!$E:$E,$B:$B,XL_DT_TD!$D:$D,'Thi dua NV'!O$3)</f>
        <v>0</v>
      </c>
      <c r="P13" s="398">
        <f>SUMIFS(XL_DT_TD!$L:$L,XL_DT_TD!$E:$E,$B:$B,XL_DT_TD!$D:$D,'Thi dua NV'!P$3)</f>
        <v>0</v>
      </c>
      <c r="Q13" s="398">
        <f>SUMIFS(XL_DT_TD!$L:$L,XL_DT_TD!$E:$E,$B:$B,XL_DT_TD!$D:$D,'Thi dua NV'!Q$3)</f>
        <v>0</v>
      </c>
      <c r="R13" s="398">
        <f>SUMIFS(XL_DT_TD!$L:$L,XL_DT_TD!$E:$E,$B:$B,XL_DT_TD!$D:$D,'Thi dua NV'!R$3)</f>
        <v>0</v>
      </c>
      <c r="S13" s="398">
        <f>SUMIFS(XL_DT_TD!$L:$L,XL_DT_TD!$E:$E,$B:$B,XL_DT_TD!$D:$D,'Thi dua NV'!S$3)</f>
        <v>0</v>
      </c>
      <c r="T13" s="398">
        <f>SUMIFS(XL_DT_TD!$L:$L,XL_DT_TD!$E:$E,$B:$B,XL_DT_TD!$D:$D,'Thi dua NV'!T$3)</f>
        <v>0</v>
      </c>
      <c r="U13" s="398">
        <f>SUMIFS(XL_DT_TD!$L:$L,XL_DT_TD!$E:$E,$B:$B,XL_DT_TD!$D:$D,'Thi dua NV'!U$3)</f>
        <v>0</v>
      </c>
      <c r="V13" s="398">
        <f>SUMIFS(XL_DT_TD!$L:$L,XL_DT_TD!$E:$E,$B:$B,XL_DT_TD!$D:$D,'Thi dua NV'!V$3)</f>
        <v>0</v>
      </c>
      <c r="W13" s="398">
        <f>SUMIFS(XL_DT_TD!$L:$L,XL_DT_TD!$E:$E,$B:$B,XL_DT_TD!$D:$D,'Thi dua NV'!W$3)</f>
        <v>0</v>
      </c>
      <c r="X13" s="398">
        <f>SUMIFS(XL_DT_TD!$L:$L,XL_DT_TD!$E:$E,$B:$B,XL_DT_TD!$D:$D,'Thi dua NV'!X$3)</f>
        <v>0</v>
      </c>
      <c r="Y13" s="398">
        <f>SUMIFS(XL_DT_TD!$L:$L,XL_DT_TD!$E:$E,$B:$B,XL_DT_TD!$D:$D,'Thi dua NV'!Y$3)</f>
        <v>0</v>
      </c>
      <c r="Z13" s="398">
        <f>SUMIFS(XL_DT_TD!$L:$L,XL_DT_TD!$E:$E,$B:$B,XL_DT_TD!$D:$D,'Thi dua NV'!Z$3)</f>
        <v>0</v>
      </c>
      <c r="AA13" s="399">
        <f>SUMIFS(XL_DT_TD!$L:$L,XL_DT_TD!$E:$E,$B:$B,XL_DT_TD!$D:$D,'Thi dua NV'!AA$3)</f>
        <v>0</v>
      </c>
      <c r="AD13" s="583" t="s">
        <v>229</v>
      </c>
      <c r="AE13" s="465" t="s">
        <v>517</v>
      </c>
    </row>
    <row r="14" spans="1:34" s="1" customFormat="1" ht="25" customHeight="1">
      <c r="A14" s="61"/>
      <c r="B14" s="396"/>
      <c r="C14" s="397"/>
      <c r="D14" s="397"/>
      <c r="E14" s="398"/>
      <c r="F14" s="398"/>
      <c r="G14" s="398"/>
      <c r="H14" s="398"/>
      <c r="I14" s="398"/>
      <c r="J14" s="398"/>
      <c r="K14" s="398"/>
      <c r="L14" s="398"/>
      <c r="M14" s="398"/>
      <c r="N14" s="398"/>
      <c r="O14" s="398"/>
      <c r="P14" s="398"/>
      <c r="Q14" s="398"/>
      <c r="R14" s="398"/>
      <c r="S14" s="398"/>
      <c r="T14" s="398"/>
      <c r="U14" s="398"/>
      <c r="V14" s="398"/>
      <c r="W14" s="398"/>
      <c r="X14" s="398"/>
      <c r="Y14" s="398"/>
      <c r="Z14" s="398"/>
      <c r="AA14" s="399"/>
      <c r="AD14" s="613" t="s">
        <v>524</v>
      </c>
      <c r="AE14" s="466" t="s">
        <v>519</v>
      </c>
    </row>
    <row r="15" spans="1:34" s="395" customFormat="1" ht="30" customHeight="1">
      <c r="A15" s="394"/>
      <c r="B15" s="589" t="s">
        <v>58</v>
      </c>
      <c r="C15" s="590" t="e">
        <f>SUM(C6:C9)</f>
        <v>#REF!</v>
      </c>
      <c r="D15" s="591" t="str">
        <f>COUNTIF(E15:AA15,"&gt;=1")&amp;"/"&amp;COUNT(E15:AA15)</f>
        <v>5/23</v>
      </c>
      <c r="E15" s="592">
        <f>SUMIFS(DATA_THIDUA_ST!$E:$E,DATA_THIDUA_ST!$A:$A,'Thi dua NV'!E2)</f>
        <v>1.3312999999999999</v>
      </c>
      <c r="F15" s="592">
        <f>SUMIFS(DATA_THIDUA_ST!$E:$E,DATA_THIDUA_ST!$A:$A,'Thi dua NV'!F2)</f>
        <v>0.60699999999999998</v>
      </c>
      <c r="G15" s="592">
        <f>SUMIFS(DATA_THIDUA_ST!$E:$E,DATA_THIDUA_ST!$A:$A,'Thi dua NV'!G2)</f>
        <v>0.3125</v>
      </c>
      <c r="H15" s="592">
        <f>SUMIFS(DATA_THIDUA_ST!$E:$E,DATA_THIDUA_ST!$A:$A,'Thi dua NV'!H2)</f>
        <v>0.7369</v>
      </c>
      <c r="I15" s="592">
        <f>SUMIFS(DATA_THIDUA_ST!$E:$E,DATA_THIDUA_ST!$A:$A,'Thi dua NV'!I2)</f>
        <v>0.75929999999999997</v>
      </c>
      <c r="J15" s="592">
        <f>SUMIFS(DATA_THIDUA_ST!$E:$E,DATA_THIDUA_ST!$A:$A,'Thi dua NV'!J2)</f>
        <v>1.9228000000000001</v>
      </c>
      <c r="K15" s="592">
        <f>SUMIFS(DATA_THIDUA_ST!$E:$E,DATA_THIDUA_ST!$A:$A,'Thi dua NV'!K2)</f>
        <v>0.61850000000000005</v>
      </c>
      <c r="L15" s="592">
        <f>SUMIFS(DATA_THIDUA_ST!$E:$E,DATA_THIDUA_ST!$A:$A,'Thi dua NV'!L2)</f>
        <v>0.94379999999999997</v>
      </c>
      <c r="M15" s="592">
        <f>SUMIFS(DATA_THIDUA_ST!$E:$E,DATA_THIDUA_ST!$A:$A,'Thi dua NV'!M2)</f>
        <v>0.88319999999999999</v>
      </c>
      <c r="N15" s="592">
        <f>SUMIFS(DATA_THIDUA_ST!$E:$E,DATA_THIDUA_ST!$A:$A,'Thi dua NV'!N2)</f>
        <v>1.1233</v>
      </c>
      <c r="O15" s="592">
        <f>SUMIFS(DATA_THIDUA_ST!$E:$E,DATA_THIDUA_ST!$A:$A,'Thi dua NV'!O2)</f>
        <v>0.62180000000000002</v>
      </c>
      <c r="P15" s="592">
        <f>SUMIFS(DATA_THIDUA_ST!$E:$E,DATA_THIDUA_ST!$A:$A,'Thi dua NV'!P2)</f>
        <v>0.64880000000000004</v>
      </c>
      <c r="Q15" s="592">
        <f>SUMIFS(DATA_THIDUA_ST!$E:$E,DATA_THIDUA_ST!$A:$A,'Thi dua NV'!Q2)</f>
        <v>0.92500000000000004</v>
      </c>
      <c r="R15" s="592">
        <f>SUMIFS(DATA_THIDUA_ST!$E:$E,DATA_THIDUA_ST!$A:$A,'Thi dua NV'!R2)</f>
        <v>0.37740000000000001</v>
      </c>
      <c r="S15" s="592">
        <f>SUMIFS(DATA_THIDUA_ST!$E:$E,DATA_THIDUA_ST!$A:$A,'Thi dua NV'!S2)</f>
        <v>2.3092000000000001</v>
      </c>
      <c r="T15" s="592">
        <f>SUMIFS(DATA_THIDUA_ST!$E:$E,DATA_THIDUA_ST!$A:$A,'Thi dua NV'!T2)</f>
        <v>0.25040000000000001</v>
      </c>
      <c r="U15" s="592">
        <f>SUMIFS(DATA_THIDUA_ST!$E:$E,DATA_THIDUA_ST!$A:$A,'Thi dua NV'!U2)</f>
        <v>0</v>
      </c>
      <c r="V15" s="592">
        <f>SUMIFS(DATA_THIDUA_ST!$E:$E,DATA_THIDUA_ST!$A:$A,'Thi dua NV'!V2)</f>
        <v>0.26250000000000001</v>
      </c>
      <c r="W15" s="592">
        <f>SUMIFS(DATA_THIDUA_ST!$E:$E,DATA_THIDUA_ST!$A:$A,'Thi dua NV'!W2)</f>
        <v>2.8696999999999999</v>
      </c>
      <c r="X15" s="592">
        <f>SUMIFS(DATA_THIDUA_ST!$E:$E,DATA_THIDUA_ST!$A:$A,'Thi dua NV'!X2)</f>
        <v>0.41710000000000003</v>
      </c>
      <c r="Y15" s="592">
        <f>SUMIFS(DATA_THIDUA_ST!$E:$E,DATA_THIDUA_ST!$A:$A,'Thi dua NV'!Y2)</f>
        <v>0</v>
      </c>
      <c r="Z15" s="592">
        <f>SUMIFS(DATA_THIDUA_ST!$E:$E,DATA_THIDUA_ST!$A:$A,'Thi dua NV'!Z2)</f>
        <v>0</v>
      </c>
      <c r="AA15" s="593">
        <f>SUMIFS(DATA_THIDUA_ST!$E:$E,DATA_THIDUA_ST!$A:$A,'Thi dua NV'!AA2)</f>
        <v>0</v>
      </c>
      <c r="AD15" s="583" t="s">
        <v>104</v>
      </c>
      <c r="AE15" s="465" t="s">
        <v>509</v>
      </c>
    </row>
    <row r="16" spans="1:34" s="1" customFormat="1" ht="26" customHeight="1">
      <c r="A16" s="61"/>
      <c r="B16" s="400" t="s">
        <v>281</v>
      </c>
      <c r="C16" s="397" t="e">
        <f>SUMIFS('Hieu Qua NV'!#REF!,'Hieu Qua NV'!#REF!,'Thi dua NV'!B16)</f>
        <v>#REF!</v>
      </c>
      <c r="D16" s="397" t="str">
        <f t="shared" ca="1" si="0"/>
        <v>3/13</v>
      </c>
      <c r="E16" s="398">
        <f ca="1">SUMIFS(XL_DT_TD!$L:$L,XL_DT_TD!$E:$E,$B:$B,XL_DT_TD!$D:$D,'Thi dua NV'!E$3)</f>
        <v>0</v>
      </c>
      <c r="F16" s="398">
        <f ca="1">SUMIFS(XL_DT_TD!$L:$L,XL_DT_TD!$E:$E,$B:$B,XL_DT_TD!$D:$D,'Thi dua NV'!F$3)</f>
        <v>0.28708633469046874</v>
      </c>
      <c r="G16" s="398">
        <f ca="1">SUMIFS(XL_DT_TD!$L:$L,XL_DT_TD!$E:$E,$B:$B,XL_DT_TD!$D:$D,'Thi dua NV'!G$3)</f>
        <v>0.2012072434607646</v>
      </c>
      <c r="H16" s="398">
        <f ca="1">SUMIFS(XL_DT_TD!$L:$L,XL_DT_TD!$E:$E,$B:$B,XL_DT_TD!$D:$D,'Thi dua NV'!H$3)</f>
        <v>2.0420620671967171</v>
      </c>
      <c r="I16" s="398">
        <f ca="1">SUMIFS(XL_DT_TD!$L:$L,XL_DT_TD!$E:$E,$B:$B,XL_DT_TD!$D:$D,'Thi dua NV'!I$3)</f>
        <v>0</v>
      </c>
      <c r="J16" s="398" t="e">
        <f ca="1">SUMIFS(XL_DT_TD!$L:$L,XL_DT_TD!$E:$E,$B:$B,XL_DT_TD!$D:$D,'Thi dua NV'!J$3)</f>
        <v>#DIV/0!</v>
      </c>
      <c r="K16" s="398" t="e">
        <f ca="1">SUMIFS(XL_DT_TD!$L:$L,XL_DT_TD!$E:$E,$B:$B,XL_DT_TD!$D:$D,'Thi dua NV'!K$3)</f>
        <v>#DIV/0!</v>
      </c>
      <c r="L16" s="398" t="e">
        <f ca="1">SUMIFS(XL_DT_TD!$L:$L,XL_DT_TD!$E:$E,$B:$B,XL_DT_TD!$D:$D,'Thi dua NV'!L$3)</f>
        <v>#DIV/0!</v>
      </c>
      <c r="M16" s="398" t="e">
        <f ca="1">SUMIFS(XL_DT_TD!$L:$L,XL_DT_TD!$E:$E,$B:$B,XL_DT_TD!$D:$D,'Thi dua NV'!M$3)</f>
        <v>#DIV/0!</v>
      </c>
      <c r="N16" s="398" t="e">
        <f ca="1">SUMIFS(XL_DT_TD!$L:$L,XL_DT_TD!$E:$E,$B:$B,XL_DT_TD!$D:$D,'Thi dua NV'!N$3)</f>
        <v>#DIV/0!</v>
      </c>
      <c r="O16" s="398" t="e">
        <f ca="1">SUMIFS(XL_DT_TD!$L:$L,XL_DT_TD!$E:$E,$B:$B,XL_DT_TD!$D:$D,'Thi dua NV'!O$3)</f>
        <v>#DIV/0!</v>
      </c>
      <c r="P16" s="398" t="e">
        <f ca="1">SUMIFS(XL_DT_TD!$L:$L,XL_DT_TD!$E:$E,$B:$B,XL_DT_TD!$D:$D,'Thi dua NV'!P$3)</f>
        <v>#DIV/0!</v>
      </c>
      <c r="Q16" s="398">
        <f ca="1">SUMIFS(XL_DT_TD!$L:$L,XL_DT_TD!$E:$E,$B:$B,XL_DT_TD!$D:$D,'Thi dua NV'!Q$3)</f>
        <v>0</v>
      </c>
      <c r="R16" s="398">
        <f ca="1">SUMIFS(XL_DT_TD!$L:$L,XL_DT_TD!$E:$E,$B:$B,XL_DT_TD!$D:$D,'Thi dua NV'!R$3)</f>
        <v>0</v>
      </c>
      <c r="S16" s="398" t="e">
        <f ca="1">SUMIFS(XL_DT_TD!$L:$L,XL_DT_TD!$E:$E,$B:$B,XL_DT_TD!$D:$D,'Thi dua NV'!S$3)</f>
        <v>#DIV/0!</v>
      </c>
      <c r="T16" s="398">
        <f ca="1">SUMIFS(XL_DT_TD!$L:$L,XL_DT_TD!$E:$E,$B:$B,XL_DT_TD!$D:$D,'Thi dua NV'!T$3)</f>
        <v>8.7463556851311963E-2</v>
      </c>
      <c r="U16" s="398">
        <f ca="1">SUMIFS(XL_DT_TD!$L:$L,XL_DT_TD!$E:$E,$B:$B,XL_DT_TD!$D:$D,'Thi dua NV'!U$3)</f>
        <v>1.098901098901099</v>
      </c>
      <c r="V16" s="398">
        <f ca="1">SUMIFS(XL_DT_TD!$L:$L,XL_DT_TD!$E:$E,$B:$B,XL_DT_TD!$D:$D,'Thi dua NV'!V$3)</f>
        <v>3.7454044117647056</v>
      </c>
      <c r="W16" s="398" t="e">
        <f ca="1">SUMIFS(XL_DT_TD!$L:$L,XL_DT_TD!$E:$E,$B:$B,XL_DT_TD!$D:$D,'Thi dua NV'!W$3)</f>
        <v>#DIV/0!</v>
      </c>
      <c r="X16" s="398" t="e">
        <f ca="1">SUMIFS(XL_DT_TD!$L:$L,XL_DT_TD!$E:$E,$B:$B,XL_DT_TD!$D:$D,'Thi dua NV'!X$3)</f>
        <v>#DIV/0!</v>
      </c>
      <c r="Y16" s="398">
        <f ca="1">SUMIFS(XL_DT_TD!$L:$L,XL_DT_TD!$E:$E,$B:$B,XL_DT_TD!$D:$D,'Thi dua NV'!Y$3)</f>
        <v>0</v>
      </c>
      <c r="Z16" s="398">
        <f ca="1">SUMIFS(XL_DT_TD!$L:$L,XL_DT_TD!$E:$E,$B:$B,XL_DT_TD!$D:$D,'Thi dua NV'!Z$3)</f>
        <v>0</v>
      </c>
      <c r="AA16" s="399">
        <f>SUMIFS(XL_DT_TD!$L:$L,XL_DT_TD!$E:$E,$B:$B,XL_DT_TD!$D:$D,'Thi dua NV'!AA$3)</f>
        <v>0</v>
      </c>
      <c r="AD16" s="612" t="s">
        <v>25</v>
      </c>
      <c r="AE16" s="617" t="s">
        <v>114</v>
      </c>
    </row>
    <row r="17" spans="1:31" s="1" customFormat="1" ht="26" customHeight="1">
      <c r="A17" s="61"/>
      <c r="B17" s="400" t="s">
        <v>282</v>
      </c>
      <c r="C17" s="397" t="e">
        <f>SUMIFS('Hieu Qua NV'!#REF!,'Hieu Qua NV'!#REF!,'Thi dua NV'!B17)</f>
        <v>#REF!</v>
      </c>
      <c r="D17" s="397" t="str">
        <f t="shared" ref="D17:D18" ca="1" si="1">COUNTIF(E17:AA17,"&gt;=1")&amp;"/"&amp;COUNT(E17:AA17)</f>
        <v>1/13</v>
      </c>
      <c r="E17" s="398">
        <f ca="1">SUMIFS(XL_DT_TD!$L:$L,XL_DT_TD!$E:$E,$B:$B,XL_DT_TD!$D:$D,'Thi dua NV'!E$3)</f>
        <v>0.41787140300151465</v>
      </c>
      <c r="F17" s="398">
        <f ca="1">SUMIFS(XL_DT_TD!$L:$L,XL_DT_TD!$E:$E,$B:$B,XL_DT_TD!$D:$D,'Thi dua NV'!F$3)</f>
        <v>0.64739832669679209</v>
      </c>
      <c r="G17" s="398">
        <f ca="1">SUMIFS(XL_DT_TD!$L:$L,XL_DT_TD!$E:$E,$B:$B,XL_DT_TD!$D:$D,'Thi dua NV'!G$3)</f>
        <v>0.23474178403755869</v>
      </c>
      <c r="H17" s="398">
        <f ca="1">SUMIFS(XL_DT_TD!$L:$L,XL_DT_TD!$E:$E,$B:$B,XL_DT_TD!$D:$D,'Thi dua NV'!H$3)</f>
        <v>0.36273037042465112</v>
      </c>
      <c r="I17" s="398">
        <f ca="1">SUMIFS(XL_DT_TD!$L:$L,XL_DT_TD!$E:$E,$B:$B,XL_DT_TD!$D:$D,'Thi dua NV'!I$3)</f>
        <v>0</v>
      </c>
      <c r="J17" s="398" t="e">
        <f ca="1">SUMIFS(XL_DT_TD!$L:$L,XL_DT_TD!$E:$E,$B:$B,XL_DT_TD!$D:$D,'Thi dua NV'!J$3)</f>
        <v>#DIV/0!</v>
      </c>
      <c r="K17" s="398" t="e">
        <f ca="1">SUMIFS(XL_DT_TD!$L:$L,XL_DT_TD!$E:$E,$B:$B,XL_DT_TD!$D:$D,'Thi dua NV'!K$3)</f>
        <v>#DIV/0!</v>
      </c>
      <c r="L17" s="398" t="e">
        <f ca="1">SUMIFS(XL_DT_TD!$L:$L,XL_DT_TD!$E:$E,$B:$B,XL_DT_TD!$D:$D,'Thi dua NV'!L$3)</f>
        <v>#DIV/0!</v>
      </c>
      <c r="M17" s="398" t="e">
        <f ca="1">SUMIFS(XL_DT_TD!$L:$L,XL_DT_TD!$E:$E,$B:$B,XL_DT_TD!$D:$D,'Thi dua NV'!M$3)</f>
        <v>#DIV/0!</v>
      </c>
      <c r="N17" s="398" t="e">
        <f ca="1">SUMIFS(XL_DT_TD!$L:$L,XL_DT_TD!$E:$E,$B:$B,XL_DT_TD!$D:$D,'Thi dua NV'!N$3)</f>
        <v>#DIV/0!</v>
      </c>
      <c r="O17" s="398" t="e">
        <f ca="1">SUMIFS(XL_DT_TD!$L:$L,XL_DT_TD!$E:$E,$B:$B,XL_DT_TD!$D:$D,'Thi dua NV'!O$3)</f>
        <v>#DIV/0!</v>
      </c>
      <c r="P17" s="398" t="e">
        <f ca="1">SUMIFS(XL_DT_TD!$L:$L,XL_DT_TD!$E:$E,$B:$B,XL_DT_TD!$D:$D,'Thi dua NV'!P$3)</f>
        <v>#DIV/0!</v>
      </c>
      <c r="Q17" s="398">
        <f ca="1">SUMIFS(XL_DT_TD!$L:$L,XL_DT_TD!$E:$E,$B:$B,XL_DT_TD!$D:$D,'Thi dua NV'!Q$3)</f>
        <v>0</v>
      </c>
      <c r="R17" s="398">
        <f ca="1">SUMIFS(XL_DT_TD!$L:$L,XL_DT_TD!$E:$E,$B:$B,XL_DT_TD!$D:$D,'Thi dua NV'!R$3)</f>
        <v>0.54054054054054057</v>
      </c>
      <c r="S17" s="398" t="e">
        <f ca="1">SUMIFS(XL_DT_TD!$L:$L,XL_DT_TD!$E:$E,$B:$B,XL_DT_TD!$D:$D,'Thi dua NV'!S$3)</f>
        <v>#DIV/0!</v>
      </c>
      <c r="T17" s="398">
        <f ca="1">SUMIFS(XL_DT_TD!$L:$L,XL_DT_TD!$E:$E,$B:$B,XL_DT_TD!$D:$D,'Thi dua NV'!T$3)</f>
        <v>0.53287981859410427</v>
      </c>
      <c r="U17" s="398">
        <f ca="1">SUMIFS(XL_DT_TD!$L:$L,XL_DT_TD!$E:$E,$B:$B,XL_DT_TD!$D:$D,'Thi dua NV'!U$3)</f>
        <v>1.5384615384615385</v>
      </c>
      <c r="V17" s="398">
        <f ca="1">SUMIFS(XL_DT_TD!$L:$L,XL_DT_TD!$E:$E,$B:$B,XL_DT_TD!$D:$D,'Thi dua NV'!V$3)</f>
        <v>0.78584558823529393</v>
      </c>
      <c r="W17" s="398" t="e">
        <f ca="1">SUMIFS(XL_DT_TD!$L:$L,XL_DT_TD!$E:$E,$B:$B,XL_DT_TD!$D:$D,'Thi dua NV'!W$3)</f>
        <v>#DIV/0!</v>
      </c>
      <c r="X17" s="398" t="e">
        <f ca="1">SUMIFS(XL_DT_TD!$L:$L,XL_DT_TD!$E:$E,$B:$B,XL_DT_TD!$D:$D,'Thi dua NV'!X$3)</f>
        <v>#DIV/0!</v>
      </c>
      <c r="Y17" s="398">
        <f ca="1">SUMIFS(XL_DT_TD!$L:$L,XL_DT_TD!$E:$E,$B:$B,XL_DT_TD!$D:$D,'Thi dua NV'!Y$3)</f>
        <v>0</v>
      </c>
      <c r="Z17" s="398">
        <f ca="1">SUMIFS(XL_DT_TD!$L:$L,XL_DT_TD!$E:$E,$B:$B,XL_DT_TD!$D:$D,'Thi dua NV'!Z$3)</f>
        <v>0</v>
      </c>
      <c r="AA17" s="399">
        <f>SUMIFS(XL_DT_TD!$L:$L,XL_DT_TD!$E:$E,$B:$B,XL_DT_TD!$D:$D,'Thi dua NV'!AA$3)</f>
        <v>0</v>
      </c>
      <c r="AD17" s="583" t="s">
        <v>70</v>
      </c>
      <c r="AE17" s="465" t="s">
        <v>494</v>
      </c>
    </row>
    <row r="18" spans="1:31" s="1" customFormat="1" ht="26" customHeight="1">
      <c r="A18" s="61"/>
      <c r="B18" s="400" t="s">
        <v>283</v>
      </c>
      <c r="C18" s="397" t="e">
        <f>SUMIFS('Hieu Qua NV'!#REF!,'Hieu Qua NV'!#REF!,'Thi dua NV'!B18)</f>
        <v>#REF!</v>
      </c>
      <c r="D18" s="397" t="str">
        <f t="shared" ca="1" si="1"/>
        <v>0/13</v>
      </c>
      <c r="E18" s="398">
        <f ca="1">SUMIFS(XL_DT_TD!$L:$L,XL_DT_TD!$E:$E,$B:$B,XL_DT_TD!$D:$D,'Thi dua NV'!E$3)</f>
        <v>9.4084170911928028E-2</v>
      </c>
      <c r="F18" s="398">
        <f ca="1">SUMIFS(XL_DT_TD!$L:$L,XL_DT_TD!$E:$E,$B:$B,XL_DT_TD!$D:$D,'Thi dua NV'!F$3)</f>
        <v>4.5150850819500987E-2</v>
      </c>
      <c r="G18" s="398">
        <f ca="1">SUMIFS(XL_DT_TD!$L:$L,XL_DT_TD!$E:$E,$B:$B,XL_DT_TD!$D:$D,'Thi dua NV'!G$3)</f>
        <v>0.28169014084507044</v>
      </c>
      <c r="H18" s="398">
        <f ca="1">SUMIFS(XL_DT_TD!$L:$L,XL_DT_TD!$E:$E,$B:$B,XL_DT_TD!$D:$D,'Thi dua NV'!H$3)</f>
        <v>0</v>
      </c>
      <c r="I18" s="398">
        <f ca="1">SUMIFS(XL_DT_TD!$L:$L,XL_DT_TD!$E:$E,$B:$B,XL_DT_TD!$D:$D,'Thi dua NV'!I$3)</f>
        <v>0.19226897523656133</v>
      </c>
      <c r="J18" s="398" t="e">
        <f ca="1">SUMIFS(XL_DT_TD!$L:$L,XL_DT_TD!$E:$E,$B:$B,XL_DT_TD!$D:$D,'Thi dua NV'!J$3)</f>
        <v>#DIV/0!</v>
      </c>
      <c r="K18" s="398" t="e">
        <f ca="1">SUMIFS(XL_DT_TD!$L:$L,XL_DT_TD!$E:$E,$B:$B,XL_DT_TD!$D:$D,'Thi dua NV'!K$3)</f>
        <v>#DIV/0!</v>
      </c>
      <c r="L18" s="398" t="e">
        <f ca="1">SUMIFS(XL_DT_TD!$L:$L,XL_DT_TD!$E:$E,$B:$B,XL_DT_TD!$D:$D,'Thi dua NV'!L$3)</f>
        <v>#DIV/0!</v>
      </c>
      <c r="M18" s="398" t="e">
        <f ca="1">SUMIFS(XL_DT_TD!$L:$L,XL_DT_TD!$E:$E,$B:$B,XL_DT_TD!$D:$D,'Thi dua NV'!M$3)</f>
        <v>#DIV/0!</v>
      </c>
      <c r="N18" s="398" t="e">
        <f ca="1">SUMIFS(XL_DT_TD!$L:$L,XL_DT_TD!$E:$E,$B:$B,XL_DT_TD!$D:$D,'Thi dua NV'!N$3)</f>
        <v>#DIV/0!</v>
      </c>
      <c r="O18" s="398" t="e">
        <f ca="1">SUMIFS(XL_DT_TD!$L:$L,XL_DT_TD!$E:$E,$B:$B,XL_DT_TD!$D:$D,'Thi dua NV'!O$3)</f>
        <v>#DIV/0!</v>
      </c>
      <c r="P18" s="398" t="e">
        <f ca="1">SUMIFS(XL_DT_TD!$L:$L,XL_DT_TD!$E:$E,$B:$B,XL_DT_TD!$D:$D,'Thi dua NV'!P$3)</f>
        <v>#DIV/0!</v>
      </c>
      <c r="Q18" s="398">
        <f ca="1">SUMIFS(XL_DT_TD!$L:$L,XL_DT_TD!$E:$E,$B:$B,XL_DT_TD!$D:$D,'Thi dua NV'!Q$3)</f>
        <v>0</v>
      </c>
      <c r="R18" s="398">
        <f ca="1">SUMIFS(XL_DT_TD!$L:$L,XL_DT_TD!$E:$E,$B:$B,XL_DT_TD!$D:$D,'Thi dua NV'!R$3)</f>
        <v>0</v>
      </c>
      <c r="S18" s="398" t="e">
        <f ca="1">SUMIFS(XL_DT_TD!$L:$L,XL_DT_TD!$E:$E,$B:$B,XL_DT_TD!$D:$D,'Thi dua NV'!S$3)</f>
        <v>#DIV/0!</v>
      </c>
      <c r="T18" s="398">
        <f ca="1">SUMIFS(XL_DT_TD!$L:$L,XL_DT_TD!$E:$E,$B:$B,XL_DT_TD!$D:$D,'Thi dua NV'!T$3)</f>
        <v>0</v>
      </c>
      <c r="U18" s="398">
        <f ca="1">SUMIFS(XL_DT_TD!$L:$L,XL_DT_TD!$E:$E,$B:$B,XL_DT_TD!$D:$D,'Thi dua NV'!U$3)</f>
        <v>0</v>
      </c>
      <c r="V18" s="398">
        <f ca="1">SUMIFS(XL_DT_TD!$L:$L,XL_DT_TD!$E:$E,$B:$B,XL_DT_TD!$D:$D,'Thi dua NV'!V$3)</f>
        <v>0</v>
      </c>
      <c r="W18" s="398" t="e">
        <f ca="1">SUMIFS(XL_DT_TD!$L:$L,XL_DT_TD!$E:$E,$B:$B,XL_DT_TD!$D:$D,'Thi dua NV'!W$3)</f>
        <v>#DIV/0!</v>
      </c>
      <c r="X18" s="398" t="e">
        <f ca="1">SUMIFS(XL_DT_TD!$L:$L,XL_DT_TD!$E:$E,$B:$B,XL_DT_TD!$D:$D,'Thi dua NV'!X$3)</f>
        <v>#DIV/0!</v>
      </c>
      <c r="Y18" s="398">
        <f ca="1">SUMIFS(XL_DT_TD!$L:$L,XL_DT_TD!$E:$E,$B:$B,XL_DT_TD!$D:$D,'Thi dua NV'!Y$3)</f>
        <v>0</v>
      </c>
      <c r="Z18" s="398">
        <f ca="1">SUMIFS(XL_DT_TD!$L:$L,XL_DT_TD!$E:$E,$B:$B,XL_DT_TD!$D:$D,'Thi dua NV'!Z$3)</f>
        <v>0</v>
      </c>
      <c r="AA18" s="399">
        <f>SUMIFS(XL_DT_TD!$L:$L,XL_DT_TD!$E:$E,$B:$B,XL_DT_TD!$D:$D,'Thi dua NV'!AA$3)</f>
        <v>0</v>
      </c>
      <c r="AD18" s="612" t="s">
        <v>171</v>
      </c>
      <c r="AE18" s="466" t="s">
        <v>512</v>
      </c>
    </row>
    <row r="19" spans="1:31" s="1" customFormat="1" ht="26" customHeight="1">
      <c r="A19" s="61"/>
      <c r="B19" s="400" t="s">
        <v>284</v>
      </c>
      <c r="C19" s="397"/>
      <c r="D19" s="397"/>
      <c r="E19" s="398">
        <f ca="1">SUMIFS(XL_DT_TD!$L:$L,XL_DT_TD!$E:$E,$B:$B,XL_DT_TD!$D:$D,'Thi dua NV'!E$3)</f>
        <v>0.71595759328101338</v>
      </c>
      <c r="F19" s="398">
        <f ca="1">SUMIFS(XL_DT_TD!$L:$L,XL_DT_TD!$E:$E,$B:$B,XL_DT_TD!$D:$D,'Thi dua NV'!F$3)</f>
        <v>0.58596930786094592</v>
      </c>
      <c r="G19" s="398">
        <f ca="1">SUMIFS(XL_DT_TD!$L:$L,XL_DT_TD!$E:$E,$B:$B,XL_DT_TD!$D:$D,'Thi dua NV'!G$3)</f>
        <v>2.112676056338028</v>
      </c>
      <c r="H19" s="398">
        <f ca="1">SUMIFS(XL_DT_TD!$L:$L,XL_DT_TD!$E:$E,$B:$B,XL_DT_TD!$D:$D,'Thi dua NV'!H$3)</f>
        <v>0</v>
      </c>
      <c r="I19" s="398">
        <f ca="1">SUMIFS(XL_DT_TD!$L:$L,XL_DT_TD!$E:$E,$B:$B,XL_DT_TD!$D:$D,'Thi dua NV'!I$3)</f>
        <v>2.689752365613046</v>
      </c>
      <c r="J19" s="398" t="e">
        <f ca="1">SUMIFS(XL_DT_TD!$L:$L,XL_DT_TD!$E:$E,$B:$B,XL_DT_TD!$D:$D,'Thi dua NV'!J$3)</f>
        <v>#DIV/0!</v>
      </c>
      <c r="K19" s="398" t="e">
        <f ca="1">SUMIFS(XL_DT_TD!$L:$L,XL_DT_TD!$E:$E,$B:$B,XL_DT_TD!$D:$D,'Thi dua NV'!K$3)</f>
        <v>#DIV/0!</v>
      </c>
      <c r="L19" s="398" t="e">
        <f ca="1">SUMIFS(XL_DT_TD!$L:$L,XL_DT_TD!$E:$E,$B:$B,XL_DT_TD!$D:$D,'Thi dua NV'!L$3)</f>
        <v>#DIV/0!</v>
      </c>
      <c r="M19" s="398" t="e">
        <f ca="1">SUMIFS(XL_DT_TD!$L:$L,XL_DT_TD!$E:$E,$B:$B,XL_DT_TD!$D:$D,'Thi dua NV'!M$3)</f>
        <v>#DIV/0!</v>
      </c>
      <c r="N19" s="398" t="e">
        <f ca="1">SUMIFS(XL_DT_TD!$L:$L,XL_DT_TD!$E:$E,$B:$B,XL_DT_TD!$D:$D,'Thi dua NV'!N$3)</f>
        <v>#DIV/0!</v>
      </c>
      <c r="O19" s="398" t="e">
        <f ca="1">SUMIFS(XL_DT_TD!$L:$L,XL_DT_TD!$E:$E,$B:$B,XL_DT_TD!$D:$D,'Thi dua NV'!O$3)</f>
        <v>#DIV/0!</v>
      </c>
      <c r="P19" s="398" t="e">
        <f ca="1">SUMIFS(XL_DT_TD!$L:$L,XL_DT_TD!$E:$E,$B:$B,XL_DT_TD!$D:$D,'Thi dua NV'!P$3)</f>
        <v>#DIV/0!</v>
      </c>
      <c r="Q19" s="398">
        <f ca="1">SUMIFS(XL_DT_TD!$L:$L,XL_DT_TD!$E:$E,$B:$B,XL_DT_TD!$D:$D,'Thi dua NV'!Q$3)</f>
        <v>0</v>
      </c>
      <c r="R19" s="398">
        <f ca="1">SUMIFS(XL_DT_TD!$L:$L,XL_DT_TD!$E:$E,$B:$B,XL_DT_TD!$D:$D,'Thi dua NV'!R$3)</f>
        <v>0</v>
      </c>
      <c r="S19" s="398" t="e">
        <f ca="1">SUMIFS(XL_DT_TD!$L:$L,XL_DT_TD!$E:$E,$B:$B,XL_DT_TD!$D:$D,'Thi dua NV'!S$3)</f>
        <v>#DIV/0!</v>
      </c>
      <c r="T19" s="398">
        <f ca="1">SUMIFS(XL_DT_TD!$L:$L,XL_DT_TD!$E:$E,$B:$B,XL_DT_TD!$D:$D,'Thi dua NV'!T$3)</f>
        <v>0</v>
      </c>
      <c r="U19" s="398">
        <f ca="1">SUMIFS(XL_DT_TD!$L:$L,XL_DT_TD!$E:$E,$B:$B,XL_DT_TD!$D:$D,'Thi dua NV'!U$3)</f>
        <v>0</v>
      </c>
      <c r="V19" s="398">
        <f ca="1">SUMIFS(XL_DT_TD!$L:$L,XL_DT_TD!$E:$E,$B:$B,XL_DT_TD!$D:$D,'Thi dua NV'!V$3)</f>
        <v>0</v>
      </c>
      <c r="W19" s="398" t="e">
        <f ca="1">SUMIFS(XL_DT_TD!$L:$L,XL_DT_TD!$E:$E,$B:$B,XL_DT_TD!$D:$D,'Thi dua NV'!W$3)</f>
        <v>#DIV/0!</v>
      </c>
      <c r="X19" s="398" t="e">
        <f ca="1">SUMIFS(XL_DT_TD!$L:$L,XL_DT_TD!$E:$E,$B:$B,XL_DT_TD!$D:$D,'Thi dua NV'!X$3)</f>
        <v>#DIV/0!</v>
      </c>
      <c r="Y19" s="398">
        <f ca="1">SUMIFS(XL_DT_TD!$L:$L,XL_DT_TD!$E:$E,$B:$B,XL_DT_TD!$D:$D,'Thi dua NV'!Y$3)</f>
        <v>0</v>
      </c>
      <c r="Z19" s="398">
        <f ca="1">SUMIFS(XL_DT_TD!$L:$L,XL_DT_TD!$E:$E,$B:$B,XL_DT_TD!$D:$D,'Thi dua NV'!Z$3)</f>
        <v>0</v>
      </c>
      <c r="AA19" s="399">
        <f>SUMIFS(XL_DT_TD!$L:$L,XL_DT_TD!$E:$E,$B:$B,XL_DT_TD!$D:$D,'Thi dua NV'!AA$3)</f>
        <v>0</v>
      </c>
      <c r="AD19" s="614" t="s">
        <v>231</v>
      </c>
      <c r="AE19" s="465" t="s">
        <v>506</v>
      </c>
    </row>
    <row r="20" spans="1:31" s="395" customFormat="1" ht="30" customHeight="1">
      <c r="A20" s="394"/>
      <c r="B20" s="594" t="s">
        <v>342</v>
      </c>
      <c r="C20" s="595" t="e">
        <f>SUM(C12:C16)</f>
        <v>#REF!</v>
      </c>
      <c r="D20" s="596" t="str">
        <f>COUNTIF(E20:AA20,"&gt;=1")&amp;"/"&amp;COUNT(E20:AA20)</f>
        <v>1/12</v>
      </c>
      <c r="E20" s="597">
        <f>SUMIFS(DATA_THIDUA_ST!$O:$O,DATA_THIDUA_ST!$K:$K,'Thi dua NV'!E2)</f>
        <v>0.57150000000000001</v>
      </c>
      <c r="F20" s="597"/>
      <c r="G20" s="597">
        <f>SUMIFS(DATA_THIDUA_ST!$O:$O,DATA_THIDUA_ST!$K:$K,'Thi dua NV'!G2)</f>
        <v>0.56340000000000001</v>
      </c>
      <c r="H20" s="597">
        <f>SUMIFS(DATA_THIDUA_ST!$O:$O,DATA_THIDUA_ST!$K:$K,'Thi dua NV'!H2)</f>
        <v>0.746</v>
      </c>
      <c r="I20" s="597">
        <f>SUMIFS(DATA_THIDUA_ST!$O:$O,DATA_THIDUA_ST!$K:$K,'Thi dua NV'!I2)</f>
        <v>0.59489999999999998</v>
      </c>
      <c r="J20" s="597">
        <f>SUMIFS(DATA_THIDUA_ST!$O:$O,DATA_THIDUA_ST!$K:$K,'Thi dua NV'!J2)</f>
        <v>0</v>
      </c>
      <c r="K20" s="597"/>
      <c r="L20" s="597"/>
      <c r="M20" s="597"/>
      <c r="N20" s="597"/>
      <c r="O20" s="597"/>
      <c r="P20" s="597"/>
      <c r="Q20" s="597"/>
      <c r="R20" s="597">
        <f>SUMIFS(DATA_THIDUA_ST!$O:$O,DATA_THIDUA_ST!$K:$K,'Thi dua NV'!R2)</f>
        <v>0.1351</v>
      </c>
      <c r="S20" s="597"/>
      <c r="T20" s="597">
        <f>SUMIFS(DATA_THIDUA_ST!$O:$O,DATA_THIDUA_ST!$K:$K,'Thi dua NV'!T2)</f>
        <v>0.15559999999999999</v>
      </c>
      <c r="U20" s="597">
        <f>SUMIFS(DATA_THIDUA_ST!$O:$O,DATA_THIDUA_ST!$K:$K,'Thi dua NV'!U2)</f>
        <v>1.1537999999999999</v>
      </c>
      <c r="V20" s="597">
        <f>SUMIFS(DATA_THIDUA_ST!$O:$O,DATA_THIDUA_ST!$K:$K,'Thi dua NV'!V2)</f>
        <v>0.10290000000000001</v>
      </c>
      <c r="W20" s="597"/>
      <c r="X20" s="597">
        <f>SUMIFS(DATA_THIDUA_ST!$O:$O,DATA_THIDUA_ST!$K:$K,'Thi dua NV'!X2)</f>
        <v>0</v>
      </c>
      <c r="Y20" s="597">
        <f>SUMIFS(DATA_THIDUA_ST!$O:$O,DATA_THIDUA_ST!$K:$K,'Thi dua NV'!Y2)</f>
        <v>0</v>
      </c>
      <c r="Z20" s="597"/>
      <c r="AA20" s="598">
        <f>SUMIFS(DATA_THIDUA_ST!$O:$O,DATA_THIDUA_ST!$K:$K,'Thi dua NV'!AA2)</f>
        <v>0</v>
      </c>
      <c r="AD20" s="615" t="s">
        <v>31</v>
      </c>
      <c r="AE20" s="617" t="s">
        <v>176</v>
      </c>
    </row>
    <row r="21" spans="1:31" ht="21.5" customHeight="1">
      <c r="B21" s="396" t="s">
        <v>56</v>
      </c>
      <c r="E21" s="27">
        <f t="shared" ref="E21:AA21" ca="1" si="2">RANK(E6,E$6:E$10)</f>
        <v>1</v>
      </c>
      <c r="F21" s="27">
        <f t="shared" ca="1" si="2"/>
        <v>3</v>
      </c>
      <c r="G21" s="27">
        <f t="shared" ca="1" si="2"/>
        <v>2</v>
      </c>
      <c r="H21" s="27">
        <f t="shared" ca="1" si="2"/>
        <v>1</v>
      </c>
      <c r="I21" s="27">
        <f t="shared" ca="1" si="2"/>
        <v>3</v>
      </c>
      <c r="J21" s="27">
        <f t="shared" ca="1" si="2"/>
        <v>5</v>
      </c>
      <c r="K21" s="27">
        <f t="shared" ca="1" si="2"/>
        <v>1</v>
      </c>
      <c r="L21" s="27">
        <f t="shared" ca="1" si="2"/>
        <v>1</v>
      </c>
      <c r="M21" s="27">
        <f t="shared" ca="1" si="2"/>
        <v>1</v>
      </c>
      <c r="N21" s="27">
        <f t="shared" ca="1" si="2"/>
        <v>4</v>
      </c>
      <c r="O21" s="27">
        <f t="shared" ca="1" si="2"/>
        <v>4</v>
      </c>
      <c r="P21" s="27">
        <f t="shared" ca="1" si="2"/>
        <v>3</v>
      </c>
      <c r="Q21" s="27">
        <f t="shared" ca="1" si="2"/>
        <v>1</v>
      </c>
      <c r="R21" s="27">
        <f t="shared" ca="1" si="2"/>
        <v>3</v>
      </c>
      <c r="S21" s="27">
        <f t="shared" ca="1" si="2"/>
        <v>2</v>
      </c>
      <c r="T21" s="27">
        <f t="shared" ca="1" si="2"/>
        <v>2</v>
      </c>
      <c r="U21" s="27">
        <f t="shared" ca="1" si="2"/>
        <v>1</v>
      </c>
      <c r="V21" s="27">
        <f t="shared" ca="1" si="2"/>
        <v>2</v>
      </c>
      <c r="W21" s="27">
        <f t="shared" ca="1" si="2"/>
        <v>1</v>
      </c>
      <c r="X21" s="27">
        <f t="shared" ca="1" si="2"/>
        <v>2</v>
      </c>
      <c r="Y21" s="27">
        <f t="shared" ca="1" si="2"/>
        <v>1</v>
      </c>
      <c r="Z21" s="27">
        <f t="shared" ca="1" si="2"/>
        <v>1</v>
      </c>
      <c r="AA21" s="27">
        <f t="shared" si="2"/>
        <v>1</v>
      </c>
      <c r="AD21" s="583" t="s">
        <v>228</v>
      </c>
      <c r="AE21" s="465" t="s">
        <v>516</v>
      </c>
    </row>
    <row r="22" spans="1:31" ht="21.5" customHeight="1">
      <c r="B22" s="396" t="s">
        <v>60</v>
      </c>
      <c r="E22" s="27">
        <f t="shared" ref="E22:AA22" ca="1" si="3">RANK(E7,E$6:E$10)</f>
        <v>3</v>
      </c>
      <c r="F22" s="27">
        <f t="shared" ca="1" si="3"/>
        <v>5</v>
      </c>
      <c r="G22" s="27">
        <f t="shared" ca="1" si="3"/>
        <v>2</v>
      </c>
      <c r="H22" s="27">
        <f t="shared" ca="1" si="3"/>
        <v>2</v>
      </c>
      <c r="I22" s="27">
        <f t="shared" ca="1" si="3"/>
        <v>3</v>
      </c>
      <c r="J22" s="27">
        <f t="shared" ca="1" si="3"/>
        <v>1</v>
      </c>
      <c r="K22" s="27">
        <f t="shared" ca="1" si="3"/>
        <v>3</v>
      </c>
      <c r="L22" s="27">
        <f t="shared" ca="1" si="3"/>
        <v>4</v>
      </c>
      <c r="M22" s="27">
        <f t="shared" ca="1" si="3"/>
        <v>2</v>
      </c>
      <c r="N22" s="27">
        <f t="shared" ca="1" si="3"/>
        <v>1</v>
      </c>
      <c r="O22" s="27">
        <f t="shared" ca="1" si="3"/>
        <v>1</v>
      </c>
      <c r="P22" s="27">
        <f t="shared" ca="1" si="3"/>
        <v>2</v>
      </c>
      <c r="Q22" s="27">
        <f t="shared" ca="1" si="3"/>
        <v>1</v>
      </c>
      <c r="R22" s="27">
        <f t="shared" ca="1" si="3"/>
        <v>3</v>
      </c>
      <c r="S22" s="27">
        <f t="shared" ca="1" si="3"/>
        <v>1</v>
      </c>
      <c r="T22" s="27">
        <f t="shared" ca="1" si="3"/>
        <v>2</v>
      </c>
      <c r="U22" s="27">
        <f t="shared" ca="1" si="3"/>
        <v>1</v>
      </c>
      <c r="V22" s="27">
        <f t="shared" ca="1" si="3"/>
        <v>2</v>
      </c>
      <c r="W22" s="27">
        <f t="shared" ca="1" si="3"/>
        <v>4</v>
      </c>
      <c r="X22" s="27">
        <f t="shared" ca="1" si="3"/>
        <v>1</v>
      </c>
      <c r="Y22" s="27">
        <f t="shared" ca="1" si="3"/>
        <v>1</v>
      </c>
      <c r="Z22" s="27">
        <f t="shared" ca="1" si="3"/>
        <v>1</v>
      </c>
      <c r="AA22" s="27">
        <f t="shared" si="3"/>
        <v>1</v>
      </c>
      <c r="AD22" s="612" t="s">
        <v>232</v>
      </c>
      <c r="AE22" s="466" t="s">
        <v>223</v>
      </c>
    </row>
    <row r="23" spans="1:31" ht="21.5" customHeight="1">
      <c r="B23" s="396" t="s">
        <v>57</v>
      </c>
      <c r="E23" s="27">
        <f t="shared" ref="E23:AA23" ca="1" si="4">RANK(E8,E$6:E$10)</f>
        <v>2</v>
      </c>
      <c r="F23" s="27">
        <f t="shared" ca="1" si="4"/>
        <v>2</v>
      </c>
      <c r="G23" s="27">
        <f t="shared" ca="1" si="4"/>
        <v>2</v>
      </c>
      <c r="H23" s="27">
        <f t="shared" ca="1" si="4"/>
        <v>3</v>
      </c>
      <c r="I23" s="27">
        <f t="shared" ca="1" si="4"/>
        <v>1</v>
      </c>
      <c r="J23" s="27">
        <f t="shared" ca="1" si="4"/>
        <v>2</v>
      </c>
      <c r="K23" s="27">
        <f t="shared" ca="1" si="4"/>
        <v>2</v>
      </c>
      <c r="L23" s="27">
        <f t="shared" ca="1" si="4"/>
        <v>3</v>
      </c>
      <c r="M23" s="27">
        <f t="shared" ca="1" si="4"/>
        <v>4</v>
      </c>
      <c r="N23" s="27">
        <f t="shared" ca="1" si="4"/>
        <v>3</v>
      </c>
      <c r="O23" s="27">
        <f t="shared" ca="1" si="4"/>
        <v>3</v>
      </c>
      <c r="P23" s="27">
        <f t="shared" ca="1" si="4"/>
        <v>1</v>
      </c>
      <c r="Q23" s="27">
        <f t="shared" ca="1" si="4"/>
        <v>1</v>
      </c>
      <c r="R23" s="27">
        <f t="shared" ca="1" si="4"/>
        <v>2</v>
      </c>
      <c r="S23" s="27">
        <f t="shared" ca="1" si="4"/>
        <v>3</v>
      </c>
      <c r="T23" s="27">
        <f t="shared" ca="1" si="4"/>
        <v>2</v>
      </c>
      <c r="U23" s="27">
        <f t="shared" ca="1" si="4"/>
        <v>1</v>
      </c>
      <c r="V23" s="27">
        <f t="shared" ca="1" si="4"/>
        <v>1</v>
      </c>
      <c r="W23" s="27">
        <f t="shared" ca="1" si="4"/>
        <v>5</v>
      </c>
      <c r="X23" s="27">
        <f t="shared" ca="1" si="4"/>
        <v>3</v>
      </c>
      <c r="Y23" s="27">
        <f t="shared" ca="1" si="4"/>
        <v>1</v>
      </c>
      <c r="Z23" s="27">
        <f t="shared" ca="1" si="4"/>
        <v>1</v>
      </c>
      <c r="AA23" s="27">
        <f t="shared" si="4"/>
        <v>1</v>
      </c>
      <c r="AD23" s="583" t="s">
        <v>128</v>
      </c>
      <c r="AE23" s="465" t="s">
        <v>226</v>
      </c>
    </row>
    <row r="24" spans="1:31" ht="21.5" customHeight="1">
      <c r="B24" s="396" t="s">
        <v>151</v>
      </c>
      <c r="E24" s="27">
        <f t="shared" ref="E24:AA24" ca="1" si="5">RANK(E9,E$6:E$10)</f>
        <v>3</v>
      </c>
      <c r="F24" s="27">
        <f t="shared" ca="1" si="5"/>
        <v>4</v>
      </c>
      <c r="G24" s="27">
        <f t="shared" ca="1" si="5"/>
        <v>2</v>
      </c>
      <c r="H24" s="27">
        <f t="shared" ca="1" si="5"/>
        <v>3</v>
      </c>
      <c r="I24" s="27">
        <f t="shared" ca="1" si="5"/>
        <v>3</v>
      </c>
      <c r="J24" s="27">
        <f t="shared" ca="1" si="5"/>
        <v>3</v>
      </c>
      <c r="K24" s="27">
        <f t="shared" ca="1" si="5"/>
        <v>4</v>
      </c>
      <c r="L24" s="27">
        <f t="shared" ca="1" si="5"/>
        <v>5</v>
      </c>
      <c r="M24" s="27">
        <f t="shared" ca="1" si="5"/>
        <v>5</v>
      </c>
      <c r="N24" s="27">
        <f t="shared" ca="1" si="5"/>
        <v>5</v>
      </c>
      <c r="O24" s="27">
        <f t="shared" ca="1" si="5"/>
        <v>2</v>
      </c>
      <c r="P24" s="27">
        <f t="shared" ca="1" si="5"/>
        <v>4</v>
      </c>
      <c r="Q24" s="27">
        <f t="shared" ca="1" si="5"/>
        <v>1</v>
      </c>
      <c r="R24" s="27">
        <f t="shared" ca="1" si="5"/>
        <v>3</v>
      </c>
      <c r="S24" s="27">
        <f t="shared" ca="1" si="5"/>
        <v>4</v>
      </c>
      <c r="T24" s="27">
        <f t="shared" ca="1" si="5"/>
        <v>2</v>
      </c>
      <c r="U24" s="27">
        <f t="shared" ca="1" si="5"/>
        <v>1</v>
      </c>
      <c r="V24" s="27">
        <f t="shared" ca="1" si="5"/>
        <v>2</v>
      </c>
      <c r="W24" s="27">
        <f t="shared" ca="1" si="5"/>
        <v>2</v>
      </c>
      <c r="X24" s="27">
        <f t="shared" ca="1" si="5"/>
        <v>3</v>
      </c>
      <c r="Y24" s="27">
        <f t="shared" ca="1" si="5"/>
        <v>1</v>
      </c>
      <c r="Z24" s="27">
        <f t="shared" ca="1" si="5"/>
        <v>1</v>
      </c>
      <c r="AA24" s="27">
        <f t="shared" si="5"/>
        <v>1</v>
      </c>
      <c r="AD24" s="612" t="s">
        <v>61</v>
      </c>
      <c r="AE24" s="466" t="s">
        <v>225</v>
      </c>
    </row>
    <row r="25" spans="1:31" ht="21.5" customHeight="1">
      <c r="B25" s="396" t="s">
        <v>15</v>
      </c>
      <c r="E25" s="27">
        <f t="shared" ref="E25:AA25" ca="1" si="6">RANK(E10,E$6:E$10)</f>
        <v>3</v>
      </c>
      <c r="F25" s="27">
        <f t="shared" ca="1" si="6"/>
        <v>1</v>
      </c>
      <c r="G25" s="27">
        <f t="shared" ca="1" si="6"/>
        <v>1</v>
      </c>
      <c r="H25" s="27">
        <f t="shared" ca="1" si="6"/>
        <v>3</v>
      </c>
      <c r="I25" s="27">
        <f t="shared" ca="1" si="6"/>
        <v>2</v>
      </c>
      <c r="J25" s="27">
        <f t="shared" ca="1" si="6"/>
        <v>4</v>
      </c>
      <c r="K25" s="27">
        <f t="shared" ca="1" si="6"/>
        <v>5</v>
      </c>
      <c r="L25" s="27">
        <f t="shared" ca="1" si="6"/>
        <v>2</v>
      </c>
      <c r="M25" s="27">
        <f t="shared" ca="1" si="6"/>
        <v>3</v>
      </c>
      <c r="N25" s="27">
        <f t="shared" ca="1" si="6"/>
        <v>2</v>
      </c>
      <c r="O25" s="27">
        <f t="shared" ca="1" si="6"/>
        <v>4</v>
      </c>
      <c r="P25" s="27">
        <f t="shared" ca="1" si="6"/>
        <v>5</v>
      </c>
      <c r="Q25" s="27">
        <f t="shared" ca="1" si="6"/>
        <v>1</v>
      </c>
      <c r="R25" s="27">
        <f t="shared" ca="1" si="6"/>
        <v>1</v>
      </c>
      <c r="S25" s="27">
        <f t="shared" ca="1" si="6"/>
        <v>5</v>
      </c>
      <c r="T25" s="27">
        <f t="shared" ca="1" si="6"/>
        <v>1</v>
      </c>
      <c r="U25" s="27">
        <f t="shared" ca="1" si="6"/>
        <v>1</v>
      </c>
      <c r="V25" s="27">
        <f t="shared" ca="1" si="6"/>
        <v>2</v>
      </c>
      <c r="W25" s="27">
        <f t="shared" ca="1" si="6"/>
        <v>3</v>
      </c>
      <c r="X25" s="27">
        <f t="shared" ca="1" si="6"/>
        <v>3</v>
      </c>
      <c r="Y25" s="27">
        <f t="shared" ca="1" si="6"/>
        <v>1</v>
      </c>
      <c r="Z25" s="27">
        <f t="shared" ca="1" si="6"/>
        <v>1</v>
      </c>
      <c r="AA25" s="27">
        <f t="shared" si="6"/>
        <v>1</v>
      </c>
      <c r="AD25" s="583" t="s">
        <v>392</v>
      </c>
      <c r="AE25" s="465" t="s">
        <v>507</v>
      </c>
    </row>
    <row r="26" spans="1:31" ht="21.5" customHeight="1">
      <c r="B26" s="400" t="s">
        <v>281</v>
      </c>
      <c r="E26" s="27">
        <f ca="1">RANK(E16,E$16:E$18)</f>
        <v>3</v>
      </c>
      <c r="F26" s="27">
        <f t="shared" ref="F26:AA28" ca="1" si="7">RANK(F16,F$16:F$18)</f>
        <v>2</v>
      </c>
      <c r="G26" s="27">
        <f t="shared" ca="1" si="7"/>
        <v>3</v>
      </c>
      <c r="H26" s="27">
        <f t="shared" ca="1" si="7"/>
        <v>1</v>
      </c>
      <c r="I26" s="27">
        <f t="shared" ca="1" si="7"/>
        <v>2</v>
      </c>
      <c r="J26" s="27" t="e">
        <f t="shared" ca="1" si="7"/>
        <v>#DIV/0!</v>
      </c>
      <c r="K26" s="27" t="e">
        <f t="shared" ca="1" si="7"/>
        <v>#DIV/0!</v>
      </c>
      <c r="L26" s="27" t="e">
        <f t="shared" ca="1" si="7"/>
        <v>#DIV/0!</v>
      </c>
      <c r="M26" s="27" t="e">
        <f t="shared" ca="1" si="7"/>
        <v>#DIV/0!</v>
      </c>
      <c r="N26" s="27" t="e">
        <f t="shared" ca="1" si="7"/>
        <v>#DIV/0!</v>
      </c>
      <c r="O26" s="27" t="e">
        <f t="shared" ca="1" si="7"/>
        <v>#DIV/0!</v>
      </c>
      <c r="P26" s="27" t="e">
        <f t="shared" ca="1" si="7"/>
        <v>#DIV/0!</v>
      </c>
      <c r="Q26" s="27">
        <f t="shared" ca="1" si="7"/>
        <v>1</v>
      </c>
      <c r="R26" s="27">
        <f t="shared" ca="1" si="7"/>
        <v>2</v>
      </c>
      <c r="S26" s="27" t="e">
        <f t="shared" ca="1" si="7"/>
        <v>#DIV/0!</v>
      </c>
      <c r="T26" s="27">
        <f t="shared" ca="1" si="7"/>
        <v>2</v>
      </c>
      <c r="U26" s="27">
        <f t="shared" ca="1" si="7"/>
        <v>2</v>
      </c>
      <c r="V26" s="27">
        <f t="shared" ca="1" si="7"/>
        <v>1</v>
      </c>
      <c r="W26" s="27" t="e">
        <f t="shared" ca="1" si="7"/>
        <v>#DIV/0!</v>
      </c>
      <c r="X26" s="27" t="e">
        <f t="shared" ca="1" si="7"/>
        <v>#DIV/0!</v>
      </c>
      <c r="Y26" s="27">
        <f t="shared" ca="1" si="7"/>
        <v>1</v>
      </c>
      <c r="Z26" s="27">
        <f t="shared" ca="1" si="7"/>
        <v>1</v>
      </c>
      <c r="AA26" s="27">
        <f t="shared" si="7"/>
        <v>1</v>
      </c>
    </row>
    <row r="27" spans="1:31" ht="21.5" customHeight="1">
      <c r="B27" s="400" t="s">
        <v>282</v>
      </c>
      <c r="E27" s="27">
        <f t="shared" ref="E27:T28" ca="1" si="8">RANK(E17,E$16:E$18)</f>
        <v>1</v>
      </c>
      <c r="F27" s="27">
        <f t="shared" ca="1" si="8"/>
        <v>1</v>
      </c>
      <c r="G27" s="27">
        <f t="shared" ca="1" si="8"/>
        <v>2</v>
      </c>
      <c r="H27" s="27">
        <f t="shared" ca="1" si="8"/>
        <v>2</v>
      </c>
      <c r="I27" s="27">
        <f t="shared" ca="1" si="8"/>
        <v>2</v>
      </c>
      <c r="J27" s="27" t="e">
        <f t="shared" ca="1" si="8"/>
        <v>#DIV/0!</v>
      </c>
      <c r="K27" s="27" t="e">
        <f t="shared" ca="1" si="8"/>
        <v>#DIV/0!</v>
      </c>
      <c r="L27" s="27" t="e">
        <f t="shared" ca="1" si="8"/>
        <v>#DIV/0!</v>
      </c>
      <c r="M27" s="27" t="e">
        <f t="shared" ca="1" si="8"/>
        <v>#DIV/0!</v>
      </c>
      <c r="N27" s="27" t="e">
        <f t="shared" ca="1" si="8"/>
        <v>#DIV/0!</v>
      </c>
      <c r="O27" s="27" t="e">
        <f t="shared" ca="1" si="8"/>
        <v>#DIV/0!</v>
      </c>
      <c r="P27" s="27" t="e">
        <f t="shared" ca="1" si="8"/>
        <v>#DIV/0!</v>
      </c>
      <c r="Q27" s="27">
        <f t="shared" ca="1" si="8"/>
        <v>1</v>
      </c>
      <c r="R27" s="27">
        <f t="shared" ca="1" si="8"/>
        <v>1</v>
      </c>
      <c r="S27" s="27" t="e">
        <f t="shared" ca="1" si="8"/>
        <v>#DIV/0!</v>
      </c>
      <c r="T27" s="27">
        <f t="shared" ca="1" si="8"/>
        <v>1</v>
      </c>
      <c r="U27" s="27">
        <f t="shared" ca="1" si="7"/>
        <v>1</v>
      </c>
      <c r="V27" s="27">
        <f t="shared" ca="1" si="7"/>
        <v>2</v>
      </c>
      <c r="W27" s="27" t="e">
        <f t="shared" ca="1" si="7"/>
        <v>#DIV/0!</v>
      </c>
      <c r="X27" s="27" t="e">
        <f t="shared" ca="1" si="7"/>
        <v>#DIV/0!</v>
      </c>
      <c r="Y27" s="27">
        <f t="shared" ca="1" si="7"/>
        <v>1</v>
      </c>
      <c r="Z27" s="27">
        <f t="shared" ca="1" si="7"/>
        <v>1</v>
      </c>
      <c r="AA27" s="27">
        <f t="shared" si="7"/>
        <v>1</v>
      </c>
    </row>
    <row r="28" spans="1:31" ht="21.5" customHeight="1">
      <c r="B28" s="400" t="s">
        <v>283</v>
      </c>
      <c r="E28" s="27">
        <f t="shared" ca="1" si="8"/>
        <v>2</v>
      </c>
      <c r="F28" s="27">
        <f t="shared" ca="1" si="7"/>
        <v>3</v>
      </c>
      <c r="G28" s="27">
        <f t="shared" ca="1" si="7"/>
        <v>1</v>
      </c>
      <c r="H28" s="27">
        <f t="shared" ca="1" si="7"/>
        <v>3</v>
      </c>
      <c r="I28" s="27">
        <f t="shared" ca="1" si="7"/>
        <v>1</v>
      </c>
      <c r="J28" s="27" t="e">
        <f t="shared" ca="1" si="7"/>
        <v>#DIV/0!</v>
      </c>
      <c r="K28" s="27" t="e">
        <f t="shared" ca="1" si="7"/>
        <v>#DIV/0!</v>
      </c>
      <c r="L28" s="27" t="e">
        <f t="shared" ca="1" si="7"/>
        <v>#DIV/0!</v>
      </c>
      <c r="M28" s="27" t="e">
        <f t="shared" ca="1" si="7"/>
        <v>#DIV/0!</v>
      </c>
      <c r="N28" s="27" t="e">
        <f t="shared" ca="1" si="7"/>
        <v>#DIV/0!</v>
      </c>
      <c r="O28" s="27" t="e">
        <f t="shared" ca="1" si="7"/>
        <v>#DIV/0!</v>
      </c>
      <c r="P28" s="27" t="e">
        <f t="shared" ca="1" si="7"/>
        <v>#DIV/0!</v>
      </c>
      <c r="Q28" s="27">
        <f t="shared" ca="1" si="7"/>
        <v>1</v>
      </c>
      <c r="R28" s="27">
        <f t="shared" ca="1" si="7"/>
        <v>2</v>
      </c>
      <c r="S28" s="27" t="e">
        <f t="shared" ca="1" si="7"/>
        <v>#DIV/0!</v>
      </c>
      <c r="T28" s="27">
        <f t="shared" ca="1" si="7"/>
        <v>3</v>
      </c>
      <c r="U28" s="27">
        <f t="shared" ca="1" si="7"/>
        <v>3</v>
      </c>
      <c r="V28" s="27">
        <f t="shared" ca="1" si="7"/>
        <v>3</v>
      </c>
      <c r="W28" s="27" t="e">
        <f t="shared" ca="1" si="7"/>
        <v>#DIV/0!</v>
      </c>
      <c r="X28" s="27" t="e">
        <f t="shared" ca="1" si="7"/>
        <v>#DIV/0!</v>
      </c>
      <c r="Y28" s="27">
        <f t="shared" ca="1" si="7"/>
        <v>1</v>
      </c>
      <c r="Z28" s="27">
        <f t="shared" ca="1" si="7"/>
        <v>1</v>
      </c>
      <c r="AA28" s="27">
        <f t="shared" si="7"/>
        <v>1</v>
      </c>
    </row>
    <row r="30" spans="1:31" ht="21.5" customHeight="1">
      <c r="E30" s="583" t="s">
        <v>52</v>
      </c>
      <c r="F30" s="612" t="s">
        <v>33</v>
      </c>
      <c r="G30" s="583" t="s">
        <v>112</v>
      </c>
      <c r="H30" s="612" t="s">
        <v>30</v>
      </c>
      <c r="I30" s="583" t="s">
        <v>32</v>
      </c>
      <c r="J30" s="612" t="s">
        <v>64</v>
      </c>
      <c r="K30" s="583" t="s">
        <v>168</v>
      </c>
      <c r="L30" s="613" t="s">
        <v>169</v>
      </c>
      <c r="M30" s="583" t="s">
        <v>147</v>
      </c>
      <c r="N30" s="613" t="s">
        <v>26</v>
      </c>
      <c r="O30" s="583" t="s">
        <v>229</v>
      </c>
      <c r="P30" s="613" t="s">
        <v>524</v>
      </c>
      <c r="Q30" s="583" t="s">
        <v>104</v>
      </c>
      <c r="R30" s="612" t="s">
        <v>25</v>
      </c>
      <c r="S30" s="583" t="s">
        <v>70</v>
      </c>
      <c r="T30" s="612" t="s">
        <v>171</v>
      </c>
      <c r="U30" s="614" t="s">
        <v>231</v>
      </c>
      <c r="V30" s="615" t="s">
        <v>31</v>
      </c>
      <c r="W30" s="583" t="s">
        <v>228</v>
      </c>
      <c r="X30" s="612" t="s">
        <v>232</v>
      </c>
      <c r="Y30" s="583" t="s">
        <v>128</v>
      </c>
      <c r="Z30" s="612" t="s">
        <v>61</v>
      </c>
      <c r="AA30" s="583" t="s">
        <v>392</v>
      </c>
    </row>
    <row r="31" spans="1:31" ht="21.5" customHeight="1">
      <c r="B31" s="458" t="s">
        <v>56</v>
      </c>
      <c r="C31" s="459"/>
      <c r="D31" s="460"/>
      <c r="E31" s="460" t="s">
        <v>191</v>
      </c>
      <c r="F31" s="460" t="s">
        <v>192</v>
      </c>
      <c r="G31" s="460" t="s">
        <v>192</v>
      </c>
      <c r="H31" s="460" t="s">
        <v>192</v>
      </c>
      <c r="I31" s="460" t="s">
        <v>194</v>
      </c>
      <c r="J31" s="460" t="s">
        <v>194</v>
      </c>
      <c r="K31" s="460" t="s">
        <v>194</v>
      </c>
      <c r="L31" s="460" t="s">
        <v>192</v>
      </c>
      <c r="M31" s="460" t="s">
        <v>194</v>
      </c>
      <c r="N31" s="460" t="s">
        <v>194</v>
      </c>
      <c r="O31" s="460" t="s">
        <v>194</v>
      </c>
      <c r="P31" s="460" t="s">
        <v>194</v>
      </c>
      <c r="Q31" s="460" t="s">
        <v>191</v>
      </c>
      <c r="R31" s="460" t="s">
        <v>192</v>
      </c>
      <c r="S31" s="463" t="s">
        <v>194</v>
      </c>
      <c r="T31" s="460" t="s">
        <v>192</v>
      </c>
      <c r="U31" s="460" t="s">
        <v>192</v>
      </c>
      <c r="V31" s="460" t="s">
        <v>192</v>
      </c>
      <c r="W31" s="463" t="s">
        <v>194</v>
      </c>
      <c r="X31" s="461" t="s">
        <v>194</v>
      </c>
      <c r="Y31" s="461" t="s">
        <v>191</v>
      </c>
      <c r="Z31" s="461" t="s">
        <v>191</v>
      </c>
      <c r="AA31" s="460" t="s">
        <v>192</v>
      </c>
    </row>
    <row r="32" spans="1:31" ht="21.5" customHeight="1">
      <c r="B32" s="458" t="s">
        <v>60</v>
      </c>
      <c r="C32" s="459"/>
      <c r="D32" s="460"/>
      <c r="E32" s="460" t="s">
        <v>192</v>
      </c>
      <c r="F32" s="460" t="s">
        <v>194</v>
      </c>
      <c r="G32" s="460" t="s">
        <v>194</v>
      </c>
      <c r="H32" s="460" t="s">
        <v>192</v>
      </c>
      <c r="I32" s="460" t="s">
        <v>191</v>
      </c>
      <c r="J32" s="460" t="s">
        <v>191</v>
      </c>
      <c r="K32" s="460" t="s">
        <v>192</v>
      </c>
      <c r="L32" s="460" t="s">
        <v>192</v>
      </c>
      <c r="M32" s="460" t="s">
        <v>192</v>
      </c>
      <c r="N32" s="460" t="s">
        <v>192</v>
      </c>
      <c r="O32" s="460" t="s">
        <v>194</v>
      </c>
      <c r="P32" s="460" t="s">
        <v>192</v>
      </c>
      <c r="Q32" s="460" t="s">
        <v>192</v>
      </c>
      <c r="R32" s="460" t="s">
        <v>194</v>
      </c>
      <c r="S32" s="464" t="s">
        <v>192</v>
      </c>
      <c r="T32" s="460" t="s">
        <v>191</v>
      </c>
      <c r="U32" s="460" t="s">
        <v>194</v>
      </c>
      <c r="V32" s="460" t="s">
        <v>191</v>
      </c>
      <c r="W32" s="464" t="s">
        <v>194</v>
      </c>
      <c r="X32" s="461" t="s">
        <v>192</v>
      </c>
      <c r="Y32" s="461" t="s">
        <v>191</v>
      </c>
      <c r="Z32" s="461" t="s">
        <v>191</v>
      </c>
      <c r="AA32" s="460" t="s">
        <v>191</v>
      </c>
    </row>
    <row r="33" spans="2:27" ht="21.5" customHeight="1">
      <c r="B33" s="458" t="s">
        <v>57</v>
      </c>
      <c r="C33" s="459"/>
      <c r="D33" s="460"/>
      <c r="E33" s="460" t="s">
        <v>192</v>
      </c>
      <c r="F33" s="460" t="s">
        <v>192</v>
      </c>
      <c r="G33" s="460" t="s">
        <v>192</v>
      </c>
      <c r="H33" s="460" t="s">
        <v>192</v>
      </c>
      <c r="I33" s="460" t="s">
        <v>194</v>
      </c>
      <c r="J33" s="460" t="s">
        <v>192</v>
      </c>
      <c r="K33" s="460" t="s">
        <v>194</v>
      </c>
      <c r="L33" s="460" t="s">
        <v>191</v>
      </c>
      <c r="M33" s="460" t="s">
        <v>192</v>
      </c>
      <c r="N33" s="460" t="s">
        <v>192</v>
      </c>
      <c r="O33" s="460" t="s">
        <v>191</v>
      </c>
      <c r="P33" s="460" t="s">
        <v>192</v>
      </c>
      <c r="Q33" s="460" t="s">
        <v>192</v>
      </c>
      <c r="R33" s="460" t="s">
        <v>192</v>
      </c>
      <c r="S33" s="464" t="s">
        <v>194</v>
      </c>
      <c r="T33" s="460" t="s">
        <v>191</v>
      </c>
      <c r="U33" s="460" t="s">
        <v>192</v>
      </c>
      <c r="V33" s="460" t="s">
        <v>191</v>
      </c>
      <c r="W33" s="464" t="s">
        <v>192</v>
      </c>
      <c r="X33" s="461" t="s">
        <v>192</v>
      </c>
      <c r="Y33" s="461" t="s">
        <v>191</v>
      </c>
      <c r="Z33" s="461" t="s">
        <v>191</v>
      </c>
      <c r="AA33" s="460" t="s">
        <v>191</v>
      </c>
    </row>
    <row r="34" spans="2:27" ht="21.5" customHeight="1">
      <c r="B34" s="458" t="s">
        <v>151</v>
      </c>
      <c r="C34" s="459"/>
      <c r="D34" s="460"/>
      <c r="E34" s="460" t="s">
        <v>194</v>
      </c>
      <c r="F34" s="460" t="s">
        <v>194</v>
      </c>
      <c r="G34" s="460" t="s">
        <v>191</v>
      </c>
      <c r="H34" s="460" t="s">
        <v>192</v>
      </c>
      <c r="I34" s="460" t="s">
        <v>192</v>
      </c>
      <c r="J34" s="460" t="s">
        <v>192</v>
      </c>
      <c r="K34" s="460" t="s">
        <v>192</v>
      </c>
      <c r="L34" s="460" t="s">
        <v>194</v>
      </c>
      <c r="M34" s="460" t="s">
        <v>192</v>
      </c>
      <c r="N34" s="460" t="s">
        <v>191</v>
      </c>
      <c r="O34" s="460" t="s">
        <v>191</v>
      </c>
      <c r="P34" s="460" t="s">
        <v>191</v>
      </c>
      <c r="Q34" s="460" t="s">
        <v>194</v>
      </c>
      <c r="R34" s="460" t="s">
        <v>193</v>
      </c>
      <c r="S34" s="464" t="s">
        <v>192</v>
      </c>
      <c r="T34" s="460" t="s">
        <v>192</v>
      </c>
      <c r="U34" s="460" t="s">
        <v>192</v>
      </c>
      <c r="V34" s="460" t="s">
        <v>191</v>
      </c>
      <c r="W34" s="464" t="s">
        <v>194</v>
      </c>
      <c r="X34" s="461" t="s">
        <v>191</v>
      </c>
      <c r="Y34" s="461" t="s">
        <v>191</v>
      </c>
      <c r="Z34" s="461" t="s">
        <v>191</v>
      </c>
      <c r="AA34" s="460" t="s">
        <v>191</v>
      </c>
    </row>
    <row r="35" spans="2:27" ht="21.5" customHeight="1">
      <c r="B35" s="458" t="s">
        <v>15</v>
      </c>
      <c r="C35" s="459"/>
      <c r="D35" s="460"/>
      <c r="E35" s="460" t="s">
        <v>192</v>
      </c>
      <c r="F35" s="460" t="s">
        <v>192</v>
      </c>
      <c r="G35" s="460" t="s">
        <v>192</v>
      </c>
      <c r="H35" s="460" t="s">
        <v>194</v>
      </c>
      <c r="I35" s="460" t="s">
        <v>191</v>
      </c>
      <c r="J35" s="460" t="s">
        <v>191</v>
      </c>
      <c r="K35" s="460" t="s">
        <v>194</v>
      </c>
      <c r="L35" s="460" t="s">
        <v>192</v>
      </c>
      <c r="M35" s="460" t="s">
        <v>191</v>
      </c>
      <c r="N35" s="460" t="s">
        <v>191</v>
      </c>
      <c r="O35" s="460" t="s">
        <v>192</v>
      </c>
      <c r="P35" s="460" t="s">
        <v>192</v>
      </c>
      <c r="Q35" s="460" t="s">
        <v>192</v>
      </c>
      <c r="R35" s="460" t="s">
        <v>194</v>
      </c>
      <c r="S35" s="464" t="s">
        <v>194</v>
      </c>
      <c r="T35" s="460" t="s">
        <v>194</v>
      </c>
      <c r="U35" s="460" t="s">
        <v>192</v>
      </c>
      <c r="V35" s="460" t="s">
        <v>192</v>
      </c>
      <c r="W35" s="464" t="s">
        <v>192</v>
      </c>
      <c r="X35" s="461" t="s">
        <v>191</v>
      </c>
      <c r="Y35" s="461" t="s">
        <v>191</v>
      </c>
      <c r="Z35" s="461" t="s">
        <v>191</v>
      </c>
      <c r="AA35" s="460" t="s">
        <v>192</v>
      </c>
    </row>
    <row r="36" spans="2:27" ht="16">
      <c r="B36" s="396" t="s">
        <v>293</v>
      </c>
      <c r="C36" s="459"/>
      <c r="D36" s="460"/>
      <c r="E36" s="460" t="s">
        <v>191</v>
      </c>
      <c r="F36" s="460" t="s">
        <v>192</v>
      </c>
      <c r="G36" s="460" t="s">
        <v>193</v>
      </c>
      <c r="H36" s="460" t="s">
        <v>193</v>
      </c>
      <c r="I36" s="460" t="s">
        <v>193</v>
      </c>
      <c r="J36" s="460" t="s">
        <v>193</v>
      </c>
      <c r="K36" s="460" t="s">
        <v>193</v>
      </c>
      <c r="L36" s="460" t="s">
        <v>193</v>
      </c>
      <c r="M36" s="460" t="s">
        <v>193</v>
      </c>
      <c r="N36" s="460" t="s">
        <v>193</v>
      </c>
      <c r="O36" s="460" t="s">
        <v>193</v>
      </c>
      <c r="P36" s="460" t="s">
        <v>191</v>
      </c>
      <c r="Q36" s="460" t="s">
        <v>191</v>
      </c>
      <c r="R36" s="460" t="s">
        <v>191</v>
      </c>
      <c r="S36" s="464" t="s">
        <v>191</v>
      </c>
      <c r="T36" s="460" t="s">
        <v>193</v>
      </c>
      <c r="U36" s="460" t="s">
        <v>191</v>
      </c>
      <c r="V36" s="460" t="s">
        <v>193</v>
      </c>
      <c r="W36" s="464" t="s">
        <v>191</v>
      </c>
      <c r="X36" s="460" t="s">
        <v>193</v>
      </c>
      <c r="Y36" s="461" t="s">
        <v>191</v>
      </c>
      <c r="Z36" s="461" t="s">
        <v>191</v>
      </c>
      <c r="AA36" s="460" t="s">
        <v>193</v>
      </c>
    </row>
    <row r="37" spans="2:27" ht="16">
      <c r="B37" s="321" t="s">
        <v>433</v>
      </c>
      <c r="C37" s="459"/>
      <c r="D37" s="460"/>
      <c r="E37" s="460" t="s">
        <v>191</v>
      </c>
      <c r="F37" s="460" t="s">
        <v>192</v>
      </c>
      <c r="G37" s="460" t="s">
        <v>193</v>
      </c>
      <c r="H37" s="460" t="s">
        <v>193</v>
      </c>
      <c r="I37" s="460" t="s">
        <v>193</v>
      </c>
      <c r="J37" s="460" t="s">
        <v>193</v>
      </c>
      <c r="K37" s="460" t="s">
        <v>193</v>
      </c>
      <c r="L37" s="460" t="s">
        <v>193</v>
      </c>
      <c r="M37" s="460" t="s">
        <v>193</v>
      </c>
      <c r="N37" s="460" t="s">
        <v>193</v>
      </c>
      <c r="O37" s="460" t="s">
        <v>193</v>
      </c>
      <c r="P37" s="460" t="s">
        <v>191</v>
      </c>
      <c r="Q37" s="460" t="s">
        <v>191</v>
      </c>
      <c r="R37" s="460" t="s">
        <v>191</v>
      </c>
      <c r="S37" s="464" t="s">
        <v>191</v>
      </c>
      <c r="T37" s="460" t="s">
        <v>193</v>
      </c>
      <c r="U37" s="460" t="s">
        <v>191</v>
      </c>
      <c r="V37" s="460" t="s">
        <v>193</v>
      </c>
      <c r="W37" s="464" t="s">
        <v>191</v>
      </c>
      <c r="X37" s="460" t="s">
        <v>193</v>
      </c>
      <c r="Y37" s="461" t="s">
        <v>191</v>
      </c>
      <c r="Z37" s="461" t="s">
        <v>191</v>
      </c>
      <c r="AA37" s="460" t="s">
        <v>193</v>
      </c>
    </row>
    <row r="38" spans="2:27" ht="16">
      <c r="B38" s="396" t="s">
        <v>530</v>
      </c>
      <c r="C38" s="459"/>
      <c r="D38" s="460"/>
      <c r="E38" s="460"/>
      <c r="F38" s="460"/>
      <c r="G38" s="460"/>
      <c r="H38" s="460"/>
      <c r="I38" s="460"/>
      <c r="J38" s="460"/>
      <c r="K38" s="460"/>
      <c r="L38" s="460"/>
      <c r="M38" s="460"/>
      <c r="N38" s="460"/>
      <c r="O38" s="460"/>
      <c r="P38" s="460"/>
      <c r="Q38" s="460"/>
      <c r="R38" s="460"/>
      <c r="S38" s="464"/>
      <c r="T38" s="460"/>
      <c r="U38" s="460"/>
      <c r="V38" s="460"/>
      <c r="W38" s="464"/>
      <c r="X38" s="460"/>
      <c r="Y38" s="461"/>
      <c r="Z38" s="461"/>
      <c r="AA38" s="460"/>
    </row>
    <row r="39" spans="2:27" ht="21.5" customHeight="1">
      <c r="B39" s="396" t="s">
        <v>531</v>
      </c>
      <c r="C39" s="459"/>
      <c r="D39" s="460"/>
      <c r="E39" s="460"/>
      <c r="F39" s="460"/>
      <c r="G39" s="460"/>
      <c r="H39" s="460"/>
      <c r="I39" s="460"/>
      <c r="J39" s="460"/>
      <c r="K39" s="460"/>
      <c r="L39" s="460"/>
      <c r="M39" s="460"/>
      <c r="N39" s="460"/>
      <c r="O39" s="460"/>
      <c r="P39" s="460"/>
      <c r="Q39" s="460"/>
      <c r="R39" s="460"/>
      <c r="S39" s="464"/>
      <c r="T39" s="460"/>
      <c r="U39" s="460"/>
      <c r="V39" s="460"/>
      <c r="W39" s="464"/>
      <c r="X39" s="460"/>
      <c r="Y39" s="461"/>
      <c r="Z39" s="461"/>
      <c r="AA39" s="460"/>
    </row>
    <row r="40" spans="2:27" ht="21.5" customHeight="1">
      <c r="B40" s="462" t="s">
        <v>281</v>
      </c>
      <c r="C40" s="459"/>
      <c r="D40" s="460"/>
      <c r="E40" s="460" t="s">
        <v>194</v>
      </c>
      <c r="F40" s="460" t="s">
        <v>192</v>
      </c>
      <c r="G40" s="460" t="s">
        <v>194</v>
      </c>
      <c r="H40" s="460" t="s">
        <v>191</v>
      </c>
      <c r="I40" s="460" t="s">
        <v>194</v>
      </c>
      <c r="J40" s="460" t="s">
        <v>191</v>
      </c>
      <c r="K40" s="460"/>
      <c r="L40" s="460"/>
      <c r="M40" s="460"/>
      <c r="N40" s="460"/>
      <c r="O40" s="460"/>
      <c r="P40" s="460"/>
      <c r="Q40" s="460" t="s">
        <v>194</v>
      </c>
      <c r="R40" s="460" t="s">
        <v>194</v>
      </c>
      <c r="S40" s="460"/>
      <c r="T40" s="460" t="s">
        <v>194</v>
      </c>
      <c r="U40" s="460" t="s">
        <v>194</v>
      </c>
      <c r="V40" s="460"/>
      <c r="W40" s="460"/>
      <c r="X40" s="461" t="s">
        <v>191</v>
      </c>
      <c r="Y40" s="461" t="s">
        <v>191</v>
      </c>
      <c r="Z40" s="461" t="s">
        <v>191</v>
      </c>
      <c r="AA40" s="461" t="s">
        <v>194</v>
      </c>
    </row>
    <row r="41" spans="2:27" ht="21.5" customHeight="1">
      <c r="B41" s="462" t="s">
        <v>282</v>
      </c>
      <c r="C41" s="459"/>
      <c r="D41" s="460"/>
      <c r="E41" s="460" t="s">
        <v>194</v>
      </c>
      <c r="F41" s="460" t="s">
        <v>194</v>
      </c>
      <c r="G41" s="460" t="s">
        <v>192</v>
      </c>
      <c r="H41" s="460" t="s">
        <v>194</v>
      </c>
      <c r="I41" s="460" t="s">
        <v>191</v>
      </c>
      <c r="J41" s="460" t="s">
        <v>194</v>
      </c>
      <c r="K41" s="460"/>
      <c r="L41" s="460"/>
      <c r="M41" s="460"/>
      <c r="N41" s="460"/>
      <c r="O41" s="460"/>
      <c r="P41" s="460"/>
      <c r="Q41" s="460" t="s">
        <v>194</v>
      </c>
      <c r="R41" s="460" t="s">
        <v>191</v>
      </c>
      <c r="S41" s="460"/>
      <c r="T41" s="460" t="s">
        <v>191</v>
      </c>
      <c r="U41" s="460" t="s">
        <v>191</v>
      </c>
      <c r="V41" s="460"/>
      <c r="W41" s="460"/>
      <c r="X41" s="461" t="s">
        <v>194</v>
      </c>
      <c r="Y41" s="461" t="s">
        <v>191</v>
      </c>
      <c r="Z41" s="461" t="s">
        <v>191</v>
      </c>
      <c r="AA41" s="461" t="s">
        <v>192</v>
      </c>
    </row>
    <row r="42" spans="2:27" ht="21.5" customHeight="1">
      <c r="B42" s="462" t="s">
        <v>283</v>
      </c>
      <c r="C42" s="459"/>
      <c r="D42" s="460"/>
      <c r="E42" s="460" t="s">
        <v>192</v>
      </c>
      <c r="F42" s="460" t="s">
        <v>192</v>
      </c>
      <c r="G42" s="460" t="s">
        <v>191</v>
      </c>
      <c r="H42" s="460" t="s">
        <v>192</v>
      </c>
      <c r="I42" s="460" t="s">
        <v>192</v>
      </c>
      <c r="J42" s="460" t="s">
        <v>192</v>
      </c>
      <c r="K42" s="460"/>
      <c r="L42" s="460"/>
      <c r="M42" s="460"/>
      <c r="N42" s="460"/>
      <c r="O42" s="460"/>
      <c r="P42" s="460"/>
      <c r="Q42" s="460" t="s">
        <v>192</v>
      </c>
      <c r="R42" s="460" t="s">
        <v>192</v>
      </c>
      <c r="S42" s="460"/>
      <c r="T42" s="460" t="s">
        <v>192</v>
      </c>
      <c r="U42" s="460" t="s">
        <v>191</v>
      </c>
      <c r="V42" s="460"/>
      <c r="W42" s="460"/>
      <c r="X42" s="461" t="s">
        <v>191</v>
      </c>
      <c r="Y42" s="461" t="s">
        <v>191</v>
      </c>
      <c r="Z42" s="461" t="s">
        <v>191</v>
      </c>
      <c r="AA42" s="461" t="s">
        <v>191</v>
      </c>
    </row>
    <row r="43" spans="2:27" ht="21.5" customHeight="1">
      <c r="B43" s="400" t="s">
        <v>284</v>
      </c>
      <c r="E43" s="460" t="s">
        <v>191</v>
      </c>
      <c r="F43" s="460" t="s">
        <v>191</v>
      </c>
      <c r="G43" s="460" t="s">
        <v>193</v>
      </c>
      <c r="H43" s="460" t="s">
        <v>193</v>
      </c>
      <c r="I43" s="460" t="s">
        <v>193</v>
      </c>
      <c r="J43" s="460" t="s">
        <v>193</v>
      </c>
      <c r="K43" s="460"/>
      <c r="L43" s="460"/>
      <c r="M43" s="460"/>
      <c r="N43" s="460"/>
      <c r="O43" s="460"/>
      <c r="P43" s="460"/>
      <c r="Q43" s="460" t="s">
        <v>191</v>
      </c>
      <c r="R43" s="460" t="s">
        <v>192</v>
      </c>
      <c r="S43" s="460"/>
      <c r="T43" s="460" t="s">
        <v>193</v>
      </c>
      <c r="U43" s="460" t="s">
        <v>191</v>
      </c>
      <c r="V43" s="460"/>
      <c r="W43" s="460"/>
      <c r="X43" s="460" t="s">
        <v>193</v>
      </c>
      <c r="Y43" s="461" t="s">
        <v>191</v>
      </c>
      <c r="Z43" s="461" t="s">
        <v>191</v>
      </c>
      <c r="AA43" s="460" t="s">
        <v>193</v>
      </c>
    </row>
  </sheetData>
  <customSheetViews>
    <customSheetView guid="{FEB50EEF-352C-B844-A6F4-33499875B85A}" scale="90">
      <selection activeCell="D13" sqref="D13"/>
      <pageMargins left="0.7" right="0.7" top="0.75" bottom="0.75" header="0.3" footer="0.3"/>
    </customSheetView>
  </customSheetViews>
  <mergeCells count="3">
    <mergeCell ref="B4:B5"/>
    <mergeCell ref="C4:C5"/>
    <mergeCell ref="D4:D5"/>
  </mergeCells>
  <phoneticPr fontId="45" type="noConversion"/>
  <conditionalFormatting sqref="B2:D3 B4:Q4 E5:Q5 E6:AA14 E16:AA19">
    <cfRule type="containsErrors" dxfId="143" priority="58">
      <formula>ISERROR(B2)</formula>
    </cfRule>
  </conditionalFormatting>
  <conditionalFormatting sqref="C6:D14 C16:D19">
    <cfRule type="containsText" dxfId="142" priority="22" operator="containsText" text="2;1">
      <formula>NOT(ISERROR(SEARCH("2;1",C6)))</formula>
    </cfRule>
  </conditionalFormatting>
  <conditionalFormatting sqref="E6:AA14 E16:AA19">
    <cfRule type="cellIs" dxfId="141" priority="49" operator="between">
      <formula>0.69</formula>
      <formula>1</formula>
    </cfRule>
    <cfRule type="cellIs" dxfId="140" priority="50" operator="greaterThan">
      <formula>1</formula>
    </cfRule>
    <cfRule type="cellIs" dxfId="139" priority="55" operator="lessThan">
      <formula>0.7</formula>
    </cfRule>
  </conditionalFormatting>
  <conditionalFormatting sqref="R4:AA5">
    <cfRule type="containsErrors" dxfId="138" priority="30">
      <formula>ISERROR(R4)</formula>
    </cfRule>
  </conditionalFormatting>
  <conditionalFormatting sqref="E15:AA15">
    <cfRule type="containsErrors" dxfId="137" priority="8">
      <formula>ISERROR(E15)</formula>
    </cfRule>
  </conditionalFormatting>
  <conditionalFormatting sqref="E15:AA15">
    <cfRule type="cellIs" dxfId="136" priority="6" stopIfTrue="1" operator="greaterThan">
      <formula>1</formula>
    </cfRule>
    <cfRule type="cellIs" dxfId="135" priority="7" operator="lessThan">
      <formula>0.7</formula>
    </cfRule>
  </conditionalFormatting>
  <conditionalFormatting sqref="E20:AA20">
    <cfRule type="containsErrors" dxfId="134" priority="4">
      <formula>ISERROR(E20)</formula>
    </cfRule>
  </conditionalFormatting>
  <conditionalFormatting sqref="E20:AA20">
    <cfRule type="cellIs" dxfId="133" priority="2" stopIfTrue="1" operator="greaterThan">
      <formula>1</formula>
    </cfRule>
    <cfRule type="cellIs" dxfId="132" priority="3" operator="lessThan">
      <formula>0.7</formula>
    </cfRule>
  </conditionalFormatting>
  <pageMargins left="0.7" right="0.7" top="0.75" bottom="0.75" header="0.3" footer="0.3"/>
  <ignoredErrors>
    <ignoredError sqref="E16:U18 F19:U19 Z19 W16:X18 W19:X19 V16:V19 Z16:AA18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7A3CF-2938-0847-B8A5-47AC55BD49F5}">
  <dimension ref="A1:AL53"/>
  <sheetViews>
    <sheetView topLeftCell="A31" workbookViewId="0">
      <selection activeCell="AF49" sqref="AF49:AG49"/>
    </sheetView>
  </sheetViews>
  <sheetFormatPr baseColWidth="10" defaultRowHeight="16"/>
  <cols>
    <col min="1" max="1" width="10.83203125" style="61"/>
    <col min="2" max="2" width="12.6640625" style="61" bestFit="1" customWidth="1"/>
    <col min="3" max="3" width="32" style="61" bestFit="1" customWidth="1"/>
    <col min="4" max="4" width="6.1640625" style="64" customWidth="1"/>
    <col min="5" max="5" width="1.6640625" style="61" customWidth="1"/>
    <col min="6" max="6" width="7.5" style="64" bestFit="1" customWidth="1"/>
    <col min="7" max="7" width="1.83203125" style="61" bestFit="1" customWidth="1"/>
    <col min="8" max="8" width="8.1640625" style="64" bestFit="1" customWidth="1"/>
    <col min="9" max="9" width="6.33203125" style="64" bestFit="1" customWidth="1"/>
    <col min="10" max="10" width="1.6640625" style="61" customWidth="1"/>
    <col min="11" max="11" width="6.33203125" style="64" bestFit="1" customWidth="1"/>
    <col min="12" max="12" width="1.83203125" style="61" bestFit="1" customWidth="1"/>
    <col min="13" max="13" width="6.5" style="64" bestFit="1" customWidth="1"/>
    <col min="14" max="14" width="6.33203125" style="61" bestFit="1" customWidth="1"/>
    <col min="15" max="15" width="1.6640625" style="61" customWidth="1"/>
    <col min="16" max="16" width="6.33203125" style="61" customWidth="1"/>
    <col min="17" max="17" width="1.83203125" style="61" bestFit="1" customWidth="1"/>
    <col min="18" max="18" width="6.5" style="64" bestFit="1" customWidth="1"/>
    <col min="19" max="19" width="6.1640625" style="61" customWidth="1"/>
    <col min="20" max="20" width="1.6640625" style="61" customWidth="1"/>
    <col min="21" max="21" width="6.33203125" style="61" bestFit="1" customWidth="1"/>
    <col min="22" max="22" width="1.83203125" style="61" bestFit="1" customWidth="1"/>
    <col min="23" max="23" width="6.5" style="64" bestFit="1" customWidth="1"/>
    <col min="24" max="24" width="6.1640625" style="61" customWidth="1"/>
    <col min="25" max="25" width="1.6640625" style="61" customWidth="1"/>
    <col min="26" max="26" width="6.33203125" style="61" bestFit="1" customWidth="1"/>
    <col min="27" max="27" width="1.83203125" style="61" bestFit="1" customWidth="1"/>
    <col min="28" max="28" width="8.5" style="64" bestFit="1" customWidth="1"/>
    <col min="29" max="29" width="6.1640625" style="61" customWidth="1"/>
    <col min="30" max="30" width="1.6640625" style="61" customWidth="1"/>
    <col min="31" max="31" width="7.33203125" style="61" bestFit="1" customWidth="1"/>
    <col min="32" max="32" width="1.83203125" style="61" bestFit="1" customWidth="1"/>
    <col min="33" max="33" width="6.5" style="64" customWidth="1"/>
    <col min="34" max="16384" width="10.83203125" style="61"/>
  </cols>
  <sheetData>
    <row r="1" spans="2:38" ht="32" customHeight="1" thickBot="1">
      <c r="B1" s="844" t="s">
        <v>375</v>
      </c>
      <c r="C1" s="845"/>
      <c r="D1" s="845"/>
      <c r="E1" s="845"/>
      <c r="F1" s="845"/>
      <c r="G1" s="845"/>
      <c r="H1" s="845"/>
      <c r="I1" s="845"/>
      <c r="J1" s="845"/>
      <c r="K1" s="845"/>
      <c r="L1" s="845"/>
      <c r="M1" s="845"/>
      <c r="N1" s="845"/>
      <c r="O1" s="845"/>
      <c r="P1" s="845"/>
      <c r="Q1" s="845"/>
      <c r="R1" s="845"/>
      <c r="S1" s="845"/>
      <c r="T1" s="845"/>
      <c r="U1" s="845"/>
      <c r="V1" s="845"/>
      <c r="W1" s="845"/>
      <c r="X1" s="845"/>
      <c r="Y1" s="845"/>
      <c r="Z1" s="845"/>
      <c r="AA1" s="845"/>
      <c r="AB1" s="845"/>
      <c r="AC1" s="845"/>
      <c r="AD1" s="845"/>
      <c r="AE1" s="845"/>
      <c r="AF1" s="845"/>
      <c r="AG1" s="846"/>
      <c r="AI1" s="367" t="s">
        <v>38</v>
      </c>
      <c r="AJ1" s="368">
        <v>46143</v>
      </c>
      <c r="AK1" s="363" t="s">
        <v>39</v>
      </c>
      <c r="AL1" s="364">
        <v>31</v>
      </c>
    </row>
    <row r="2" spans="2:38" s="275" customFormat="1" ht="18">
      <c r="B2" s="871" t="s">
        <v>304</v>
      </c>
      <c r="C2" s="873" t="s">
        <v>303</v>
      </c>
      <c r="D2" s="823" t="s">
        <v>295</v>
      </c>
      <c r="E2" s="823"/>
      <c r="F2" s="823"/>
      <c r="G2" s="823"/>
      <c r="H2" s="824"/>
      <c r="I2" s="832" t="s">
        <v>298</v>
      </c>
      <c r="J2" s="833"/>
      <c r="K2" s="833"/>
      <c r="L2" s="833"/>
      <c r="M2" s="834"/>
      <c r="N2" s="838" t="s">
        <v>299</v>
      </c>
      <c r="O2" s="838"/>
      <c r="P2" s="838"/>
      <c r="Q2" s="838"/>
      <c r="R2" s="838"/>
      <c r="S2" s="840" t="s">
        <v>300</v>
      </c>
      <c r="T2" s="838"/>
      <c r="U2" s="838"/>
      <c r="V2" s="838"/>
      <c r="W2" s="841"/>
      <c r="X2" s="833" t="s">
        <v>301</v>
      </c>
      <c r="Y2" s="833"/>
      <c r="Z2" s="833"/>
      <c r="AA2" s="833"/>
      <c r="AB2" s="833"/>
      <c r="AC2" s="865" t="s">
        <v>302</v>
      </c>
      <c r="AD2" s="866"/>
      <c r="AE2" s="866"/>
      <c r="AF2" s="866"/>
      <c r="AG2" s="867"/>
      <c r="AI2" s="367" t="s">
        <v>40</v>
      </c>
      <c r="AJ2" s="369">
        <v>46145</v>
      </c>
      <c r="AK2" s="365" t="s">
        <v>36</v>
      </c>
      <c r="AL2" s="366">
        <v>28</v>
      </c>
    </row>
    <row r="3" spans="2:38">
      <c r="B3" s="872"/>
      <c r="C3" s="874"/>
      <c r="D3" s="828" t="s">
        <v>296</v>
      </c>
      <c r="E3" s="828"/>
      <c r="F3" s="828"/>
      <c r="G3" s="828"/>
      <c r="H3" s="829"/>
      <c r="I3" s="835" t="s">
        <v>296</v>
      </c>
      <c r="J3" s="836"/>
      <c r="K3" s="836"/>
      <c r="L3" s="836"/>
      <c r="M3" s="837"/>
      <c r="N3" s="839" t="s">
        <v>296</v>
      </c>
      <c r="O3" s="839"/>
      <c r="P3" s="839"/>
      <c r="Q3" s="839"/>
      <c r="R3" s="839"/>
      <c r="S3" s="842" t="s">
        <v>296</v>
      </c>
      <c r="T3" s="839"/>
      <c r="U3" s="839"/>
      <c r="V3" s="839"/>
      <c r="W3" s="843"/>
      <c r="X3" s="836" t="s">
        <v>296</v>
      </c>
      <c r="Y3" s="836"/>
      <c r="Z3" s="836"/>
      <c r="AA3" s="836"/>
      <c r="AB3" s="836"/>
      <c r="AC3" s="868" t="s">
        <v>296</v>
      </c>
      <c r="AD3" s="869"/>
      <c r="AE3" s="869"/>
      <c r="AF3" s="869"/>
      <c r="AG3" s="870"/>
    </row>
    <row r="4" spans="2:38" ht="17" customHeight="1">
      <c r="B4" s="830" t="s">
        <v>289</v>
      </c>
      <c r="C4" s="291" t="s">
        <v>56</v>
      </c>
      <c r="D4" s="283">
        <v>1225.5899999999999</v>
      </c>
      <c r="E4" s="272" t="s">
        <v>297</v>
      </c>
      <c r="F4" s="283">
        <v>1200</v>
      </c>
      <c r="G4" s="274" t="s">
        <v>294</v>
      </c>
      <c r="H4" s="277">
        <v>1.021325</v>
      </c>
      <c r="I4" s="284">
        <v>152</v>
      </c>
      <c r="J4" s="283" t="s">
        <v>297</v>
      </c>
      <c r="K4" s="283">
        <v>320</v>
      </c>
      <c r="L4" s="287" t="s">
        <v>294</v>
      </c>
      <c r="M4" s="277">
        <v>0.47499999999999998</v>
      </c>
      <c r="N4" s="286">
        <v>326.23</v>
      </c>
      <c r="O4" s="283" t="s">
        <v>297</v>
      </c>
      <c r="P4" s="283">
        <v>300</v>
      </c>
      <c r="Q4" s="287" t="s">
        <v>294</v>
      </c>
      <c r="R4" s="277">
        <v>1.0874333333333335</v>
      </c>
      <c r="S4" s="276">
        <v>322.13</v>
      </c>
      <c r="T4" s="272" t="s">
        <v>297</v>
      </c>
      <c r="U4" s="273">
        <v>300</v>
      </c>
      <c r="V4" s="274" t="s">
        <v>294</v>
      </c>
      <c r="W4" s="277">
        <v>1.0737666666666668</v>
      </c>
      <c r="X4" s="276">
        <v>328.89</v>
      </c>
      <c r="Y4" s="272" t="s">
        <v>297</v>
      </c>
      <c r="Z4" s="273">
        <v>300</v>
      </c>
      <c r="AA4" s="274" t="s">
        <v>294</v>
      </c>
      <c r="AB4" s="277">
        <v>1.0963000000000001</v>
      </c>
      <c r="AC4" s="276"/>
      <c r="AD4" s="272" t="s">
        <v>297</v>
      </c>
      <c r="AE4" s="273"/>
      <c r="AF4" s="274" t="s">
        <v>294</v>
      </c>
      <c r="AG4" s="277"/>
    </row>
    <row r="5" spans="2:38" ht="17" customHeight="1">
      <c r="B5" s="831"/>
      <c r="C5" s="292" t="s">
        <v>60</v>
      </c>
      <c r="D5" s="283">
        <v>866.88</v>
      </c>
      <c r="E5" s="272" t="s">
        <v>297</v>
      </c>
      <c r="F5" s="283">
        <v>1080</v>
      </c>
      <c r="G5" s="274" t="s">
        <v>294</v>
      </c>
      <c r="H5" s="277">
        <v>0.80266666666666664</v>
      </c>
      <c r="I5" s="284">
        <v>142</v>
      </c>
      <c r="J5" s="283" t="s">
        <v>297</v>
      </c>
      <c r="K5" s="283">
        <v>272</v>
      </c>
      <c r="L5" s="287" t="s">
        <v>294</v>
      </c>
      <c r="M5" s="277">
        <v>0.5220588235294118</v>
      </c>
      <c r="N5" s="286">
        <v>273.70999999999998</v>
      </c>
      <c r="O5" s="283" t="s">
        <v>297</v>
      </c>
      <c r="P5" s="283">
        <v>255</v>
      </c>
      <c r="Q5" s="287" t="s">
        <v>294</v>
      </c>
      <c r="R5" s="277">
        <v>1.0733725490196078</v>
      </c>
      <c r="S5" s="276">
        <v>177.89000000000004</v>
      </c>
      <c r="T5" s="272" t="s">
        <v>297</v>
      </c>
      <c r="U5" s="273">
        <v>270</v>
      </c>
      <c r="V5" s="274" t="s">
        <v>294</v>
      </c>
      <c r="W5" s="277">
        <v>0.65885185185185202</v>
      </c>
      <c r="X5" s="276">
        <v>197.55999999999995</v>
      </c>
      <c r="Y5" s="272" t="s">
        <v>297</v>
      </c>
      <c r="Z5" s="273">
        <v>270</v>
      </c>
      <c r="AA5" s="274" t="s">
        <v>294</v>
      </c>
      <c r="AB5" s="277">
        <v>0.73170370370370352</v>
      </c>
      <c r="AC5" s="276"/>
      <c r="AD5" s="272" t="s">
        <v>297</v>
      </c>
      <c r="AE5" s="273"/>
      <c r="AF5" s="274" t="s">
        <v>294</v>
      </c>
      <c r="AG5" s="277"/>
    </row>
    <row r="6" spans="2:38" ht="17" customHeight="1">
      <c r="B6" s="831"/>
      <c r="C6" s="292" t="s">
        <v>57</v>
      </c>
      <c r="D6" s="283">
        <v>830.58</v>
      </c>
      <c r="E6" s="272" t="s">
        <v>297</v>
      </c>
      <c r="F6" s="283">
        <v>1080</v>
      </c>
      <c r="G6" s="274" t="s">
        <v>294</v>
      </c>
      <c r="H6" s="277">
        <v>0.7690555555555556</v>
      </c>
      <c r="I6" s="284">
        <v>140</v>
      </c>
      <c r="J6" s="283" t="s">
        <v>297</v>
      </c>
      <c r="K6" s="283">
        <v>272</v>
      </c>
      <c r="L6" s="287" t="s">
        <v>294</v>
      </c>
      <c r="M6" s="277">
        <v>0.51470588235294112</v>
      </c>
      <c r="N6" s="286">
        <v>260.86</v>
      </c>
      <c r="O6" s="283" t="s">
        <v>297</v>
      </c>
      <c r="P6" s="283">
        <v>255</v>
      </c>
      <c r="Q6" s="287" t="s">
        <v>294</v>
      </c>
      <c r="R6" s="277">
        <v>1.0229803921568628</v>
      </c>
      <c r="S6" s="276">
        <v>139.26</v>
      </c>
      <c r="T6" s="272" t="s">
        <v>297</v>
      </c>
      <c r="U6" s="273">
        <v>270</v>
      </c>
      <c r="V6" s="274" t="s">
        <v>294</v>
      </c>
      <c r="W6" s="277">
        <v>0.51577777777777778</v>
      </c>
      <c r="X6" s="276">
        <v>175.68999999999994</v>
      </c>
      <c r="Y6" s="272" t="s">
        <v>297</v>
      </c>
      <c r="Z6" s="273">
        <v>270</v>
      </c>
      <c r="AA6" s="274" t="s">
        <v>294</v>
      </c>
      <c r="AB6" s="277">
        <v>0.65070370370370345</v>
      </c>
      <c r="AC6" s="276"/>
      <c r="AD6" s="272" t="s">
        <v>297</v>
      </c>
      <c r="AE6" s="273"/>
      <c r="AF6" s="274" t="s">
        <v>294</v>
      </c>
      <c r="AG6" s="277"/>
    </row>
    <row r="7" spans="2:38" ht="17" customHeight="1">
      <c r="B7" s="831"/>
      <c r="C7" s="292" t="s">
        <v>151</v>
      </c>
      <c r="D7" s="283">
        <v>676.76</v>
      </c>
      <c r="E7" s="272" t="s">
        <v>297</v>
      </c>
      <c r="F7" s="283">
        <v>900</v>
      </c>
      <c r="G7" s="274" t="s">
        <v>294</v>
      </c>
      <c r="H7" s="277">
        <v>0.7519555555555556</v>
      </c>
      <c r="I7" s="284">
        <v>53</v>
      </c>
      <c r="J7" s="283" t="s">
        <v>297</v>
      </c>
      <c r="K7" s="283">
        <v>208</v>
      </c>
      <c r="L7" s="287" t="s">
        <v>294</v>
      </c>
      <c r="M7" s="277">
        <v>0.25480769230769229</v>
      </c>
      <c r="N7" s="286">
        <v>204.20999999999998</v>
      </c>
      <c r="O7" s="283" t="s">
        <v>297</v>
      </c>
      <c r="P7" s="283">
        <v>225</v>
      </c>
      <c r="Q7" s="287" t="s">
        <v>294</v>
      </c>
      <c r="R7" s="277">
        <v>0.90759999999999996</v>
      </c>
      <c r="S7" s="276">
        <v>156.14000000000004</v>
      </c>
      <c r="T7" s="272" t="s">
        <v>297</v>
      </c>
      <c r="U7" s="273">
        <v>225</v>
      </c>
      <c r="V7" s="274" t="s">
        <v>294</v>
      </c>
      <c r="W7" s="277">
        <v>0.69395555555555577</v>
      </c>
      <c r="X7" s="276">
        <v>182.62</v>
      </c>
      <c r="Y7" s="272" t="s">
        <v>297</v>
      </c>
      <c r="Z7" s="273">
        <v>225</v>
      </c>
      <c r="AA7" s="274" t="s">
        <v>294</v>
      </c>
      <c r="AB7" s="277">
        <v>0.8116444444444445</v>
      </c>
      <c r="AC7" s="276"/>
      <c r="AD7" s="272" t="s">
        <v>297</v>
      </c>
      <c r="AE7" s="273"/>
      <c r="AF7" s="274" t="s">
        <v>294</v>
      </c>
      <c r="AG7" s="277"/>
    </row>
    <row r="8" spans="2:38" ht="17" customHeight="1">
      <c r="B8" s="890" t="s">
        <v>290</v>
      </c>
      <c r="C8" s="292" t="s">
        <v>15</v>
      </c>
      <c r="D8" s="283">
        <v>649.12</v>
      </c>
      <c r="E8" s="272" t="s">
        <v>297</v>
      </c>
      <c r="F8" s="283">
        <v>900</v>
      </c>
      <c r="G8" s="274" t="s">
        <v>294</v>
      </c>
      <c r="H8" s="277">
        <v>0.72124444444444447</v>
      </c>
      <c r="I8" s="284">
        <v>162</v>
      </c>
      <c r="J8" s="283" t="s">
        <v>297</v>
      </c>
      <c r="K8" s="283">
        <v>208</v>
      </c>
      <c r="L8" s="287" t="s">
        <v>294</v>
      </c>
      <c r="M8" s="277">
        <v>0.77884615384615385</v>
      </c>
      <c r="N8" s="286">
        <v>155.67000000000002</v>
      </c>
      <c r="O8" s="283" t="s">
        <v>297</v>
      </c>
      <c r="P8" s="283">
        <v>225</v>
      </c>
      <c r="Q8" s="287" t="s">
        <v>294</v>
      </c>
      <c r="R8" s="277">
        <v>0.69186666666666674</v>
      </c>
      <c r="S8" s="276">
        <v>126.08999999999997</v>
      </c>
      <c r="T8" s="272" t="s">
        <v>297</v>
      </c>
      <c r="U8" s="273">
        <v>225</v>
      </c>
      <c r="V8" s="274" t="s">
        <v>294</v>
      </c>
      <c r="W8" s="277">
        <v>0.5603999999999999</v>
      </c>
      <c r="X8" s="276">
        <v>120.20000000000005</v>
      </c>
      <c r="Y8" s="272" t="s">
        <v>297</v>
      </c>
      <c r="Z8" s="273">
        <v>225</v>
      </c>
      <c r="AA8" s="274" t="s">
        <v>294</v>
      </c>
      <c r="AB8" s="277">
        <v>0.53422222222222238</v>
      </c>
      <c r="AC8" s="276"/>
      <c r="AD8" s="272" t="s">
        <v>297</v>
      </c>
      <c r="AE8" s="273"/>
      <c r="AF8" s="274" t="s">
        <v>294</v>
      </c>
      <c r="AG8" s="277"/>
    </row>
    <row r="9" spans="2:38" ht="17" customHeight="1">
      <c r="B9" s="890"/>
      <c r="C9" s="292" t="s">
        <v>150</v>
      </c>
      <c r="D9" s="283">
        <v>763.04</v>
      </c>
      <c r="E9" s="272" t="s">
        <v>297</v>
      </c>
      <c r="F9" s="283">
        <v>840.00000000000011</v>
      </c>
      <c r="G9" s="274" t="s">
        <v>294</v>
      </c>
      <c r="H9" s="277">
        <v>0.90838095238095218</v>
      </c>
      <c r="I9" s="284">
        <v>103</v>
      </c>
      <c r="J9" s="283" t="s">
        <v>297</v>
      </c>
      <c r="K9" s="283">
        <v>208</v>
      </c>
      <c r="L9" s="287" t="s">
        <v>294</v>
      </c>
      <c r="M9" s="277">
        <v>0.49519230769230771</v>
      </c>
      <c r="N9" s="286">
        <v>229.51999999999998</v>
      </c>
      <c r="O9" s="283" t="s">
        <v>297</v>
      </c>
      <c r="P9" s="283">
        <v>195</v>
      </c>
      <c r="Q9" s="287" t="s">
        <v>294</v>
      </c>
      <c r="R9" s="277">
        <v>1.177025641025641</v>
      </c>
      <c r="S9" s="276">
        <v>156.68</v>
      </c>
      <c r="T9" s="272" t="s">
        <v>297</v>
      </c>
      <c r="U9" s="273">
        <v>210</v>
      </c>
      <c r="V9" s="274" t="s">
        <v>294</v>
      </c>
      <c r="W9" s="277">
        <v>0.74609523809523814</v>
      </c>
      <c r="X9" s="276">
        <v>166.52000000000004</v>
      </c>
      <c r="Y9" s="272" t="s">
        <v>297</v>
      </c>
      <c r="Z9" s="273">
        <v>210</v>
      </c>
      <c r="AA9" s="274" t="s">
        <v>294</v>
      </c>
      <c r="AB9" s="277">
        <v>0.79295238095238119</v>
      </c>
      <c r="AC9" s="276"/>
      <c r="AD9" s="272" t="s">
        <v>297</v>
      </c>
      <c r="AE9" s="273"/>
      <c r="AF9" s="274" t="s">
        <v>294</v>
      </c>
      <c r="AG9" s="277"/>
    </row>
    <row r="10" spans="2:38" ht="17" customHeight="1">
      <c r="B10" s="890"/>
      <c r="C10" s="292" t="s">
        <v>293</v>
      </c>
      <c r="D10" s="283">
        <v>0</v>
      </c>
      <c r="E10" s="272" t="s">
        <v>297</v>
      </c>
      <c r="F10" s="283">
        <v>0</v>
      </c>
      <c r="G10" s="274" t="s">
        <v>294</v>
      </c>
      <c r="H10" s="277"/>
      <c r="I10" s="284"/>
      <c r="J10" s="283" t="s">
        <v>297</v>
      </c>
      <c r="K10" s="283"/>
      <c r="L10" s="287" t="s">
        <v>294</v>
      </c>
      <c r="M10" s="277"/>
      <c r="N10" s="286"/>
      <c r="O10" s="283" t="s">
        <v>297</v>
      </c>
      <c r="P10" s="283"/>
      <c r="Q10" s="287" t="s">
        <v>294</v>
      </c>
      <c r="R10" s="277"/>
      <c r="S10" s="276">
        <v>0</v>
      </c>
      <c r="T10" s="272" t="s">
        <v>297</v>
      </c>
      <c r="U10" s="273"/>
      <c r="V10" s="274" t="s">
        <v>294</v>
      </c>
      <c r="W10" s="277"/>
      <c r="X10" s="276">
        <v>0</v>
      </c>
      <c r="Y10" s="272" t="s">
        <v>297</v>
      </c>
      <c r="Z10" s="273"/>
      <c r="AA10" s="274" t="s">
        <v>294</v>
      </c>
      <c r="AB10" s="277"/>
      <c r="AC10" s="276"/>
      <c r="AD10" s="272" t="s">
        <v>297</v>
      </c>
      <c r="AE10" s="273"/>
      <c r="AF10" s="274" t="s">
        <v>294</v>
      </c>
      <c r="AG10" s="277"/>
    </row>
    <row r="11" spans="2:38" ht="17" customHeight="1">
      <c r="B11" s="825" t="s">
        <v>288</v>
      </c>
      <c r="C11" s="293" t="s">
        <v>281</v>
      </c>
      <c r="D11" s="283">
        <v>928.67</v>
      </c>
      <c r="E11" s="272" t="s">
        <v>297</v>
      </c>
      <c r="F11" s="283">
        <v>1200</v>
      </c>
      <c r="G11" s="274" t="s">
        <v>294</v>
      </c>
      <c r="H11" s="277">
        <v>0.77389166666666664</v>
      </c>
      <c r="I11" s="284">
        <v>116</v>
      </c>
      <c r="J11" s="283" t="s">
        <v>297</v>
      </c>
      <c r="K11" s="283">
        <v>300</v>
      </c>
      <c r="L11" s="287" t="s">
        <v>294</v>
      </c>
      <c r="M11" s="277">
        <v>0.38666666666666666</v>
      </c>
      <c r="N11" s="286">
        <v>91.78</v>
      </c>
      <c r="O11" s="283" t="s">
        <v>297</v>
      </c>
      <c r="P11" s="283">
        <v>300</v>
      </c>
      <c r="Q11" s="287" t="s">
        <v>294</v>
      </c>
      <c r="R11" s="277">
        <v>0.30593333333333333</v>
      </c>
      <c r="S11" s="276">
        <v>201.78</v>
      </c>
      <c r="T11" s="272" t="s">
        <v>297</v>
      </c>
      <c r="U11" s="283">
        <v>300</v>
      </c>
      <c r="V11" s="274" t="s">
        <v>294</v>
      </c>
      <c r="W11" s="277">
        <v>0.67259999999999998</v>
      </c>
      <c r="X11" s="276">
        <v>440.25</v>
      </c>
      <c r="Y11" s="272" t="s">
        <v>297</v>
      </c>
      <c r="Z11" s="273">
        <v>270</v>
      </c>
      <c r="AA11" s="274" t="s">
        <v>294</v>
      </c>
      <c r="AB11" s="277">
        <v>1.6305555555555555</v>
      </c>
      <c r="AC11" s="276"/>
      <c r="AD11" s="272" t="s">
        <v>297</v>
      </c>
      <c r="AE11" s="273"/>
      <c r="AF11" s="274" t="s">
        <v>294</v>
      </c>
      <c r="AG11" s="277"/>
    </row>
    <row r="12" spans="2:38" ht="17" customHeight="1">
      <c r="B12" s="825"/>
      <c r="C12" s="293" t="s">
        <v>282</v>
      </c>
      <c r="D12" s="283">
        <v>1205.4000000000001</v>
      </c>
      <c r="E12" s="272" t="s">
        <v>297</v>
      </c>
      <c r="F12" s="283">
        <v>1400</v>
      </c>
      <c r="G12" s="274" t="s">
        <v>294</v>
      </c>
      <c r="H12" s="277">
        <v>0.8610000000000001</v>
      </c>
      <c r="I12" s="284">
        <v>138</v>
      </c>
      <c r="J12" s="283" t="s">
        <v>297</v>
      </c>
      <c r="K12" s="283">
        <v>350</v>
      </c>
      <c r="L12" s="287" t="s">
        <v>294</v>
      </c>
      <c r="M12" s="277">
        <v>0.39428571428571429</v>
      </c>
      <c r="N12" s="286">
        <v>239.76</v>
      </c>
      <c r="O12" s="283" t="s">
        <v>297</v>
      </c>
      <c r="P12" s="283">
        <v>350</v>
      </c>
      <c r="Q12" s="287" t="s">
        <v>294</v>
      </c>
      <c r="R12" s="277">
        <v>0.68502857142857143</v>
      </c>
      <c r="S12" s="276">
        <v>293.89</v>
      </c>
      <c r="T12" s="272" t="s">
        <v>297</v>
      </c>
      <c r="U12" s="283">
        <v>350</v>
      </c>
      <c r="V12" s="274" t="s">
        <v>294</v>
      </c>
      <c r="W12" s="277">
        <v>0.83968571428571426</v>
      </c>
      <c r="X12" s="276">
        <v>312.99</v>
      </c>
      <c r="Y12" s="272" t="s">
        <v>297</v>
      </c>
      <c r="Z12" s="273">
        <v>315</v>
      </c>
      <c r="AA12" s="274" t="s">
        <v>294</v>
      </c>
      <c r="AB12" s="277">
        <v>0.99361904761904762</v>
      </c>
      <c r="AC12" s="276"/>
      <c r="AD12" s="272" t="s">
        <v>297</v>
      </c>
      <c r="AE12" s="273"/>
      <c r="AF12" s="274" t="s">
        <v>294</v>
      </c>
      <c r="AG12" s="277"/>
    </row>
    <row r="13" spans="2:38" ht="17" customHeight="1">
      <c r="B13" s="825"/>
      <c r="C13" s="293" t="s">
        <v>283</v>
      </c>
      <c r="D13" s="283">
        <v>928.29</v>
      </c>
      <c r="E13" s="272" t="s">
        <v>297</v>
      </c>
      <c r="F13" s="283">
        <v>1400</v>
      </c>
      <c r="G13" s="274" t="s">
        <v>294</v>
      </c>
      <c r="H13" s="277">
        <v>0.66306428571428566</v>
      </c>
      <c r="I13" s="284">
        <v>131</v>
      </c>
      <c r="J13" s="283" t="s">
        <v>297</v>
      </c>
      <c r="K13" s="283">
        <v>350</v>
      </c>
      <c r="L13" s="287" t="s">
        <v>294</v>
      </c>
      <c r="M13" s="277">
        <v>0.37428571428571428</v>
      </c>
      <c r="N13" s="286">
        <v>163.05000000000001</v>
      </c>
      <c r="O13" s="283" t="s">
        <v>297</v>
      </c>
      <c r="P13" s="283">
        <v>350</v>
      </c>
      <c r="Q13" s="287" t="s">
        <v>294</v>
      </c>
      <c r="R13" s="277">
        <v>0.46585714285714291</v>
      </c>
      <c r="S13" s="276">
        <v>222.57999999999998</v>
      </c>
      <c r="T13" s="272" t="s">
        <v>297</v>
      </c>
      <c r="U13" s="283">
        <v>350</v>
      </c>
      <c r="V13" s="274" t="s">
        <v>294</v>
      </c>
      <c r="W13" s="277">
        <v>0.63594285714285714</v>
      </c>
      <c r="X13" s="276">
        <v>163.06000000000006</v>
      </c>
      <c r="Y13" s="272" t="s">
        <v>297</v>
      </c>
      <c r="Z13" s="273">
        <v>315</v>
      </c>
      <c r="AA13" s="274" t="s">
        <v>294</v>
      </c>
      <c r="AB13" s="277">
        <v>0.51765079365079381</v>
      </c>
      <c r="AC13" s="276"/>
      <c r="AD13" s="272" t="s">
        <v>297</v>
      </c>
      <c r="AE13" s="273"/>
      <c r="AF13" s="274" t="s">
        <v>294</v>
      </c>
      <c r="AG13" s="277"/>
    </row>
    <row r="14" spans="2:38" ht="17" customHeight="1">
      <c r="B14" s="826" t="s">
        <v>291</v>
      </c>
      <c r="C14" s="293" t="s">
        <v>284</v>
      </c>
      <c r="D14" s="283">
        <v>0</v>
      </c>
      <c r="E14" s="272" t="s">
        <v>297</v>
      </c>
      <c r="F14" s="283">
        <v>0</v>
      </c>
      <c r="G14" s="274" t="s">
        <v>294</v>
      </c>
      <c r="H14" s="277"/>
      <c r="I14" s="284"/>
      <c r="J14" s="283" t="s">
        <v>297</v>
      </c>
      <c r="K14" s="283"/>
      <c r="L14" s="287" t="s">
        <v>294</v>
      </c>
      <c r="M14" s="277"/>
      <c r="N14" s="286"/>
      <c r="O14" s="283" t="s">
        <v>297</v>
      </c>
      <c r="P14" s="283"/>
      <c r="Q14" s="287" t="s">
        <v>294</v>
      </c>
      <c r="R14" s="277"/>
      <c r="S14" s="276">
        <v>0</v>
      </c>
      <c r="T14" s="272" t="s">
        <v>297</v>
      </c>
      <c r="U14" s="273"/>
      <c r="V14" s="274" t="s">
        <v>294</v>
      </c>
      <c r="W14" s="277"/>
      <c r="X14" s="276">
        <v>0</v>
      </c>
      <c r="Y14" s="272" t="s">
        <v>297</v>
      </c>
      <c r="Z14" s="273"/>
      <c r="AA14" s="274" t="s">
        <v>294</v>
      </c>
      <c r="AB14" s="277"/>
      <c r="AC14" s="276"/>
      <c r="AD14" s="272" t="s">
        <v>297</v>
      </c>
      <c r="AE14" s="273"/>
      <c r="AF14" s="274" t="s">
        <v>294</v>
      </c>
      <c r="AG14" s="277"/>
    </row>
    <row r="15" spans="2:38" ht="21" customHeight="1">
      <c r="B15" s="826"/>
      <c r="C15" s="347" t="s">
        <v>292</v>
      </c>
      <c r="D15" s="352">
        <v>5011.9699999999993</v>
      </c>
      <c r="E15" s="349" t="s">
        <v>297</v>
      </c>
      <c r="F15" s="352">
        <v>6000</v>
      </c>
      <c r="G15" s="350" t="s">
        <v>294</v>
      </c>
      <c r="H15" s="351">
        <v>0.83532833333333323</v>
      </c>
      <c r="I15" s="352">
        <v>752</v>
      </c>
      <c r="J15" s="349" t="s">
        <v>297</v>
      </c>
      <c r="K15" s="352">
        <v>1488</v>
      </c>
      <c r="L15" s="350" t="s">
        <v>294</v>
      </c>
      <c r="M15" s="351">
        <v>0.5053763440860215</v>
      </c>
      <c r="N15" s="348">
        <v>1450.2</v>
      </c>
      <c r="O15" s="349" t="s">
        <v>297</v>
      </c>
      <c r="P15" s="352">
        <v>1455</v>
      </c>
      <c r="Q15" s="350" t="s">
        <v>294</v>
      </c>
      <c r="R15" s="351">
        <v>0.99670103092783513</v>
      </c>
      <c r="S15" s="348">
        <v>1078.19</v>
      </c>
      <c r="T15" s="349" t="s">
        <v>297</v>
      </c>
      <c r="U15" s="352">
        <v>1500</v>
      </c>
      <c r="V15" s="350" t="s">
        <v>294</v>
      </c>
      <c r="W15" s="351">
        <v>0.7187933333333334</v>
      </c>
      <c r="X15" s="348">
        <v>1171.48</v>
      </c>
      <c r="Y15" s="349" t="s">
        <v>297</v>
      </c>
      <c r="Z15" s="352">
        <v>1500</v>
      </c>
      <c r="AA15" s="350"/>
      <c r="AB15" s="351">
        <v>0.78098666666666672</v>
      </c>
      <c r="AC15" s="353"/>
      <c r="AD15" s="349"/>
      <c r="AE15" s="354"/>
      <c r="AF15" s="350"/>
      <c r="AG15" s="351"/>
    </row>
    <row r="16" spans="2:38" ht="21" customHeight="1">
      <c r="B16" s="826"/>
      <c r="C16" s="355" t="s">
        <v>288</v>
      </c>
      <c r="D16" s="360">
        <v>3062.36</v>
      </c>
      <c r="E16" s="357" t="s">
        <v>297</v>
      </c>
      <c r="F16" s="360">
        <v>4000</v>
      </c>
      <c r="G16" s="358" t="s">
        <v>294</v>
      </c>
      <c r="H16" s="359">
        <v>0.76558999999999999</v>
      </c>
      <c r="I16" s="360">
        <v>385</v>
      </c>
      <c r="J16" s="357" t="s">
        <v>297</v>
      </c>
      <c r="K16" s="360">
        <v>1000</v>
      </c>
      <c r="L16" s="358" t="s">
        <v>294</v>
      </c>
      <c r="M16" s="359">
        <v>0.38500000000000001</v>
      </c>
      <c r="N16" s="356">
        <v>494.59</v>
      </c>
      <c r="O16" s="357" t="s">
        <v>297</v>
      </c>
      <c r="P16" s="360">
        <v>1000</v>
      </c>
      <c r="Q16" s="358" t="s">
        <v>294</v>
      </c>
      <c r="R16" s="359">
        <v>0.49458999999999997</v>
      </c>
      <c r="S16" s="356">
        <v>718.25</v>
      </c>
      <c r="T16" s="357" t="s">
        <v>297</v>
      </c>
      <c r="U16" s="360">
        <v>1000</v>
      </c>
      <c r="V16" s="358" t="s">
        <v>294</v>
      </c>
      <c r="W16" s="359">
        <v>0.71825000000000006</v>
      </c>
      <c r="X16" s="356">
        <v>916.30000000000007</v>
      </c>
      <c r="Y16" s="357" t="s">
        <v>297</v>
      </c>
      <c r="Z16" s="360">
        <v>900</v>
      </c>
      <c r="AA16" s="358"/>
      <c r="AB16" s="359">
        <v>1.0181111111111112</v>
      </c>
      <c r="AC16" s="361"/>
      <c r="AD16" s="357"/>
      <c r="AE16" s="362"/>
      <c r="AF16" s="358"/>
      <c r="AG16" s="359"/>
    </row>
    <row r="17" spans="2:33" s="108" customFormat="1" ht="24" customHeight="1" thickBot="1">
      <c r="B17" s="827"/>
      <c r="C17" s="346" t="s">
        <v>280</v>
      </c>
      <c r="D17" s="288">
        <v>8074.329999999999</v>
      </c>
      <c r="E17" s="279" t="s">
        <v>297</v>
      </c>
      <c r="F17" s="288">
        <v>10000</v>
      </c>
      <c r="G17" s="281" t="s">
        <v>294</v>
      </c>
      <c r="H17" s="290">
        <v>0.80743299999999996</v>
      </c>
      <c r="I17" s="285">
        <v>1137</v>
      </c>
      <c r="J17" s="288" t="s">
        <v>297</v>
      </c>
      <c r="K17" s="288">
        <v>2488</v>
      </c>
      <c r="L17" s="289" t="s">
        <v>294</v>
      </c>
      <c r="M17" s="290">
        <v>0.45699356913183281</v>
      </c>
      <c r="N17" s="285">
        <v>1944.79</v>
      </c>
      <c r="O17" s="288" t="s">
        <v>297</v>
      </c>
      <c r="P17" s="288">
        <v>2455</v>
      </c>
      <c r="Q17" s="289" t="s">
        <v>294</v>
      </c>
      <c r="R17" s="290">
        <v>0.7921751527494908</v>
      </c>
      <c r="S17" s="285">
        <v>1796.44</v>
      </c>
      <c r="T17" s="288" t="s">
        <v>297</v>
      </c>
      <c r="U17" s="288">
        <v>2500</v>
      </c>
      <c r="V17" s="289" t="s">
        <v>294</v>
      </c>
      <c r="W17" s="290">
        <v>0.71857599999999999</v>
      </c>
      <c r="X17" s="278">
        <v>2087.7800000000002</v>
      </c>
      <c r="Y17" s="279" t="s">
        <v>297</v>
      </c>
      <c r="Z17" s="280">
        <v>2400</v>
      </c>
      <c r="AA17" s="281" t="s">
        <v>294</v>
      </c>
      <c r="AB17" s="290">
        <v>0.86990833333333339</v>
      </c>
      <c r="AC17" s="278">
        <v>0</v>
      </c>
      <c r="AD17" s="279" t="s">
        <v>297</v>
      </c>
      <c r="AE17" s="280">
        <v>0</v>
      </c>
      <c r="AF17" s="281" t="s">
        <v>294</v>
      </c>
      <c r="AG17" s="282">
        <v>0</v>
      </c>
    </row>
    <row r="18" spans="2:33" ht="5" customHeight="1" thickBot="1"/>
    <row r="19" spans="2:33" ht="29" thickBot="1">
      <c r="B19" s="847" t="s">
        <v>376</v>
      </c>
      <c r="C19" s="848"/>
      <c r="D19" s="848"/>
      <c r="E19" s="848"/>
      <c r="F19" s="848"/>
      <c r="G19" s="848"/>
      <c r="H19" s="848"/>
      <c r="I19" s="848"/>
      <c r="J19" s="848"/>
      <c r="K19" s="848"/>
      <c r="L19" s="848"/>
      <c r="M19" s="848"/>
      <c r="N19" s="848"/>
      <c r="O19" s="848"/>
      <c r="P19" s="848"/>
      <c r="Q19" s="848"/>
      <c r="R19" s="848"/>
      <c r="S19" s="848"/>
      <c r="T19" s="848"/>
      <c r="U19" s="848"/>
      <c r="V19" s="848"/>
      <c r="W19" s="848"/>
      <c r="X19" s="848"/>
      <c r="Y19" s="848"/>
      <c r="Z19" s="848"/>
      <c r="AA19" s="848"/>
      <c r="AB19" s="848"/>
      <c r="AC19" s="848"/>
      <c r="AD19" s="848"/>
      <c r="AE19" s="848"/>
      <c r="AF19" s="848"/>
      <c r="AG19" s="849"/>
    </row>
    <row r="20" spans="2:33" ht="18">
      <c r="B20" s="850" t="s">
        <v>304</v>
      </c>
      <c r="C20" s="852" t="s">
        <v>303</v>
      </c>
      <c r="D20" s="854" t="s">
        <v>295</v>
      </c>
      <c r="E20" s="854"/>
      <c r="F20" s="854"/>
      <c r="G20" s="854"/>
      <c r="H20" s="855"/>
      <c r="I20" s="856" t="s">
        <v>298</v>
      </c>
      <c r="J20" s="857"/>
      <c r="K20" s="857"/>
      <c r="L20" s="857"/>
      <c r="M20" s="858"/>
      <c r="N20" s="859" t="s">
        <v>299</v>
      </c>
      <c r="O20" s="859"/>
      <c r="P20" s="859"/>
      <c r="Q20" s="859"/>
      <c r="R20" s="859"/>
      <c r="S20" s="860" t="s">
        <v>300</v>
      </c>
      <c r="T20" s="859"/>
      <c r="U20" s="859"/>
      <c r="V20" s="859"/>
      <c r="W20" s="861"/>
      <c r="X20" s="857" t="s">
        <v>301</v>
      </c>
      <c r="Y20" s="857"/>
      <c r="Z20" s="857"/>
      <c r="AA20" s="857"/>
      <c r="AB20" s="857"/>
      <c r="AC20" s="862" t="s">
        <v>302</v>
      </c>
      <c r="AD20" s="863"/>
      <c r="AE20" s="863"/>
      <c r="AF20" s="863"/>
      <c r="AG20" s="864"/>
    </row>
    <row r="21" spans="2:33">
      <c r="B21" s="851"/>
      <c r="C21" s="853"/>
      <c r="D21" s="878" t="s">
        <v>296</v>
      </c>
      <c r="E21" s="878"/>
      <c r="F21" s="878"/>
      <c r="G21" s="878"/>
      <c r="H21" s="879"/>
      <c r="I21" s="880" t="s">
        <v>296</v>
      </c>
      <c r="J21" s="881"/>
      <c r="K21" s="881"/>
      <c r="L21" s="881"/>
      <c r="M21" s="882"/>
      <c r="N21" s="883" t="s">
        <v>296</v>
      </c>
      <c r="O21" s="883"/>
      <c r="P21" s="883"/>
      <c r="Q21" s="883"/>
      <c r="R21" s="883"/>
      <c r="S21" s="884" t="s">
        <v>296</v>
      </c>
      <c r="T21" s="883"/>
      <c r="U21" s="883"/>
      <c r="V21" s="883"/>
      <c r="W21" s="885"/>
      <c r="X21" s="881" t="s">
        <v>296</v>
      </c>
      <c r="Y21" s="881"/>
      <c r="Z21" s="881"/>
      <c r="AA21" s="881"/>
      <c r="AB21" s="881"/>
      <c r="AC21" s="875" t="s">
        <v>296</v>
      </c>
      <c r="AD21" s="876"/>
      <c r="AE21" s="876"/>
      <c r="AF21" s="876"/>
      <c r="AG21" s="877"/>
    </row>
    <row r="22" spans="2:33" ht="17" customHeight="1">
      <c r="B22" s="830" t="s">
        <v>289</v>
      </c>
      <c r="C22" s="291" t="s">
        <v>56</v>
      </c>
      <c r="D22" s="283">
        <v>220.79</v>
      </c>
      <c r="E22" s="272" t="s">
        <v>297</v>
      </c>
      <c r="F22" s="283">
        <v>360</v>
      </c>
      <c r="G22" s="274" t="s">
        <v>294</v>
      </c>
      <c r="H22" s="277">
        <v>0.61330555555555555</v>
      </c>
      <c r="I22" s="284">
        <v>32</v>
      </c>
      <c r="J22" s="283" t="s">
        <v>297</v>
      </c>
      <c r="K22" s="283">
        <v>96</v>
      </c>
      <c r="L22" s="287" t="s">
        <v>294</v>
      </c>
      <c r="M22" s="277">
        <v>0.33333333333333331</v>
      </c>
      <c r="N22" s="286">
        <v>70.58</v>
      </c>
      <c r="O22" s="283" t="s">
        <v>297</v>
      </c>
      <c r="P22" s="283">
        <v>90</v>
      </c>
      <c r="Q22" s="287" t="s">
        <v>294</v>
      </c>
      <c r="R22" s="277">
        <v>0.78422222222222215</v>
      </c>
      <c r="S22" s="284">
        <v>33.67</v>
      </c>
      <c r="T22" s="272" t="s">
        <v>297</v>
      </c>
      <c r="U22" s="283">
        <v>90</v>
      </c>
      <c r="V22" s="274" t="s">
        <v>294</v>
      </c>
      <c r="W22" s="277">
        <v>0.37411111111111112</v>
      </c>
      <c r="X22" s="284">
        <v>55.319999999999993</v>
      </c>
      <c r="Y22" s="272" t="s">
        <v>297</v>
      </c>
      <c r="Z22" s="273">
        <v>90</v>
      </c>
      <c r="AA22" s="274" t="s">
        <v>294</v>
      </c>
      <c r="AB22" s="277">
        <v>0.61466666666666658</v>
      </c>
      <c r="AC22" s="276"/>
      <c r="AD22" s="272" t="s">
        <v>297</v>
      </c>
      <c r="AE22" s="273"/>
      <c r="AF22" s="274" t="s">
        <v>294</v>
      </c>
      <c r="AG22" s="277"/>
    </row>
    <row r="23" spans="2:33" ht="17" customHeight="1">
      <c r="B23" s="831"/>
      <c r="C23" s="292" t="s">
        <v>60</v>
      </c>
      <c r="D23" s="283">
        <v>103.81</v>
      </c>
      <c r="E23" s="272" t="s">
        <v>297</v>
      </c>
      <c r="F23" s="283">
        <v>324</v>
      </c>
      <c r="G23" s="274" t="s">
        <v>294</v>
      </c>
      <c r="H23" s="277">
        <v>0.32040123456790126</v>
      </c>
      <c r="I23" s="284">
        <v>7</v>
      </c>
      <c r="J23" s="283" t="s">
        <v>297</v>
      </c>
      <c r="K23" s="283">
        <v>82</v>
      </c>
      <c r="L23" s="287" t="s">
        <v>294</v>
      </c>
      <c r="M23" s="277">
        <v>8.5365853658536592E-2</v>
      </c>
      <c r="N23" s="286">
        <v>31.310000000000002</v>
      </c>
      <c r="O23" s="283" t="s">
        <v>297</v>
      </c>
      <c r="P23" s="283">
        <v>80</v>
      </c>
      <c r="Q23" s="287" t="s">
        <v>294</v>
      </c>
      <c r="R23" s="277">
        <v>0.39137500000000003</v>
      </c>
      <c r="S23" s="284">
        <v>28.870000000000005</v>
      </c>
      <c r="T23" s="272" t="s">
        <v>297</v>
      </c>
      <c r="U23" s="283">
        <v>80</v>
      </c>
      <c r="V23" s="274" t="s">
        <v>294</v>
      </c>
      <c r="W23" s="277">
        <v>0.36087500000000006</v>
      </c>
      <c r="X23" s="284">
        <v>36.629999999999995</v>
      </c>
      <c r="Y23" s="272" t="s">
        <v>297</v>
      </c>
      <c r="Z23" s="273">
        <v>80</v>
      </c>
      <c r="AA23" s="274" t="s">
        <v>294</v>
      </c>
      <c r="AB23" s="277">
        <v>0.45787499999999992</v>
      </c>
      <c r="AC23" s="276"/>
      <c r="AD23" s="272" t="s">
        <v>297</v>
      </c>
      <c r="AE23" s="273"/>
      <c r="AF23" s="274" t="s">
        <v>294</v>
      </c>
      <c r="AG23" s="277"/>
    </row>
    <row r="24" spans="2:33" ht="17" customHeight="1">
      <c r="B24" s="831"/>
      <c r="C24" s="292" t="s">
        <v>57</v>
      </c>
      <c r="D24" s="283">
        <v>120.53</v>
      </c>
      <c r="E24" s="272" t="s">
        <v>297</v>
      </c>
      <c r="F24" s="283">
        <v>324</v>
      </c>
      <c r="G24" s="274" t="s">
        <v>294</v>
      </c>
      <c r="H24" s="277">
        <v>0.37200617283950616</v>
      </c>
      <c r="I24" s="284">
        <v>11</v>
      </c>
      <c r="J24" s="283" t="s">
        <v>297</v>
      </c>
      <c r="K24" s="283">
        <v>82</v>
      </c>
      <c r="L24" s="287" t="s">
        <v>294</v>
      </c>
      <c r="M24" s="277">
        <v>0.13414634146341464</v>
      </c>
      <c r="N24" s="286">
        <v>52.69</v>
      </c>
      <c r="O24" s="283" t="s">
        <v>297</v>
      </c>
      <c r="P24" s="283">
        <v>80</v>
      </c>
      <c r="Q24" s="287" t="s">
        <v>294</v>
      </c>
      <c r="R24" s="277">
        <v>0.65862500000000002</v>
      </c>
      <c r="S24" s="284">
        <v>22.019999999999996</v>
      </c>
      <c r="T24" s="272" t="s">
        <v>297</v>
      </c>
      <c r="U24" s="283">
        <v>80</v>
      </c>
      <c r="V24" s="274" t="s">
        <v>294</v>
      </c>
      <c r="W24" s="277">
        <v>0.27524999999999994</v>
      </c>
      <c r="X24" s="284">
        <v>0</v>
      </c>
      <c r="Y24" s="272" t="s">
        <v>297</v>
      </c>
      <c r="Z24" s="273">
        <v>80</v>
      </c>
      <c r="AA24" s="274" t="s">
        <v>294</v>
      </c>
      <c r="AB24" s="277">
        <v>0</v>
      </c>
      <c r="AC24" s="276"/>
      <c r="AD24" s="272" t="s">
        <v>297</v>
      </c>
      <c r="AE24" s="273"/>
      <c r="AF24" s="274" t="s">
        <v>294</v>
      </c>
      <c r="AG24" s="277"/>
    </row>
    <row r="25" spans="2:33" ht="17" customHeight="1">
      <c r="B25" s="831"/>
      <c r="C25" s="292" t="s">
        <v>151</v>
      </c>
      <c r="D25" s="283">
        <v>108.82</v>
      </c>
      <c r="E25" s="272" t="s">
        <v>297</v>
      </c>
      <c r="F25" s="283">
        <v>270</v>
      </c>
      <c r="G25" s="274" t="s">
        <v>294</v>
      </c>
      <c r="H25" s="277">
        <v>0.40303703703703703</v>
      </c>
      <c r="I25" s="284">
        <v>18</v>
      </c>
      <c r="J25" s="283" t="s">
        <v>297</v>
      </c>
      <c r="K25" s="283">
        <v>62</v>
      </c>
      <c r="L25" s="287" t="s">
        <v>294</v>
      </c>
      <c r="M25" s="277">
        <v>0.29032258064516131</v>
      </c>
      <c r="N25" s="286">
        <v>45.64</v>
      </c>
      <c r="O25" s="283" t="s">
        <v>297</v>
      </c>
      <c r="P25" s="283">
        <v>70</v>
      </c>
      <c r="Q25" s="287" t="s">
        <v>294</v>
      </c>
      <c r="R25" s="277">
        <v>0.65200000000000002</v>
      </c>
      <c r="S25" s="284">
        <v>8.3199999999999932</v>
      </c>
      <c r="T25" s="272" t="s">
        <v>297</v>
      </c>
      <c r="U25" s="283">
        <v>70</v>
      </c>
      <c r="V25" s="274" t="s">
        <v>294</v>
      </c>
      <c r="W25" s="277">
        <v>0.11885714285714276</v>
      </c>
      <c r="X25" s="284">
        <v>28.350000000000009</v>
      </c>
      <c r="Y25" s="272" t="s">
        <v>297</v>
      </c>
      <c r="Z25" s="273">
        <v>70</v>
      </c>
      <c r="AA25" s="274" t="s">
        <v>294</v>
      </c>
      <c r="AB25" s="277">
        <v>0.40500000000000014</v>
      </c>
      <c r="AC25" s="276"/>
      <c r="AD25" s="272" t="s">
        <v>297</v>
      </c>
      <c r="AE25" s="273"/>
      <c r="AF25" s="274" t="s">
        <v>294</v>
      </c>
      <c r="AG25" s="277"/>
    </row>
    <row r="26" spans="2:33" ht="17" customHeight="1">
      <c r="B26" s="890" t="s">
        <v>290</v>
      </c>
      <c r="C26" s="292" t="s">
        <v>15</v>
      </c>
      <c r="D26" s="283">
        <v>101.42</v>
      </c>
      <c r="E26" s="272" t="s">
        <v>297</v>
      </c>
      <c r="F26" s="283">
        <v>270</v>
      </c>
      <c r="G26" s="274" t="s">
        <v>294</v>
      </c>
      <c r="H26" s="277">
        <v>0.37562962962962965</v>
      </c>
      <c r="I26" s="284">
        <v>11</v>
      </c>
      <c r="J26" s="283" t="s">
        <v>297</v>
      </c>
      <c r="K26" s="283">
        <v>62</v>
      </c>
      <c r="L26" s="287" t="s">
        <v>294</v>
      </c>
      <c r="M26" s="277">
        <v>0.17741935483870969</v>
      </c>
      <c r="N26" s="286">
        <v>47.85</v>
      </c>
      <c r="O26" s="283" t="s">
        <v>297</v>
      </c>
      <c r="P26" s="283">
        <v>70</v>
      </c>
      <c r="Q26" s="287" t="s">
        <v>294</v>
      </c>
      <c r="R26" s="277">
        <v>0.68357142857142861</v>
      </c>
      <c r="S26" s="284">
        <v>16.029999999999994</v>
      </c>
      <c r="T26" s="272" t="s">
        <v>297</v>
      </c>
      <c r="U26" s="283">
        <v>70</v>
      </c>
      <c r="V26" s="274" t="s">
        <v>294</v>
      </c>
      <c r="W26" s="277">
        <v>0.22899999999999993</v>
      </c>
      <c r="X26" s="284">
        <v>26.540000000000006</v>
      </c>
      <c r="Y26" s="272" t="s">
        <v>297</v>
      </c>
      <c r="Z26" s="273">
        <v>70</v>
      </c>
      <c r="AA26" s="274" t="s">
        <v>294</v>
      </c>
      <c r="AB26" s="277">
        <v>0.37914285714285723</v>
      </c>
      <c r="AC26" s="276"/>
      <c r="AD26" s="272" t="s">
        <v>297</v>
      </c>
      <c r="AE26" s="273"/>
      <c r="AF26" s="274" t="s">
        <v>294</v>
      </c>
      <c r="AG26" s="277"/>
    </row>
    <row r="27" spans="2:33" ht="17" customHeight="1">
      <c r="B27" s="890"/>
      <c r="C27" s="292" t="s">
        <v>150</v>
      </c>
      <c r="D27" s="283">
        <v>141.19999999999999</v>
      </c>
      <c r="E27" s="272" t="s">
        <v>297</v>
      </c>
      <c r="F27" s="283">
        <v>252.00000000000003</v>
      </c>
      <c r="G27" s="274" t="s">
        <v>294</v>
      </c>
      <c r="H27" s="277">
        <v>0.56031746031746021</v>
      </c>
      <c r="I27" s="284">
        <v>6</v>
      </c>
      <c r="J27" s="283" t="s">
        <v>297</v>
      </c>
      <c r="K27" s="283">
        <v>62</v>
      </c>
      <c r="L27" s="287" t="s">
        <v>294</v>
      </c>
      <c r="M27" s="277">
        <v>9.6774193548387094E-2</v>
      </c>
      <c r="N27" s="286">
        <v>68.23</v>
      </c>
      <c r="O27" s="283" t="s">
        <v>297</v>
      </c>
      <c r="P27" s="283">
        <v>60</v>
      </c>
      <c r="Q27" s="287" t="s">
        <v>294</v>
      </c>
      <c r="R27" s="277">
        <v>1.1371666666666667</v>
      </c>
      <c r="S27" s="284">
        <v>12.590000000000003</v>
      </c>
      <c r="T27" s="272" t="s">
        <v>297</v>
      </c>
      <c r="U27" s="283">
        <v>60</v>
      </c>
      <c r="V27" s="274" t="s">
        <v>294</v>
      </c>
      <c r="W27" s="277">
        <v>0.2098333333333334</v>
      </c>
      <c r="X27" s="284">
        <v>42.510000000000005</v>
      </c>
      <c r="Y27" s="272" t="s">
        <v>297</v>
      </c>
      <c r="Z27" s="273">
        <v>65</v>
      </c>
      <c r="AA27" s="274" t="s">
        <v>294</v>
      </c>
      <c r="AB27" s="277">
        <v>0.65400000000000003</v>
      </c>
      <c r="AC27" s="276"/>
      <c r="AD27" s="272" t="s">
        <v>297</v>
      </c>
      <c r="AE27" s="273"/>
      <c r="AF27" s="274" t="s">
        <v>294</v>
      </c>
      <c r="AG27" s="277"/>
    </row>
    <row r="28" spans="2:33" ht="17" customHeight="1">
      <c r="B28" s="890"/>
      <c r="C28" s="292" t="s">
        <v>293</v>
      </c>
      <c r="D28" s="283">
        <v>0</v>
      </c>
      <c r="E28" s="272" t="s">
        <v>297</v>
      </c>
      <c r="F28" s="283">
        <v>0</v>
      </c>
      <c r="G28" s="274" t="s">
        <v>294</v>
      </c>
      <c r="H28" s="277"/>
      <c r="I28" s="284"/>
      <c r="J28" s="283" t="s">
        <v>297</v>
      </c>
      <c r="K28" s="283"/>
      <c r="L28" s="287" t="s">
        <v>294</v>
      </c>
      <c r="M28" s="277"/>
      <c r="N28" s="286"/>
      <c r="O28" s="283" t="s">
        <v>297</v>
      </c>
      <c r="P28" s="283"/>
      <c r="Q28" s="287" t="s">
        <v>294</v>
      </c>
      <c r="R28" s="277"/>
      <c r="S28" s="284">
        <v>0</v>
      </c>
      <c r="T28" s="272" t="s">
        <v>297</v>
      </c>
      <c r="U28" s="283"/>
      <c r="V28" s="274" t="s">
        <v>294</v>
      </c>
      <c r="W28" s="277"/>
      <c r="X28" s="284">
        <v>0</v>
      </c>
      <c r="Y28" s="272" t="s">
        <v>297</v>
      </c>
      <c r="Z28" s="273"/>
      <c r="AA28" s="274" t="s">
        <v>294</v>
      </c>
      <c r="AB28" s="277"/>
      <c r="AC28" s="276"/>
      <c r="AD28" s="272" t="s">
        <v>297</v>
      </c>
      <c r="AE28" s="273"/>
      <c r="AF28" s="274" t="s">
        <v>294</v>
      </c>
      <c r="AG28" s="277"/>
    </row>
    <row r="29" spans="2:33" ht="17" customHeight="1">
      <c r="B29" s="825" t="s">
        <v>288</v>
      </c>
      <c r="C29" s="293" t="s">
        <v>281</v>
      </c>
      <c r="D29" s="283">
        <v>206.55</v>
      </c>
      <c r="E29" s="272" t="s">
        <v>297</v>
      </c>
      <c r="F29" s="283">
        <v>480</v>
      </c>
      <c r="G29" s="274" t="s">
        <v>294</v>
      </c>
      <c r="H29" s="277">
        <v>0.43031250000000004</v>
      </c>
      <c r="I29" s="284">
        <v>15.04</v>
      </c>
      <c r="J29" s="283" t="s">
        <v>297</v>
      </c>
      <c r="K29" s="283">
        <v>120</v>
      </c>
      <c r="L29" s="287" t="s">
        <v>294</v>
      </c>
      <c r="M29" s="277">
        <v>0.12533333333333332</v>
      </c>
      <c r="N29" s="286">
        <v>34</v>
      </c>
      <c r="O29" s="283" t="s">
        <v>297</v>
      </c>
      <c r="P29" s="283">
        <v>120</v>
      </c>
      <c r="Q29" s="287" t="s">
        <v>294</v>
      </c>
      <c r="R29" s="277">
        <v>0.28333333333333333</v>
      </c>
      <c r="S29" s="284">
        <v>77.510000000000019</v>
      </c>
      <c r="T29" s="272" t="s">
        <v>297</v>
      </c>
      <c r="U29" s="283">
        <v>120</v>
      </c>
      <c r="V29" s="274" t="s">
        <v>294</v>
      </c>
      <c r="W29" s="277">
        <v>0.64591666666666681</v>
      </c>
      <c r="X29" s="284">
        <v>80</v>
      </c>
      <c r="Y29" s="272" t="s">
        <v>297</v>
      </c>
      <c r="Z29" s="273">
        <v>110</v>
      </c>
      <c r="AA29" s="274" t="s">
        <v>294</v>
      </c>
      <c r="AB29" s="277">
        <v>0.72727272727272729</v>
      </c>
      <c r="AC29" s="276"/>
      <c r="AD29" s="272" t="s">
        <v>297</v>
      </c>
      <c r="AE29" s="273"/>
      <c r="AF29" s="274" t="s">
        <v>294</v>
      </c>
      <c r="AG29" s="277"/>
    </row>
    <row r="30" spans="2:33" ht="17" customHeight="1">
      <c r="B30" s="825"/>
      <c r="C30" s="293" t="s">
        <v>282</v>
      </c>
      <c r="D30" s="283">
        <v>272.16999999999996</v>
      </c>
      <c r="E30" s="272" t="s">
        <v>297</v>
      </c>
      <c r="F30" s="283">
        <v>560</v>
      </c>
      <c r="G30" s="274" t="s">
        <v>294</v>
      </c>
      <c r="H30" s="277">
        <v>0.48601785714285706</v>
      </c>
      <c r="I30" s="284">
        <v>19.670000000000002</v>
      </c>
      <c r="J30" s="283" t="s">
        <v>297</v>
      </c>
      <c r="K30" s="283">
        <v>150</v>
      </c>
      <c r="L30" s="287" t="s">
        <v>294</v>
      </c>
      <c r="M30" s="277">
        <v>0.13113333333333335</v>
      </c>
      <c r="N30" s="286">
        <v>46.55</v>
      </c>
      <c r="O30" s="283" t="s">
        <v>297</v>
      </c>
      <c r="P30" s="283">
        <v>150</v>
      </c>
      <c r="Q30" s="287" t="s">
        <v>294</v>
      </c>
      <c r="R30" s="277">
        <v>0.31033333333333329</v>
      </c>
      <c r="S30" s="284">
        <v>75.950000000000017</v>
      </c>
      <c r="T30" s="272" t="s">
        <v>297</v>
      </c>
      <c r="U30" s="283">
        <v>140</v>
      </c>
      <c r="V30" s="274" t="s">
        <v>294</v>
      </c>
      <c r="W30" s="277">
        <v>0.54250000000000009</v>
      </c>
      <c r="X30" s="284">
        <v>105.19999999999996</v>
      </c>
      <c r="Y30" s="272" t="s">
        <v>297</v>
      </c>
      <c r="Z30" s="273">
        <v>125</v>
      </c>
      <c r="AA30" s="274" t="s">
        <v>294</v>
      </c>
      <c r="AB30" s="277">
        <v>0.84159999999999968</v>
      </c>
      <c r="AC30" s="276"/>
      <c r="AD30" s="272" t="s">
        <v>297</v>
      </c>
      <c r="AE30" s="273"/>
      <c r="AF30" s="274" t="s">
        <v>294</v>
      </c>
      <c r="AG30" s="277"/>
    </row>
    <row r="31" spans="2:33" ht="17" customHeight="1">
      <c r="B31" s="825"/>
      <c r="C31" s="293" t="s">
        <v>283</v>
      </c>
      <c r="D31" s="283">
        <v>263.91000000000003</v>
      </c>
      <c r="E31" s="272" t="s">
        <v>297</v>
      </c>
      <c r="F31" s="283">
        <v>560</v>
      </c>
      <c r="G31" s="274" t="s">
        <v>294</v>
      </c>
      <c r="H31" s="277">
        <v>0.47126785714285718</v>
      </c>
      <c r="I31" s="284">
        <v>26.42</v>
      </c>
      <c r="J31" s="283" t="s">
        <v>297</v>
      </c>
      <c r="K31" s="283">
        <v>130</v>
      </c>
      <c r="L31" s="287" t="s">
        <v>294</v>
      </c>
      <c r="M31" s="277">
        <v>0.20323076923076924</v>
      </c>
      <c r="N31" s="286">
        <v>22.599999999999994</v>
      </c>
      <c r="O31" s="283" t="s">
        <v>297</v>
      </c>
      <c r="P31" s="283">
        <v>130</v>
      </c>
      <c r="Q31" s="287" t="s">
        <v>294</v>
      </c>
      <c r="R31" s="277">
        <v>0.17384615384615379</v>
      </c>
      <c r="S31" s="284">
        <v>29.910000000000011</v>
      </c>
      <c r="T31" s="272" t="s">
        <v>297</v>
      </c>
      <c r="U31" s="283">
        <v>140</v>
      </c>
      <c r="V31" s="274" t="s">
        <v>294</v>
      </c>
      <c r="W31" s="277">
        <v>0.21364285714285722</v>
      </c>
      <c r="X31" s="284">
        <v>48.03</v>
      </c>
      <c r="Y31" s="272" t="s">
        <v>297</v>
      </c>
      <c r="Z31" s="273">
        <v>125</v>
      </c>
      <c r="AA31" s="274" t="s">
        <v>294</v>
      </c>
      <c r="AB31" s="277">
        <v>0.38424000000000003</v>
      </c>
      <c r="AC31" s="276"/>
      <c r="AD31" s="272" t="s">
        <v>297</v>
      </c>
      <c r="AE31" s="273"/>
      <c r="AF31" s="274" t="s">
        <v>294</v>
      </c>
      <c r="AG31" s="277"/>
    </row>
    <row r="32" spans="2:33" ht="17" customHeight="1">
      <c r="B32" s="826" t="s">
        <v>291</v>
      </c>
      <c r="C32" s="293" t="s">
        <v>284</v>
      </c>
      <c r="D32" s="283">
        <v>0</v>
      </c>
      <c r="E32" s="272" t="s">
        <v>297</v>
      </c>
      <c r="F32" s="283">
        <v>0</v>
      </c>
      <c r="G32" s="274" t="s">
        <v>294</v>
      </c>
      <c r="H32" s="277"/>
      <c r="I32" s="284"/>
      <c r="J32" s="283" t="s">
        <v>297</v>
      </c>
      <c r="K32" s="283"/>
      <c r="L32" s="287" t="s">
        <v>294</v>
      </c>
      <c r="M32" s="277"/>
      <c r="N32" s="286"/>
      <c r="O32" s="283" t="s">
        <v>297</v>
      </c>
      <c r="P32" s="283"/>
      <c r="Q32" s="287" t="s">
        <v>294</v>
      </c>
      <c r="R32" s="277"/>
      <c r="S32" s="284">
        <v>0</v>
      </c>
      <c r="T32" s="272" t="s">
        <v>297</v>
      </c>
      <c r="U32" s="283"/>
      <c r="V32" s="274" t="s">
        <v>294</v>
      </c>
      <c r="W32" s="277"/>
      <c r="X32" s="284">
        <v>0</v>
      </c>
      <c r="Y32" s="272" t="s">
        <v>297</v>
      </c>
      <c r="Z32" s="273">
        <v>125</v>
      </c>
      <c r="AA32" s="274" t="s">
        <v>294</v>
      </c>
      <c r="AB32" s="277"/>
      <c r="AC32" s="276"/>
      <c r="AD32" s="272" t="s">
        <v>297</v>
      </c>
      <c r="AE32" s="273"/>
      <c r="AF32" s="274" t="s">
        <v>294</v>
      </c>
      <c r="AG32" s="277"/>
    </row>
    <row r="33" spans="1:33" ht="17" customHeight="1">
      <c r="B33" s="826"/>
      <c r="C33" s="347" t="s">
        <v>292</v>
      </c>
      <c r="D33" s="352">
        <v>796.56999999999994</v>
      </c>
      <c r="E33" s="349" t="s">
        <v>297</v>
      </c>
      <c r="F33" s="352">
        <v>1800</v>
      </c>
      <c r="G33" s="350" t="s">
        <v>294</v>
      </c>
      <c r="H33" s="351">
        <v>0.44253888888888887</v>
      </c>
      <c r="I33" s="352">
        <v>85</v>
      </c>
      <c r="J33" s="349" t="s">
        <v>297</v>
      </c>
      <c r="K33" s="352">
        <v>446</v>
      </c>
      <c r="L33" s="350" t="s">
        <v>294</v>
      </c>
      <c r="M33" s="351">
        <v>0.1905829596412556</v>
      </c>
      <c r="N33" s="348">
        <v>316.29999999999995</v>
      </c>
      <c r="O33" s="349" t="s">
        <v>297</v>
      </c>
      <c r="P33" s="352">
        <v>450</v>
      </c>
      <c r="Q33" s="350" t="s">
        <v>294</v>
      </c>
      <c r="R33" s="351">
        <v>0.70288888888888879</v>
      </c>
      <c r="S33" s="348">
        <v>121.5</v>
      </c>
      <c r="T33" s="349" t="s">
        <v>297</v>
      </c>
      <c r="U33" s="352">
        <v>450</v>
      </c>
      <c r="V33" s="350" t="s">
        <v>294</v>
      </c>
      <c r="W33" s="351">
        <v>0.27</v>
      </c>
      <c r="X33" s="348">
        <v>189.35000000000002</v>
      </c>
      <c r="Y33" s="349" t="s">
        <v>297</v>
      </c>
      <c r="Z33" s="352">
        <v>455</v>
      </c>
      <c r="AA33" s="350" t="s">
        <v>294</v>
      </c>
      <c r="AB33" s="351">
        <v>0.41615384615384621</v>
      </c>
      <c r="AC33" s="353"/>
      <c r="AD33" s="349"/>
      <c r="AE33" s="354"/>
      <c r="AF33" s="350"/>
      <c r="AG33" s="351"/>
    </row>
    <row r="34" spans="1:33" ht="17" customHeight="1">
      <c r="B34" s="826"/>
      <c r="C34" s="355" t="s">
        <v>288</v>
      </c>
      <c r="D34" s="360">
        <v>742.63</v>
      </c>
      <c r="E34" s="357" t="s">
        <v>297</v>
      </c>
      <c r="F34" s="360">
        <v>1600</v>
      </c>
      <c r="G34" s="358" t="s">
        <v>294</v>
      </c>
      <c r="H34" s="359">
        <v>0.46414375000000002</v>
      </c>
      <c r="I34" s="360">
        <v>61.13</v>
      </c>
      <c r="J34" s="357" t="s">
        <v>297</v>
      </c>
      <c r="K34" s="360">
        <v>400</v>
      </c>
      <c r="L34" s="358" t="s">
        <v>294</v>
      </c>
      <c r="M34" s="359">
        <v>0.15282500000000002</v>
      </c>
      <c r="N34" s="356">
        <v>103.14999999999999</v>
      </c>
      <c r="O34" s="357" t="s">
        <v>297</v>
      </c>
      <c r="P34" s="360">
        <v>400</v>
      </c>
      <c r="Q34" s="358" t="s">
        <v>294</v>
      </c>
      <c r="R34" s="359">
        <v>0.25787499999999997</v>
      </c>
      <c r="S34" s="356">
        <v>183.37000000000006</v>
      </c>
      <c r="T34" s="357" t="s">
        <v>297</v>
      </c>
      <c r="U34" s="360">
        <v>400</v>
      </c>
      <c r="V34" s="358" t="s">
        <v>294</v>
      </c>
      <c r="W34" s="359">
        <v>0.45842500000000014</v>
      </c>
      <c r="X34" s="356">
        <v>233.22999999999996</v>
      </c>
      <c r="Y34" s="357" t="s">
        <v>297</v>
      </c>
      <c r="Z34" s="360">
        <v>485</v>
      </c>
      <c r="AA34" s="358" t="s">
        <v>294</v>
      </c>
      <c r="AB34" s="359">
        <v>0.48088659793814426</v>
      </c>
      <c r="AC34" s="361"/>
      <c r="AD34" s="357"/>
      <c r="AE34" s="362"/>
      <c r="AF34" s="358"/>
      <c r="AG34" s="359"/>
    </row>
    <row r="35" spans="1:33" ht="21" customHeight="1" thickBot="1">
      <c r="B35" s="827"/>
      <c r="C35" s="370" t="s">
        <v>62</v>
      </c>
      <c r="D35" s="299">
        <v>1539.2</v>
      </c>
      <c r="E35" s="294" t="s">
        <v>297</v>
      </c>
      <c r="F35" s="299">
        <v>3400</v>
      </c>
      <c r="G35" s="296" t="s">
        <v>294</v>
      </c>
      <c r="H35" s="301">
        <v>0.45270588235294118</v>
      </c>
      <c r="I35" s="298">
        <v>146.13</v>
      </c>
      <c r="J35" s="299" t="s">
        <v>297</v>
      </c>
      <c r="K35" s="299">
        <v>846</v>
      </c>
      <c r="L35" s="300" t="s">
        <v>294</v>
      </c>
      <c r="M35" s="301">
        <v>0.17273049645390071</v>
      </c>
      <c r="N35" s="298">
        <v>419.44999999999993</v>
      </c>
      <c r="O35" s="299" t="s">
        <v>297</v>
      </c>
      <c r="P35" s="299">
        <v>850</v>
      </c>
      <c r="Q35" s="300" t="s">
        <v>294</v>
      </c>
      <c r="R35" s="301">
        <v>0.49347058823529405</v>
      </c>
      <c r="S35" s="302">
        <v>304.87000000000006</v>
      </c>
      <c r="T35" s="294" t="s">
        <v>297</v>
      </c>
      <c r="U35" s="299">
        <v>850</v>
      </c>
      <c r="V35" s="296" t="s">
        <v>294</v>
      </c>
      <c r="W35" s="301">
        <v>0.35867058823529419</v>
      </c>
      <c r="X35" s="302">
        <v>422.57999999999993</v>
      </c>
      <c r="Y35" s="294" t="s">
        <v>297</v>
      </c>
      <c r="Z35" s="299">
        <v>940</v>
      </c>
      <c r="AA35" s="296" t="s">
        <v>294</v>
      </c>
      <c r="AB35" s="301">
        <v>0.44955319148936163</v>
      </c>
      <c r="AC35" s="302">
        <v>0</v>
      </c>
      <c r="AD35" s="294" t="s">
        <v>297</v>
      </c>
      <c r="AE35" s="295">
        <v>0</v>
      </c>
      <c r="AF35" s="296" t="s">
        <v>294</v>
      </c>
      <c r="AG35" s="297"/>
    </row>
    <row r="36" spans="1:33" ht="6" customHeight="1" thickBot="1"/>
    <row r="37" spans="1:33" ht="29" thickBot="1">
      <c r="B37" s="891" t="s">
        <v>377</v>
      </c>
      <c r="C37" s="892"/>
      <c r="D37" s="892"/>
      <c r="E37" s="892"/>
      <c r="F37" s="892"/>
      <c r="G37" s="892"/>
      <c r="H37" s="892"/>
      <c r="I37" s="892"/>
      <c r="J37" s="892"/>
      <c r="K37" s="892"/>
      <c r="L37" s="892"/>
      <c r="M37" s="892"/>
      <c r="N37" s="892"/>
      <c r="O37" s="892"/>
      <c r="P37" s="892"/>
      <c r="Q37" s="892"/>
      <c r="R37" s="892"/>
      <c r="S37" s="892"/>
      <c r="T37" s="892"/>
      <c r="U37" s="892"/>
      <c r="V37" s="892"/>
      <c r="W37" s="892"/>
      <c r="X37" s="892"/>
      <c r="Y37" s="892"/>
      <c r="Z37" s="892"/>
      <c r="AA37" s="892"/>
      <c r="AB37" s="892"/>
      <c r="AC37" s="892"/>
      <c r="AD37" s="892"/>
      <c r="AE37" s="892"/>
      <c r="AF37" s="892"/>
      <c r="AG37" s="893"/>
    </row>
    <row r="38" spans="1:33" ht="21" customHeight="1">
      <c r="B38" s="894" t="s">
        <v>304</v>
      </c>
      <c r="C38" s="896" t="s">
        <v>303</v>
      </c>
      <c r="D38" s="898" t="s">
        <v>324</v>
      </c>
      <c r="E38" s="898"/>
      <c r="F38" s="898"/>
      <c r="G38" s="898"/>
      <c r="H38" s="899"/>
      <c r="I38" s="900" t="s">
        <v>325</v>
      </c>
      <c r="J38" s="898"/>
      <c r="K38" s="898"/>
      <c r="L38" s="898"/>
      <c r="M38" s="899"/>
      <c r="N38" s="901" t="s">
        <v>327</v>
      </c>
      <c r="O38" s="901"/>
      <c r="P38" s="901"/>
      <c r="Q38" s="901"/>
      <c r="R38" s="901"/>
      <c r="S38" s="860" t="s">
        <v>328</v>
      </c>
      <c r="T38" s="859"/>
      <c r="U38" s="859"/>
      <c r="V38" s="859"/>
      <c r="W38" s="861"/>
      <c r="X38" s="857" t="s">
        <v>329</v>
      </c>
      <c r="Y38" s="857"/>
      <c r="Z38" s="857"/>
      <c r="AA38" s="857"/>
      <c r="AB38" s="857"/>
      <c r="AC38" s="862" t="s">
        <v>332</v>
      </c>
      <c r="AD38" s="863"/>
      <c r="AE38" s="863"/>
      <c r="AF38" s="863"/>
      <c r="AG38" s="864"/>
    </row>
    <row r="39" spans="1:33">
      <c r="B39" s="895"/>
      <c r="C39" s="897"/>
      <c r="D39" s="886" t="s">
        <v>322</v>
      </c>
      <c r="E39" s="886"/>
      <c r="F39" s="886"/>
      <c r="G39" s="886"/>
      <c r="H39" s="887"/>
      <c r="I39" s="888" t="s">
        <v>326</v>
      </c>
      <c r="J39" s="886"/>
      <c r="K39" s="886"/>
      <c r="L39" s="886"/>
      <c r="M39" s="887"/>
      <c r="N39" s="889" t="s">
        <v>323</v>
      </c>
      <c r="O39" s="889"/>
      <c r="P39" s="889"/>
      <c r="Q39" s="889"/>
      <c r="R39" s="889"/>
      <c r="S39" s="884" t="s">
        <v>331</v>
      </c>
      <c r="T39" s="883"/>
      <c r="U39" s="883"/>
      <c r="V39" s="883"/>
      <c r="W39" s="885"/>
      <c r="X39" s="880" t="s">
        <v>330</v>
      </c>
      <c r="Y39" s="881"/>
      <c r="Z39" s="881"/>
      <c r="AA39" s="881"/>
      <c r="AB39" s="882"/>
      <c r="AC39" s="875" t="s">
        <v>333</v>
      </c>
      <c r="AD39" s="876"/>
      <c r="AE39" s="876"/>
      <c r="AF39" s="876"/>
      <c r="AG39" s="877"/>
    </row>
    <row r="40" spans="1:33" ht="18" customHeight="1">
      <c r="A40" s="325" t="s">
        <v>56</v>
      </c>
      <c r="B40" s="830" t="s">
        <v>289</v>
      </c>
      <c r="C40" s="291" t="s">
        <v>316</v>
      </c>
      <c r="D40" s="283">
        <v>56</v>
      </c>
      <c r="E40" s="272" t="s">
        <v>297</v>
      </c>
      <c r="F40" s="283">
        <v>161</v>
      </c>
      <c r="G40" s="274" t="s">
        <v>294</v>
      </c>
      <c r="H40" s="277">
        <v>0.34782608695652173</v>
      </c>
      <c r="I40" s="283">
        <v>57</v>
      </c>
      <c r="J40" s="272" t="s">
        <v>297</v>
      </c>
      <c r="K40" s="283">
        <v>177</v>
      </c>
      <c r="L40" s="274" t="s">
        <v>294</v>
      </c>
      <c r="M40" s="277">
        <v>0.32203389830508472</v>
      </c>
      <c r="N40" s="326">
        <v>5.98</v>
      </c>
      <c r="O40" s="283" t="s">
        <v>297</v>
      </c>
      <c r="P40" s="283">
        <v>7</v>
      </c>
      <c r="Q40" s="287" t="s">
        <v>294</v>
      </c>
      <c r="R40" s="277">
        <v>0.85428571428571431</v>
      </c>
      <c r="S40" s="276">
        <v>17</v>
      </c>
      <c r="T40" s="272" t="s">
        <v>297</v>
      </c>
      <c r="U40" s="273">
        <v>23</v>
      </c>
      <c r="V40" s="274" t="s">
        <v>294</v>
      </c>
      <c r="W40" s="277">
        <v>0.73913043478260865</v>
      </c>
      <c r="X40" s="276">
        <v>12</v>
      </c>
      <c r="Y40" s="272" t="s">
        <v>297</v>
      </c>
      <c r="Z40" s="273">
        <v>13</v>
      </c>
      <c r="AA40" s="274" t="s">
        <v>294</v>
      </c>
      <c r="AB40" s="277">
        <v>0.92307692307692313</v>
      </c>
      <c r="AC40" s="276">
        <v>4</v>
      </c>
      <c r="AD40" s="272"/>
      <c r="AE40" s="283" t="s">
        <v>334</v>
      </c>
      <c r="AF40" s="902">
        <v>0</v>
      </c>
      <c r="AG40" s="903"/>
    </row>
    <row r="41" spans="1:33" ht="18" customHeight="1">
      <c r="A41" s="325" t="s">
        <v>60</v>
      </c>
      <c r="B41" s="831"/>
      <c r="C41" s="292" t="s">
        <v>321</v>
      </c>
      <c r="D41" s="283">
        <v>26</v>
      </c>
      <c r="E41" s="272" t="s">
        <v>297</v>
      </c>
      <c r="F41" s="283">
        <v>149</v>
      </c>
      <c r="G41" s="274" t="s">
        <v>294</v>
      </c>
      <c r="H41" s="277">
        <v>0.17449664429530201</v>
      </c>
      <c r="I41" s="283">
        <v>35</v>
      </c>
      <c r="J41" s="272" t="s">
        <v>297</v>
      </c>
      <c r="K41" s="283">
        <v>162</v>
      </c>
      <c r="L41" s="274" t="s">
        <v>294</v>
      </c>
      <c r="M41" s="277">
        <v>0.21604938271604937</v>
      </c>
      <c r="N41" s="326">
        <v>4.82</v>
      </c>
      <c r="O41" s="283" t="s">
        <v>297</v>
      </c>
      <c r="P41" s="283">
        <v>6</v>
      </c>
      <c r="Q41" s="287" t="s">
        <v>294</v>
      </c>
      <c r="R41" s="277">
        <v>0.80333333333333334</v>
      </c>
      <c r="S41" s="276">
        <v>19</v>
      </c>
      <c r="T41" s="272" t="s">
        <v>297</v>
      </c>
      <c r="U41" s="273">
        <v>23</v>
      </c>
      <c r="V41" s="274" t="s">
        <v>294</v>
      </c>
      <c r="W41" s="277">
        <v>0.82608695652173914</v>
      </c>
      <c r="X41" s="276">
        <v>11</v>
      </c>
      <c r="Y41" s="272" t="s">
        <v>297</v>
      </c>
      <c r="Z41" s="273">
        <v>13</v>
      </c>
      <c r="AA41" s="274" t="s">
        <v>294</v>
      </c>
      <c r="AB41" s="277">
        <v>0.84615384615384615</v>
      </c>
      <c r="AC41" s="276">
        <v>3</v>
      </c>
      <c r="AD41" s="272"/>
      <c r="AE41" s="283" t="s">
        <v>334</v>
      </c>
      <c r="AF41" s="902">
        <v>0</v>
      </c>
      <c r="AG41" s="903"/>
    </row>
    <row r="42" spans="1:33" ht="18" customHeight="1">
      <c r="A42" s="325" t="s">
        <v>57</v>
      </c>
      <c r="B42" s="831"/>
      <c r="C42" s="292" t="s">
        <v>319</v>
      </c>
      <c r="D42" s="283">
        <v>46</v>
      </c>
      <c r="E42" s="272" t="s">
        <v>297</v>
      </c>
      <c r="F42" s="283">
        <v>135</v>
      </c>
      <c r="G42" s="274" t="s">
        <v>294</v>
      </c>
      <c r="H42" s="277">
        <v>0.34074074074074073</v>
      </c>
      <c r="I42" s="283">
        <v>48</v>
      </c>
      <c r="J42" s="272" t="s">
        <v>297</v>
      </c>
      <c r="K42" s="283">
        <v>149</v>
      </c>
      <c r="L42" s="274" t="s">
        <v>294</v>
      </c>
      <c r="M42" s="277">
        <v>0.32214765100671139</v>
      </c>
      <c r="N42" s="326">
        <v>4.8600000000000003</v>
      </c>
      <c r="O42" s="283" t="s">
        <v>297</v>
      </c>
      <c r="P42" s="283">
        <v>6</v>
      </c>
      <c r="Q42" s="287" t="s">
        <v>294</v>
      </c>
      <c r="R42" s="277">
        <v>0.81</v>
      </c>
      <c r="S42" s="276">
        <v>17</v>
      </c>
      <c r="T42" s="272" t="s">
        <v>297</v>
      </c>
      <c r="U42" s="273">
        <v>23</v>
      </c>
      <c r="V42" s="274" t="s">
        <v>294</v>
      </c>
      <c r="W42" s="277">
        <v>0.73913043478260865</v>
      </c>
      <c r="X42" s="276">
        <v>12</v>
      </c>
      <c r="Y42" s="272" t="s">
        <v>297</v>
      </c>
      <c r="Z42" s="273">
        <v>13</v>
      </c>
      <c r="AA42" s="274" t="s">
        <v>294</v>
      </c>
      <c r="AB42" s="277">
        <v>0.92307692307692313</v>
      </c>
      <c r="AC42" s="276">
        <v>5</v>
      </c>
      <c r="AD42" s="272"/>
      <c r="AE42" s="283" t="s">
        <v>334</v>
      </c>
      <c r="AF42" s="902">
        <v>0</v>
      </c>
      <c r="AG42" s="903"/>
    </row>
    <row r="43" spans="1:33" ht="18" customHeight="1">
      <c r="A43" s="325" t="s">
        <v>151</v>
      </c>
      <c r="B43" s="831"/>
      <c r="C43" s="292" t="s">
        <v>320</v>
      </c>
      <c r="D43" s="283">
        <v>26</v>
      </c>
      <c r="E43" s="272" t="s">
        <v>297</v>
      </c>
      <c r="F43" s="283">
        <v>107</v>
      </c>
      <c r="G43" s="274" t="s">
        <v>294</v>
      </c>
      <c r="H43" s="277">
        <v>0.24299065420560748</v>
      </c>
      <c r="I43" s="283">
        <v>23</v>
      </c>
      <c r="J43" s="272" t="s">
        <v>297</v>
      </c>
      <c r="K43" s="283">
        <v>109</v>
      </c>
      <c r="L43" s="274" t="s">
        <v>294</v>
      </c>
      <c r="M43" s="277">
        <v>0.21100917431192662</v>
      </c>
      <c r="N43" s="326">
        <v>5.33</v>
      </c>
      <c r="O43" s="283" t="s">
        <v>297</v>
      </c>
      <c r="P43" s="283">
        <v>5</v>
      </c>
      <c r="Q43" s="287" t="s">
        <v>294</v>
      </c>
      <c r="R43" s="277">
        <v>1.0660000000000001</v>
      </c>
      <c r="S43" s="276">
        <v>15</v>
      </c>
      <c r="T43" s="272" t="s">
        <v>297</v>
      </c>
      <c r="U43" s="273">
        <v>23</v>
      </c>
      <c r="V43" s="274" t="s">
        <v>294</v>
      </c>
      <c r="W43" s="277">
        <v>0.65217391304347827</v>
      </c>
      <c r="X43" s="276">
        <v>11</v>
      </c>
      <c r="Y43" s="272" t="s">
        <v>297</v>
      </c>
      <c r="Z43" s="273">
        <v>13</v>
      </c>
      <c r="AA43" s="274" t="s">
        <v>294</v>
      </c>
      <c r="AB43" s="277">
        <v>0.84615384615384615</v>
      </c>
      <c r="AC43" s="276">
        <v>0</v>
      </c>
      <c r="AD43" s="272"/>
      <c r="AE43" s="283" t="s">
        <v>334</v>
      </c>
      <c r="AF43" s="902">
        <v>0</v>
      </c>
      <c r="AG43" s="903"/>
    </row>
    <row r="44" spans="1:33" ht="18" customHeight="1">
      <c r="A44" s="325" t="s">
        <v>15</v>
      </c>
      <c r="B44" s="890" t="s">
        <v>290</v>
      </c>
      <c r="C44" s="292" t="s">
        <v>317</v>
      </c>
      <c r="D44" s="283">
        <v>36</v>
      </c>
      <c r="E44" s="272" t="s">
        <v>297</v>
      </c>
      <c r="F44" s="283">
        <v>121</v>
      </c>
      <c r="G44" s="274" t="s">
        <v>294</v>
      </c>
      <c r="H44" s="277">
        <v>0.2975206611570248</v>
      </c>
      <c r="I44" s="283">
        <v>61</v>
      </c>
      <c r="J44" s="272" t="s">
        <v>297</v>
      </c>
      <c r="K44" s="283">
        <v>155</v>
      </c>
      <c r="L44" s="274" t="s">
        <v>294</v>
      </c>
      <c r="M44" s="277">
        <v>0.3935483870967742</v>
      </c>
      <c r="N44" s="326">
        <v>3.82</v>
      </c>
      <c r="O44" s="283" t="s">
        <v>297</v>
      </c>
      <c r="P44" s="283">
        <v>5</v>
      </c>
      <c r="Q44" s="287" t="s">
        <v>294</v>
      </c>
      <c r="R44" s="277">
        <v>0.76400000000000001</v>
      </c>
      <c r="S44" s="276">
        <v>20</v>
      </c>
      <c r="T44" s="272" t="s">
        <v>297</v>
      </c>
      <c r="U44" s="273">
        <v>23</v>
      </c>
      <c r="V44" s="274" t="s">
        <v>294</v>
      </c>
      <c r="W44" s="277">
        <v>0.86956521739130432</v>
      </c>
      <c r="X44" s="276">
        <v>13</v>
      </c>
      <c r="Y44" s="272" t="s">
        <v>297</v>
      </c>
      <c r="Z44" s="273">
        <v>13</v>
      </c>
      <c r="AA44" s="274" t="s">
        <v>294</v>
      </c>
      <c r="AB44" s="277">
        <v>1</v>
      </c>
      <c r="AC44" s="276">
        <v>1</v>
      </c>
      <c r="AD44" s="272"/>
      <c r="AE44" s="283" t="s">
        <v>334</v>
      </c>
      <c r="AF44" s="902">
        <v>2</v>
      </c>
      <c r="AG44" s="903"/>
    </row>
    <row r="45" spans="1:33" ht="18" customHeight="1">
      <c r="A45" s="325" t="s">
        <v>150</v>
      </c>
      <c r="B45" s="890"/>
      <c r="C45" s="292" t="s">
        <v>318</v>
      </c>
      <c r="D45" s="283">
        <v>31</v>
      </c>
      <c r="E45" s="272" t="s">
        <v>297</v>
      </c>
      <c r="F45" s="283">
        <v>133</v>
      </c>
      <c r="G45" s="274" t="s">
        <v>294</v>
      </c>
      <c r="H45" s="277">
        <v>0.23308270676691728</v>
      </c>
      <c r="I45" s="283">
        <v>29</v>
      </c>
      <c r="J45" s="272" t="s">
        <v>297</v>
      </c>
      <c r="K45" s="283">
        <v>136</v>
      </c>
      <c r="L45" s="274" t="s">
        <v>294</v>
      </c>
      <c r="M45" s="277">
        <v>0.21323529411764705</v>
      </c>
      <c r="N45" s="326">
        <v>5.0199999999999996</v>
      </c>
      <c r="O45" s="283" t="s">
        <v>297</v>
      </c>
      <c r="P45" s="283">
        <v>5</v>
      </c>
      <c r="Q45" s="287" t="s">
        <v>294</v>
      </c>
      <c r="R45" s="277">
        <v>1.004</v>
      </c>
      <c r="S45" s="276">
        <v>16</v>
      </c>
      <c r="T45" s="272" t="s">
        <v>297</v>
      </c>
      <c r="U45" s="273">
        <v>23</v>
      </c>
      <c r="V45" s="274" t="s">
        <v>294</v>
      </c>
      <c r="W45" s="277">
        <v>0.69565217391304346</v>
      </c>
      <c r="X45" s="276">
        <v>11</v>
      </c>
      <c r="Y45" s="272" t="s">
        <v>297</v>
      </c>
      <c r="Z45" s="273">
        <v>13</v>
      </c>
      <c r="AA45" s="274" t="s">
        <v>294</v>
      </c>
      <c r="AB45" s="277">
        <v>0.84615384615384615</v>
      </c>
      <c r="AC45" s="276">
        <v>6</v>
      </c>
      <c r="AD45" s="272"/>
      <c r="AE45" s="283" t="s">
        <v>334</v>
      </c>
      <c r="AF45" s="902">
        <v>2</v>
      </c>
      <c r="AG45" s="903"/>
    </row>
    <row r="46" spans="1:33" ht="18" customHeight="1">
      <c r="A46" s="325" t="s">
        <v>293</v>
      </c>
      <c r="B46" s="890"/>
      <c r="C46" s="292" t="s">
        <v>293</v>
      </c>
      <c r="D46" s="283">
        <v>0</v>
      </c>
      <c r="E46" s="272" t="s">
        <v>297</v>
      </c>
      <c r="F46" s="283">
        <v>0</v>
      </c>
      <c r="G46" s="274" t="s">
        <v>294</v>
      </c>
      <c r="H46" s="277"/>
      <c r="I46" s="283">
        <v>0</v>
      </c>
      <c r="J46" s="272" t="s">
        <v>297</v>
      </c>
      <c r="K46" s="283">
        <v>0</v>
      </c>
      <c r="L46" s="274" t="s">
        <v>294</v>
      </c>
      <c r="M46" s="277"/>
      <c r="N46" s="326">
        <v>0</v>
      </c>
      <c r="O46" s="283" t="s">
        <v>297</v>
      </c>
      <c r="P46" s="283"/>
      <c r="Q46" s="287" t="s">
        <v>294</v>
      </c>
      <c r="R46" s="277"/>
      <c r="S46" s="276">
        <v>0</v>
      </c>
      <c r="T46" s="272" t="s">
        <v>297</v>
      </c>
      <c r="U46" s="273">
        <v>0</v>
      </c>
      <c r="V46" s="274" t="s">
        <v>294</v>
      </c>
      <c r="W46" s="277"/>
      <c r="X46" s="276">
        <v>0</v>
      </c>
      <c r="Y46" s="272" t="s">
        <v>297</v>
      </c>
      <c r="Z46" s="273"/>
      <c r="AA46" s="274" t="s">
        <v>294</v>
      </c>
      <c r="AB46" s="277"/>
      <c r="AC46" s="276">
        <v>0</v>
      </c>
      <c r="AD46" s="272"/>
      <c r="AE46" s="283" t="s">
        <v>334</v>
      </c>
      <c r="AF46" s="902">
        <v>0</v>
      </c>
      <c r="AG46" s="903"/>
    </row>
    <row r="47" spans="1:33" ht="18" customHeight="1">
      <c r="A47" s="325" t="s">
        <v>281</v>
      </c>
      <c r="B47" s="825" t="s">
        <v>288</v>
      </c>
      <c r="C47" s="293" t="s">
        <v>312</v>
      </c>
      <c r="D47" s="283">
        <v>21</v>
      </c>
      <c r="E47" s="272" t="s">
        <v>297</v>
      </c>
      <c r="F47" s="283">
        <v>188</v>
      </c>
      <c r="G47" s="274" t="s">
        <v>294</v>
      </c>
      <c r="H47" s="277">
        <v>0.11170212765957446</v>
      </c>
      <c r="I47" s="283">
        <v>27</v>
      </c>
      <c r="J47" s="272" t="s">
        <v>297</v>
      </c>
      <c r="K47" s="283">
        <v>174</v>
      </c>
      <c r="L47" s="274" t="s">
        <v>294</v>
      </c>
      <c r="M47" s="277">
        <v>0.15517241379310345</v>
      </c>
      <c r="N47" s="326">
        <v>3.5</v>
      </c>
      <c r="O47" s="283" t="s">
        <v>297</v>
      </c>
      <c r="P47" s="283">
        <v>5</v>
      </c>
      <c r="Q47" s="287" t="s">
        <v>294</v>
      </c>
      <c r="R47" s="277">
        <v>0.7</v>
      </c>
      <c r="S47" s="276">
        <v>9</v>
      </c>
      <c r="T47" s="272" t="s">
        <v>297</v>
      </c>
      <c r="U47" s="273">
        <v>12</v>
      </c>
      <c r="V47" s="274" t="s">
        <v>294</v>
      </c>
      <c r="W47" s="277">
        <v>0.75</v>
      </c>
      <c r="X47" s="276">
        <v>6</v>
      </c>
      <c r="Y47" s="272" t="s">
        <v>297</v>
      </c>
      <c r="Z47" s="273">
        <v>6</v>
      </c>
      <c r="AA47" s="274" t="s">
        <v>294</v>
      </c>
      <c r="AB47" s="277">
        <v>1</v>
      </c>
      <c r="AC47" s="276">
        <v>10</v>
      </c>
      <c r="AD47" s="272"/>
      <c r="AE47" s="283" t="s">
        <v>334</v>
      </c>
      <c r="AF47" s="902">
        <v>11</v>
      </c>
      <c r="AG47" s="903"/>
    </row>
    <row r="48" spans="1:33" ht="18" customHeight="1">
      <c r="A48" s="325" t="s">
        <v>282</v>
      </c>
      <c r="B48" s="825"/>
      <c r="C48" s="293" t="s">
        <v>313</v>
      </c>
      <c r="D48" s="283">
        <v>30</v>
      </c>
      <c r="E48" s="272" t="s">
        <v>297</v>
      </c>
      <c r="F48" s="283">
        <v>277</v>
      </c>
      <c r="G48" s="274" t="s">
        <v>294</v>
      </c>
      <c r="H48" s="277">
        <v>0.10830324909747292</v>
      </c>
      <c r="I48" s="283">
        <v>38</v>
      </c>
      <c r="J48" s="272" t="s">
        <v>297</v>
      </c>
      <c r="K48" s="283">
        <v>239</v>
      </c>
      <c r="L48" s="274" t="s">
        <v>294</v>
      </c>
      <c r="M48" s="277">
        <v>0.15899581589958159</v>
      </c>
      <c r="N48" s="326">
        <v>3.2</v>
      </c>
      <c r="O48" s="283" t="s">
        <v>297</v>
      </c>
      <c r="P48" s="283">
        <v>5</v>
      </c>
      <c r="Q48" s="287" t="s">
        <v>294</v>
      </c>
      <c r="R48" s="277">
        <v>0.64</v>
      </c>
      <c r="S48" s="276">
        <v>11</v>
      </c>
      <c r="T48" s="272" t="s">
        <v>297</v>
      </c>
      <c r="U48" s="273">
        <v>12</v>
      </c>
      <c r="V48" s="274" t="s">
        <v>294</v>
      </c>
      <c r="W48" s="277">
        <v>0.91666666666666663</v>
      </c>
      <c r="X48" s="276">
        <v>6</v>
      </c>
      <c r="Y48" s="272" t="s">
        <v>297</v>
      </c>
      <c r="Z48" s="273">
        <v>6</v>
      </c>
      <c r="AA48" s="274" t="s">
        <v>294</v>
      </c>
      <c r="AB48" s="277">
        <v>1</v>
      </c>
      <c r="AC48" s="276">
        <v>5</v>
      </c>
      <c r="AD48" s="272"/>
      <c r="AE48" s="283" t="s">
        <v>334</v>
      </c>
      <c r="AF48" s="902">
        <v>13</v>
      </c>
      <c r="AG48" s="903"/>
    </row>
    <row r="49" spans="1:33" ht="18" customHeight="1">
      <c r="A49" s="325" t="s">
        <v>283</v>
      </c>
      <c r="B49" s="825"/>
      <c r="C49" s="293" t="s">
        <v>311</v>
      </c>
      <c r="D49" s="283">
        <v>30</v>
      </c>
      <c r="E49" s="272" t="s">
        <v>297</v>
      </c>
      <c r="F49" s="283">
        <v>207</v>
      </c>
      <c r="G49" s="274" t="s">
        <v>294</v>
      </c>
      <c r="H49" s="277">
        <v>0.14492753623188406</v>
      </c>
      <c r="I49" s="283">
        <v>29</v>
      </c>
      <c r="J49" s="272" t="s">
        <v>297</v>
      </c>
      <c r="K49" s="283">
        <v>201</v>
      </c>
      <c r="L49" s="274" t="s">
        <v>294</v>
      </c>
      <c r="M49" s="277">
        <v>0.14427860696517414</v>
      </c>
      <c r="N49" s="326">
        <v>3.38</v>
      </c>
      <c r="O49" s="283" t="s">
        <v>297</v>
      </c>
      <c r="P49" s="283">
        <v>5</v>
      </c>
      <c r="Q49" s="287" t="s">
        <v>294</v>
      </c>
      <c r="R49" s="277">
        <v>0.67599999999999993</v>
      </c>
      <c r="S49" s="276">
        <v>8</v>
      </c>
      <c r="T49" s="272" t="s">
        <v>297</v>
      </c>
      <c r="U49" s="273">
        <v>12</v>
      </c>
      <c r="V49" s="274" t="s">
        <v>294</v>
      </c>
      <c r="W49" s="277">
        <v>0.66666666666666663</v>
      </c>
      <c r="X49" s="276">
        <v>5</v>
      </c>
      <c r="Y49" s="272" t="s">
        <v>297</v>
      </c>
      <c r="Z49" s="273">
        <v>6</v>
      </c>
      <c r="AA49" s="274" t="s">
        <v>294</v>
      </c>
      <c r="AB49" s="277">
        <v>0.83333333333333337</v>
      </c>
      <c r="AC49" s="276">
        <v>10</v>
      </c>
      <c r="AD49" s="272"/>
      <c r="AE49" s="283" t="s">
        <v>334</v>
      </c>
      <c r="AF49" s="902">
        <v>11</v>
      </c>
      <c r="AG49" s="903"/>
    </row>
    <row r="50" spans="1:33" ht="18" customHeight="1">
      <c r="A50" s="325" t="s">
        <v>284</v>
      </c>
      <c r="B50" s="826" t="s">
        <v>291</v>
      </c>
      <c r="C50" s="293" t="s">
        <v>314</v>
      </c>
      <c r="D50" s="283">
        <v>0</v>
      </c>
      <c r="E50" s="272" t="s">
        <v>297</v>
      </c>
      <c r="F50" s="283">
        <v>4</v>
      </c>
      <c r="G50" s="274" t="s">
        <v>294</v>
      </c>
      <c r="H50" s="277"/>
      <c r="I50" s="283">
        <v>0</v>
      </c>
      <c r="J50" s="272" t="s">
        <v>297</v>
      </c>
      <c r="K50" s="283">
        <v>4</v>
      </c>
      <c r="L50" s="274" t="s">
        <v>294</v>
      </c>
      <c r="M50" s="277"/>
      <c r="N50" s="326">
        <v>0.21</v>
      </c>
      <c r="O50" s="283" t="s">
        <v>297</v>
      </c>
      <c r="P50" s="283"/>
      <c r="Q50" s="287" t="s">
        <v>294</v>
      </c>
      <c r="R50" s="277"/>
      <c r="S50" s="276">
        <v>0</v>
      </c>
      <c r="T50" s="272" t="s">
        <v>297</v>
      </c>
      <c r="U50" s="273">
        <v>0</v>
      </c>
      <c r="V50" s="274" t="s">
        <v>294</v>
      </c>
      <c r="W50" s="277"/>
      <c r="X50" s="276">
        <v>0</v>
      </c>
      <c r="Y50" s="272" t="s">
        <v>297</v>
      </c>
      <c r="Z50" s="273"/>
      <c r="AA50" s="274" t="s">
        <v>294</v>
      </c>
      <c r="AB50" s="277"/>
      <c r="AC50" s="276">
        <v>0</v>
      </c>
      <c r="AD50" s="272"/>
      <c r="AE50" s="283" t="s">
        <v>334</v>
      </c>
      <c r="AF50" s="902">
        <v>0</v>
      </c>
      <c r="AG50" s="903"/>
    </row>
    <row r="51" spans="1:33" ht="18" customHeight="1">
      <c r="A51" s="325"/>
      <c r="B51" s="826"/>
      <c r="C51" s="347" t="s">
        <v>292</v>
      </c>
      <c r="D51" s="352">
        <v>221</v>
      </c>
      <c r="E51" s="349" t="s">
        <v>297</v>
      </c>
      <c r="F51" s="352">
        <v>806</v>
      </c>
      <c r="G51" s="350" t="s">
        <v>294</v>
      </c>
      <c r="H51" s="351">
        <v>0.27419354838709675</v>
      </c>
      <c r="I51" s="352">
        <v>253</v>
      </c>
      <c r="J51" s="349" t="s">
        <v>297</v>
      </c>
      <c r="K51" s="352">
        <v>888</v>
      </c>
      <c r="L51" s="350" t="s">
        <v>294</v>
      </c>
      <c r="M51" s="351">
        <v>0.28490990990990989</v>
      </c>
      <c r="N51" s="348">
        <v>4.2614285714285716</v>
      </c>
      <c r="O51" s="349" t="s">
        <v>297</v>
      </c>
      <c r="P51" s="352">
        <v>5.666666666666667</v>
      </c>
      <c r="Q51" s="350" t="s">
        <v>294</v>
      </c>
      <c r="R51" s="351">
        <v>0.75201680672268911</v>
      </c>
      <c r="S51" s="353">
        <v>1</v>
      </c>
      <c r="T51" s="349" t="s">
        <v>297</v>
      </c>
      <c r="U51" s="354">
        <v>23</v>
      </c>
      <c r="V51" s="350" t="s">
        <v>294</v>
      </c>
      <c r="W51" s="351">
        <v>4.3478260869565216E-2</v>
      </c>
      <c r="X51" s="353">
        <v>1</v>
      </c>
      <c r="Y51" s="349" t="s">
        <v>297</v>
      </c>
      <c r="Z51" s="354">
        <v>13</v>
      </c>
      <c r="AA51" s="350" t="s">
        <v>294</v>
      </c>
      <c r="AB51" s="351">
        <v>7.6923076923076927E-2</v>
      </c>
      <c r="AC51" s="348">
        <v>19</v>
      </c>
      <c r="AD51" s="349"/>
      <c r="AE51" s="352" t="s">
        <v>334</v>
      </c>
      <c r="AF51" s="908">
        <v>4</v>
      </c>
      <c r="AG51" s="909"/>
    </row>
    <row r="52" spans="1:33" ht="18" customHeight="1">
      <c r="A52" s="325"/>
      <c r="B52" s="826"/>
      <c r="C52" s="355" t="s">
        <v>288</v>
      </c>
      <c r="D52" s="360">
        <v>81</v>
      </c>
      <c r="E52" s="357" t="s">
        <v>297</v>
      </c>
      <c r="F52" s="360">
        <v>676</v>
      </c>
      <c r="G52" s="358" t="s">
        <v>294</v>
      </c>
      <c r="H52" s="359">
        <v>0.11982248520710059</v>
      </c>
      <c r="I52" s="360">
        <v>94</v>
      </c>
      <c r="J52" s="357" t="s">
        <v>297</v>
      </c>
      <c r="K52" s="360">
        <v>618</v>
      </c>
      <c r="L52" s="358" t="s">
        <v>294</v>
      </c>
      <c r="M52" s="359">
        <v>0.15210355987055016</v>
      </c>
      <c r="N52" s="356">
        <v>2.5725000000000002</v>
      </c>
      <c r="O52" s="357" t="s">
        <v>297</v>
      </c>
      <c r="P52" s="360">
        <v>5</v>
      </c>
      <c r="Q52" s="358" t="s">
        <v>294</v>
      </c>
      <c r="R52" s="359">
        <v>0.51450000000000007</v>
      </c>
      <c r="S52" s="361">
        <v>3</v>
      </c>
      <c r="T52" s="357" t="s">
        <v>297</v>
      </c>
      <c r="U52" s="362">
        <v>12</v>
      </c>
      <c r="V52" s="358" t="s">
        <v>294</v>
      </c>
      <c r="W52" s="359">
        <v>0.25</v>
      </c>
      <c r="X52" s="361">
        <v>2</v>
      </c>
      <c r="Y52" s="357" t="s">
        <v>297</v>
      </c>
      <c r="Z52" s="362">
        <v>6</v>
      </c>
      <c r="AA52" s="358" t="s">
        <v>294</v>
      </c>
      <c r="AB52" s="359">
        <v>0.33333333333333331</v>
      </c>
      <c r="AC52" s="356">
        <v>25</v>
      </c>
      <c r="AD52" s="357"/>
      <c r="AE52" s="360" t="s">
        <v>334</v>
      </c>
      <c r="AF52" s="906">
        <v>35</v>
      </c>
      <c r="AG52" s="907"/>
    </row>
    <row r="53" spans="1:33" ht="20" customHeight="1" thickBot="1">
      <c r="B53" s="827"/>
      <c r="C53" s="371" t="s">
        <v>62</v>
      </c>
      <c r="D53" s="377">
        <v>302</v>
      </c>
      <c r="E53" s="372" t="s">
        <v>297</v>
      </c>
      <c r="F53" s="377">
        <v>1482</v>
      </c>
      <c r="G53" s="374" t="s">
        <v>294</v>
      </c>
      <c r="H53" s="375">
        <v>0.203778677462888</v>
      </c>
      <c r="I53" s="376">
        <v>347</v>
      </c>
      <c r="J53" s="377" t="s">
        <v>297</v>
      </c>
      <c r="K53" s="377">
        <v>1506</v>
      </c>
      <c r="L53" s="378" t="s">
        <v>294</v>
      </c>
      <c r="M53" s="375">
        <v>0.23041168658698538</v>
      </c>
      <c r="N53" s="376">
        <v>40.120000000000005</v>
      </c>
      <c r="O53" s="377" t="s">
        <v>297</v>
      </c>
      <c r="P53" s="377">
        <v>49</v>
      </c>
      <c r="Q53" s="378" t="s">
        <v>294</v>
      </c>
      <c r="R53" s="375">
        <v>0.81877551020408168</v>
      </c>
      <c r="S53" s="379">
        <v>1</v>
      </c>
      <c r="T53" s="372" t="s">
        <v>297</v>
      </c>
      <c r="U53" s="373">
        <v>23</v>
      </c>
      <c r="V53" s="374" t="s">
        <v>294</v>
      </c>
      <c r="W53" s="380">
        <v>4.3478260869565216E-2</v>
      </c>
      <c r="X53" s="379">
        <v>1</v>
      </c>
      <c r="Y53" s="372" t="s">
        <v>297</v>
      </c>
      <c r="Z53" s="373">
        <v>13</v>
      </c>
      <c r="AA53" s="374" t="s">
        <v>294</v>
      </c>
      <c r="AB53" s="380">
        <v>7.6923076923076927E-2</v>
      </c>
      <c r="AC53" s="379">
        <v>44</v>
      </c>
      <c r="AD53" s="372"/>
      <c r="AE53" s="377" t="s">
        <v>334</v>
      </c>
      <c r="AF53" s="904">
        <v>39</v>
      </c>
      <c r="AG53" s="905"/>
    </row>
  </sheetData>
  <mergeCells count="71">
    <mergeCell ref="AF50:AG50"/>
    <mergeCell ref="AF53:AG53"/>
    <mergeCell ref="AF45:AG45"/>
    <mergeCell ref="AF46:AG46"/>
    <mergeCell ref="AF47:AG47"/>
    <mergeCell ref="AF48:AG48"/>
    <mergeCell ref="AF49:AG49"/>
    <mergeCell ref="AF52:AG52"/>
    <mergeCell ref="AF51:AG51"/>
    <mergeCell ref="AF40:AG40"/>
    <mergeCell ref="AF41:AG41"/>
    <mergeCell ref="AF42:AG42"/>
    <mergeCell ref="AF43:AG43"/>
    <mergeCell ref="AF44:AG44"/>
    <mergeCell ref="B47:B49"/>
    <mergeCell ref="B50:B53"/>
    <mergeCell ref="B8:B10"/>
    <mergeCell ref="B22:B25"/>
    <mergeCell ref="B26:B28"/>
    <mergeCell ref="B40:B43"/>
    <mergeCell ref="B44:B46"/>
    <mergeCell ref="B37:AG37"/>
    <mergeCell ref="B38:B39"/>
    <mergeCell ref="C38:C39"/>
    <mergeCell ref="D38:H38"/>
    <mergeCell ref="I38:M38"/>
    <mergeCell ref="N38:R38"/>
    <mergeCell ref="S38:W38"/>
    <mergeCell ref="X38:AB38"/>
    <mergeCell ref="AC38:AG38"/>
    <mergeCell ref="AC39:AG39"/>
    <mergeCell ref="B29:B31"/>
    <mergeCell ref="B32:B35"/>
    <mergeCell ref="D21:H21"/>
    <mergeCell ref="I21:M21"/>
    <mergeCell ref="N21:R21"/>
    <mergeCell ref="S21:W21"/>
    <mergeCell ref="X21:AB21"/>
    <mergeCell ref="AC21:AG21"/>
    <mergeCell ref="D39:H39"/>
    <mergeCell ref="I39:M39"/>
    <mergeCell ref="N39:R39"/>
    <mergeCell ref="S39:W39"/>
    <mergeCell ref="X39:AB39"/>
    <mergeCell ref="B1:AG1"/>
    <mergeCell ref="B19:AG19"/>
    <mergeCell ref="B20:B21"/>
    <mergeCell ref="C20:C21"/>
    <mergeCell ref="D20:H20"/>
    <mergeCell ref="I20:M20"/>
    <mergeCell ref="N20:R20"/>
    <mergeCell ref="S20:W20"/>
    <mergeCell ref="X20:AB20"/>
    <mergeCell ref="AC20:AG20"/>
    <mergeCell ref="X2:AB2"/>
    <mergeCell ref="X3:AB3"/>
    <mergeCell ref="AC2:AG2"/>
    <mergeCell ref="AC3:AG3"/>
    <mergeCell ref="B2:B3"/>
    <mergeCell ref="C2:C3"/>
    <mergeCell ref="I2:M2"/>
    <mergeCell ref="I3:M3"/>
    <mergeCell ref="N2:R2"/>
    <mergeCell ref="N3:R3"/>
    <mergeCell ref="S2:W2"/>
    <mergeCell ref="S3:W3"/>
    <mergeCell ref="D2:H2"/>
    <mergeCell ref="B11:B13"/>
    <mergeCell ref="B14:B17"/>
    <mergeCell ref="D3:H3"/>
    <mergeCell ref="B4:B7"/>
  </mergeCells>
  <phoneticPr fontId="45" type="noConversion"/>
  <conditionalFormatting sqref="AG4:AG14 M4:M14 R4:R14 W4:W14 AB4:AB14">
    <cfRule type="cellIs" dxfId="131" priority="19" stopIfTrue="1" operator="greaterThan">
      <formula>1</formula>
    </cfRule>
    <cfRule type="cellIs" dxfId="130" priority="20" operator="lessThan">
      <formula>1</formula>
    </cfRule>
  </conditionalFormatting>
  <conditionalFormatting sqref="AG22:AG32 M22:M32 R22:R32 W22:W32 AB22:AB32">
    <cfRule type="cellIs" dxfId="129" priority="17" stopIfTrue="1" operator="greaterThan">
      <formula>1</formula>
    </cfRule>
    <cfRule type="cellIs" dxfId="128" priority="18" operator="lessThan">
      <formula>1</formula>
    </cfRule>
  </conditionalFormatting>
  <conditionalFormatting sqref="H40:H50">
    <cfRule type="cellIs" dxfId="127" priority="14" operator="lessThan">
      <formula>0.4</formula>
    </cfRule>
  </conditionalFormatting>
  <conditionalFormatting sqref="M40:M50">
    <cfRule type="cellIs" dxfId="126" priority="13" operator="lessThan">
      <formula>0.4</formula>
    </cfRule>
  </conditionalFormatting>
  <conditionalFormatting sqref="R40:R50">
    <cfRule type="cellIs" dxfId="125" priority="11" operator="greaterThan">
      <formula>1</formula>
    </cfRule>
    <cfRule type="cellIs" dxfId="124" priority="12" operator="lessThan">
      <formula>1</formula>
    </cfRule>
  </conditionalFormatting>
  <conditionalFormatting sqref="W40:W50">
    <cfRule type="cellIs" dxfId="123" priority="10" operator="lessThan">
      <formula>1</formula>
    </cfRule>
  </conditionalFormatting>
  <conditionalFormatting sqref="AB40:AB50">
    <cfRule type="cellIs" dxfId="122" priority="9" operator="lessThan">
      <formula>1</formula>
    </cfRule>
  </conditionalFormatting>
  <conditionalFormatting sqref="AK1:AL2">
    <cfRule type="containsErrors" dxfId="121" priority="8">
      <formula>ISERROR(AK1)</formula>
    </cfRule>
  </conditionalFormatting>
  <conditionalFormatting sqref="AI1:AJ2">
    <cfRule type="containsErrors" dxfId="120" priority="7">
      <formula>ISERROR(AI1)</formula>
    </cfRule>
  </conditionalFormatting>
  <conditionalFormatting sqref="H4:H14">
    <cfRule type="cellIs" dxfId="119" priority="5" stopIfTrue="1" operator="greaterThan">
      <formula>1</formula>
    </cfRule>
    <cfRule type="cellIs" dxfId="118" priority="6" operator="lessThan">
      <formula>1</formula>
    </cfRule>
  </conditionalFormatting>
  <conditionalFormatting sqref="H22:H32">
    <cfRule type="cellIs" dxfId="117" priority="1" stopIfTrue="1" operator="greaterThan">
      <formula>1</formula>
    </cfRule>
    <cfRule type="cellIs" dxfId="116" priority="2" operator="lessThan">
      <formula>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B9EA4-7EAA-6F42-BB33-8FD122D90B83}">
  <dimension ref="A2:C8"/>
  <sheetViews>
    <sheetView workbookViewId="0">
      <selection activeCell="F9" sqref="F9"/>
    </sheetView>
  </sheetViews>
  <sheetFormatPr baseColWidth="10" defaultRowHeight="16"/>
  <cols>
    <col min="1" max="1" width="14" bestFit="1" customWidth="1"/>
  </cols>
  <sheetData>
    <row r="2" spans="1:3">
      <c r="B2" s="640" t="s">
        <v>542</v>
      </c>
      <c r="C2" s="640" t="s">
        <v>543</v>
      </c>
    </row>
    <row r="3" spans="1:3">
      <c r="A3" t="s">
        <v>180</v>
      </c>
      <c r="B3" t="s">
        <v>544</v>
      </c>
      <c r="C3" s="606">
        <v>0.25</v>
      </c>
    </row>
    <row r="4" spans="1:3">
      <c r="A4" t="s">
        <v>181</v>
      </c>
      <c r="B4" t="s">
        <v>545</v>
      </c>
      <c r="C4" s="606">
        <v>0.25</v>
      </c>
    </row>
    <row r="5" spans="1:3">
      <c r="A5" t="s">
        <v>182</v>
      </c>
      <c r="B5" t="s">
        <v>546</v>
      </c>
      <c r="C5" s="606">
        <v>0.3</v>
      </c>
    </row>
    <row r="6" spans="1:3">
      <c r="A6" t="s">
        <v>183</v>
      </c>
      <c r="B6" t="s">
        <v>547</v>
      </c>
      <c r="C6" s="606">
        <v>0.2</v>
      </c>
    </row>
    <row r="7" spans="1:3">
      <c r="A7" t="s">
        <v>184</v>
      </c>
      <c r="B7" t="s">
        <v>548</v>
      </c>
      <c r="C7" s="606">
        <v>0.02</v>
      </c>
    </row>
    <row r="8" spans="1:3">
      <c r="A8" t="s">
        <v>549</v>
      </c>
      <c r="B8" t="str" cm="1">
        <f t="array" aca="1" ref="B8" ca="1">_xlfn.IFS(
DAY(TODAY())&lt;=7,"W1",
DAY(TODAY())&lt;=14,"W2",
DAY(TODAY())&lt;=21,"W3",
DAY(TODAY())&lt;=28,"W4",
TRUE,"W5"
)</f>
        <v>W1</v>
      </c>
    </row>
  </sheetData>
  <phoneticPr fontId="45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147F10-B63B-9242-A028-13A2290D4059}">
  <sheetPr codeName="Sheet5">
    <tabColor rgb="FFFF0000"/>
  </sheetPr>
  <dimension ref="A1:AQ54"/>
  <sheetViews>
    <sheetView topLeftCell="C29" zoomScale="70" zoomScaleNormal="70" workbookViewId="0">
      <selection activeCell="L26" sqref="L26"/>
    </sheetView>
  </sheetViews>
  <sheetFormatPr baseColWidth="10" defaultRowHeight="16"/>
  <cols>
    <col min="1" max="1" width="35" style="25" bestFit="1" customWidth="1"/>
    <col min="2" max="2" width="15" style="89" customWidth="1"/>
    <col min="3" max="3" width="11" style="89" customWidth="1"/>
    <col min="4" max="4" width="19.6640625" style="25" customWidth="1"/>
    <col min="5" max="5" width="9.6640625" style="25" customWidth="1"/>
    <col min="6" max="6" width="10" style="25" customWidth="1"/>
    <col min="7" max="8" width="8.83203125" style="25" customWidth="1"/>
    <col min="9" max="9" width="11" style="25" customWidth="1"/>
    <col min="10" max="10" width="16.1640625" style="25" hidden="1" customWidth="1"/>
    <col min="11" max="11" width="12.5" style="25" customWidth="1"/>
    <col min="12" max="12" width="20" style="25" bestFit="1" customWidth="1"/>
    <col min="13" max="13" width="12.83203125" style="25" customWidth="1"/>
    <col min="14" max="14" width="13.33203125" style="25" hidden="1" customWidth="1"/>
    <col min="15" max="15" width="11.5" style="25" hidden="1" customWidth="1"/>
    <col min="16" max="16" width="15.33203125" style="25" customWidth="1"/>
    <col min="17" max="17" width="9.6640625" style="25" customWidth="1"/>
    <col min="18" max="18" width="0.5" style="25" customWidth="1"/>
    <col min="19" max="19" width="17.5" style="25" bestFit="1" customWidth="1"/>
    <col min="20" max="20" width="11" style="25" customWidth="1"/>
    <col min="21" max="21" width="12.1640625" style="25" customWidth="1"/>
    <col min="22" max="22" width="0.5" style="45" customWidth="1"/>
    <col min="23" max="23" width="11" style="25" customWidth="1"/>
    <col min="24" max="24" width="12.1640625" style="25" customWidth="1"/>
    <col min="25" max="25" width="0.5" style="45" customWidth="1"/>
    <col min="26" max="26" width="11" style="25" customWidth="1"/>
    <col min="27" max="27" width="12.1640625" style="25" customWidth="1"/>
    <col min="28" max="28" width="0.5" style="45" customWidth="1"/>
    <col min="29" max="29" width="11" style="25" customWidth="1"/>
    <col min="30" max="30" width="12.1640625" style="25" customWidth="1"/>
    <col min="31" max="31" width="0.5" style="45" customWidth="1"/>
    <col min="32" max="32" width="11" style="25" customWidth="1"/>
    <col min="33" max="33" width="12.1640625" style="25" customWidth="1"/>
    <col min="34" max="34" width="0.5" style="45" customWidth="1"/>
    <col min="35" max="35" width="11" style="25" customWidth="1"/>
    <col min="36" max="36" width="12.33203125" style="25" customWidth="1"/>
    <col min="37" max="37" width="0.5" style="45" customWidth="1"/>
    <col min="38" max="38" width="11" style="25" customWidth="1"/>
    <col min="39" max="39" width="12.1640625" style="25" customWidth="1"/>
    <col min="40" max="40" width="0.5" style="45" hidden="1" customWidth="1"/>
    <col min="41" max="41" width="11" style="25" customWidth="1"/>
    <col min="42" max="42" width="12.1640625" style="25" customWidth="1"/>
    <col min="43" max="43" width="10.83203125" style="25"/>
    <col min="44" max="44" width="27" style="25" bestFit="1" customWidth="1"/>
    <col min="45" max="76" width="5.6640625" style="25" customWidth="1"/>
    <col min="77" max="16384" width="10.83203125" style="25"/>
  </cols>
  <sheetData>
    <row r="1" spans="1:43">
      <c r="B1" s="27"/>
      <c r="C1" s="27"/>
      <c r="D1" s="110">
        <f ca="1">DATE(YEAR(TODAY()),MONTH(TODAY()),1)</f>
        <v>46174</v>
      </c>
      <c r="E1" s="102" t="s">
        <v>39</v>
      </c>
      <c r="F1" s="102">
        <f ca="1">DAY(EOMONTH(D1,0))</f>
        <v>30</v>
      </c>
      <c r="G1" s="102"/>
      <c r="H1" s="150"/>
      <c r="I1" s="150" t="s">
        <v>209</v>
      </c>
      <c r="J1" s="151" t="s">
        <v>210</v>
      </c>
      <c r="K1" s="25" t="s">
        <v>159</v>
      </c>
      <c r="N1" s="25" t="s">
        <v>449</v>
      </c>
    </row>
    <row r="2" spans="1:43">
      <c r="B2" s="27"/>
      <c r="C2" s="27"/>
      <c r="D2" s="110">
        <f ca="1">TODAY()-1</f>
        <v>46179</v>
      </c>
      <c r="E2" s="102" t="s">
        <v>36</v>
      </c>
      <c r="F2" s="103">
        <f ca="1">F1-DAY(D2)</f>
        <v>24</v>
      </c>
      <c r="G2" s="103"/>
      <c r="H2" s="145" t="s">
        <v>180</v>
      </c>
      <c r="I2" s="103">
        <v>5</v>
      </c>
      <c r="J2" s="149">
        <v>0.25</v>
      </c>
      <c r="K2" s="25" t="s">
        <v>160</v>
      </c>
      <c r="N2" s="25" t="s">
        <v>450</v>
      </c>
    </row>
    <row r="3" spans="1:43">
      <c r="B3" s="27"/>
      <c r="C3" s="27"/>
      <c r="D3" s="147" t="s">
        <v>157</v>
      </c>
      <c r="E3" s="27">
        <f ca="1">ROUNDUP(DAY(EOMONTH(D1,0))/7,)</f>
        <v>5</v>
      </c>
      <c r="F3" s="28"/>
      <c r="G3" s="28"/>
      <c r="H3" s="146" t="s">
        <v>181</v>
      </c>
      <c r="I3" s="27">
        <v>7</v>
      </c>
      <c r="J3" s="149">
        <v>0.25</v>
      </c>
      <c r="K3" s="25" t="s">
        <v>161</v>
      </c>
      <c r="AD3"/>
      <c r="AQ3"/>
    </row>
    <row r="4" spans="1:43">
      <c r="B4" s="27"/>
      <c r="C4" s="27"/>
      <c r="D4" s="147" t="s">
        <v>156</v>
      </c>
      <c r="E4" s="27">
        <v>4</v>
      </c>
      <c r="F4" s="148" t="s">
        <v>208</v>
      </c>
      <c r="G4" s="28"/>
      <c r="H4" s="146" t="s">
        <v>182</v>
      </c>
      <c r="I4" s="27">
        <v>7</v>
      </c>
      <c r="J4" s="149">
        <v>0.2</v>
      </c>
      <c r="K4" s="25" t="s">
        <v>162</v>
      </c>
    </row>
    <row r="5" spans="1:43">
      <c r="B5" s="27"/>
      <c r="C5" s="27"/>
      <c r="D5" s="104"/>
      <c r="E5" s="27"/>
      <c r="F5" s="28"/>
      <c r="G5" s="28"/>
      <c r="H5" s="146" t="s">
        <v>183</v>
      </c>
      <c r="I5" s="27">
        <v>7</v>
      </c>
      <c r="J5" s="149">
        <v>0.2</v>
      </c>
      <c r="K5" s="25" t="s">
        <v>215</v>
      </c>
    </row>
    <row r="6" spans="1:43">
      <c r="B6" s="27"/>
      <c r="C6" s="27"/>
      <c r="D6" s="104"/>
      <c r="E6" s="27"/>
      <c r="F6" s="28"/>
      <c r="G6" s="28"/>
      <c r="H6" s="146" t="s">
        <v>184</v>
      </c>
      <c r="I6" s="27">
        <v>4</v>
      </c>
      <c r="J6" s="149">
        <v>0.15</v>
      </c>
      <c r="K6" s="25" t="s">
        <v>265</v>
      </c>
      <c r="S6" s="45"/>
      <c r="T6" s="515"/>
      <c r="U6" s="515"/>
      <c r="W6" s="515"/>
      <c r="X6" s="515"/>
      <c r="Z6" s="515"/>
      <c r="AA6" s="515"/>
      <c r="AC6" s="515"/>
      <c r="AD6" s="515"/>
      <c r="AF6" s="515"/>
      <c r="AG6" s="515"/>
      <c r="AH6" s="515"/>
      <c r="AI6" s="511"/>
      <c r="AJ6" s="511"/>
      <c r="AL6" s="511"/>
      <c r="AM6" s="511"/>
      <c r="AO6" s="511"/>
      <c r="AP6" s="511"/>
    </row>
    <row r="7" spans="1:43" ht="30" customHeight="1">
      <c r="B7" s="27"/>
      <c r="C7" s="27"/>
      <c r="D7" s="104"/>
      <c r="E7" s="27"/>
      <c r="F7" s="28"/>
      <c r="G7" s="28"/>
      <c r="I7" s="92">
        <f>SUM(I2:I6)</f>
        <v>30</v>
      </c>
      <c r="J7" s="149">
        <f>SUM(J2:J6)</f>
        <v>1.0499999999999998</v>
      </c>
      <c r="L7" s="938"/>
      <c r="M7" s="938"/>
      <c r="N7" s="89"/>
      <c r="S7" s="45"/>
      <c r="T7" s="472" t="s">
        <v>56</v>
      </c>
      <c r="U7" s="514"/>
      <c r="W7" s="514" t="s">
        <v>60</v>
      </c>
      <c r="X7" s="514"/>
      <c r="Z7" s="514" t="s">
        <v>57</v>
      </c>
      <c r="AA7" s="514"/>
      <c r="AC7" s="514" t="s">
        <v>151</v>
      </c>
      <c r="AD7" s="514"/>
      <c r="AF7" s="514" t="s">
        <v>15</v>
      </c>
      <c r="AG7" s="514"/>
      <c r="AH7" s="516"/>
      <c r="AI7" s="325" t="s">
        <v>433</v>
      </c>
      <c r="AJ7" s="514"/>
      <c r="AL7" s="514" t="s">
        <v>293</v>
      </c>
      <c r="AM7" s="517"/>
      <c r="AO7" s="514"/>
      <c r="AP7" s="517"/>
      <c r="AQ7" s="514"/>
    </row>
    <row r="8" spans="1:43" s="34" customFormat="1" ht="27" customHeight="1">
      <c r="B8" s="138"/>
      <c r="C8" s="138"/>
      <c r="D8" s="941" t="str">
        <f ca="1">"THI ĐUA ST DML THANH CHÂU THÁNG "&amp;MONTH((NOW()))</f>
        <v>THI ĐUA ST DML THANH CHÂU THÁNG 6</v>
      </c>
      <c r="E8" s="942"/>
      <c r="F8" s="942"/>
      <c r="G8" s="942"/>
      <c r="H8" s="942"/>
      <c r="I8" s="943"/>
      <c r="J8" s="944" t="s">
        <v>165</v>
      </c>
      <c r="K8" s="945"/>
      <c r="L8" s="945"/>
      <c r="M8" s="945"/>
      <c r="N8" s="945"/>
      <c r="O8" s="945"/>
      <c r="P8" s="945"/>
      <c r="Q8" s="946"/>
      <c r="R8" s="541"/>
      <c r="S8" s="536" t="s">
        <v>16</v>
      </c>
      <c r="T8" s="939" t="s">
        <v>442</v>
      </c>
      <c r="U8" s="940"/>
      <c r="V8" s="558"/>
      <c r="W8" s="930" t="s">
        <v>443</v>
      </c>
      <c r="X8" s="931"/>
      <c r="Y8" s="558"/>
      <c r="Z8" s="930" t="s">
        <v>444</v>
      </c>
      <c r="AA8" s="931"/>
      <c r="AB8" s="558"/>
      <c r="AC8" s="912" t="s">
        <v>445</v>
      </c>
      <c r="AD8" s="913"/>
      <c r="AE8" s="558"/>
      <c r="AF8" s="912" t="s">
        <v>446</v>
      </c>
      <c r="AG8" s="913"/>
      <c r="AH8" s="569"/>
      <c r="AI8" s="910" t="s">
        <v>448</v>
      </c>
      <c r="AJ8" s="911"/>
      <c r="AK8" s="558"/>
      <c r="AL8" s="910" t="s">
        <v>447</v>
      </c>
      <c r="AM8" s="911"/>
      <c r="AN8" s="558"/>
      <c r="AO8" s="910"/>
      <c r="AP8" s="911"/>
    </row>
    <row r="9" spans="1:43" s="42" customFormat="1" ht="32" customHeight="1">
      <c r="A9" s="42" t="s">
        <v>28</v>
      </c>
      <c r="B9" s="139" t="s">
        <v>43</v>
      </c>
      <c r="C9" s="139"/>
      <c r="D9" s="626" t="s">
        <v>16</v>
      </c>
      <c r="E9" s="627" t="s">
        <v>1</v>
      </c>
      <c r="F9" s="628" t="s">
        <v>10</v>
      </c>
      <c r="G9" s="628" t="s">
        <v>13</v>
      </c>
      <c r="H9" s="627" t="s">
        <v>36</v>
      </c>
      <c r="I9" s="627" t="s">
        <v>14</v>
      </c>
      <c r="J9" s="629" t="s">
        <v>152</v>
      </c>
      <c r="K9" s="630" t="s">
        <v>153</v>
      </c>
      <c r="L9" s="630" t="s">
        <v>164</v>
      </c>
      <c r="M9" s="630" t="s">
        <v>460</v>
      </c>
      <c r="N9" s="630" t="s">
        <v>214</v>
      </c>
      <c r="O9" s="630" t="s">
        <v>207</v>
      </c>
      <c r="P9" s="630" t="s">
        <v>155</v>
      </c>
      <c r="Q9" s="630" t="s">
        <v>17</v>
      </c>
      <c r="R9" s="559" t="s">
        <v>451</v>
      </c>
      <c r="S9" s="579" t="s">
        <v>339</v>
      </c>
      <c r="T9" s="570" t="s">
        <v>437</v>
      </c>
      <c r="U9" s="571" t="s">
        <v>461</v>
      </c>
      <c r="V9" s="562" t="s">
        <v>453</v>
      </c>
      <c r="W9" s="572" t="s">
        <v>468</v>
      </c>
      <c r="X9" s="573" t="s">
        <v>463</v>
      </c>
      <c r="Y9" s="562" t="s">
        <v>454</v>
      </c>
      <c r="Z9" s="572" t="s">
        <v>469</v>
      </c>
      <c r="AA9" s="573" t="s">
        <v>465</v>
      </c>
      <c r="AB9" s="562" t="s">
        <v>455</v>
      </c>
      <c r="AC9" s="574" t="s">
        <v>470</v>
      </c>
      <c r="AD9" s="575" t="s">
        <v>467</v>
      </c>
      <c r="AE9" s="562" t="s">
        <v>456</v>
      </c>
      <c r="AF9" s="574" t="s">
        <v>154</v>
      </c>
      <c r="AG9" s="575" t="s">
        <v>471</v>
      </c>
      <c r="AH9" s="576" t="s">
        <v>457</v>
      </c>
      <c r="AI9" s="574" t="s">
        <v>472</v>
      </c>
      <c r="AJ9" s="575" t="s">
        <v>473</v>
      </c>
      <c r="AK9" s="562" t="s">
        <v>458</v>
      </c>
      <c r="AL9" s="577" t="s">
        <v>474</v>
      </c>
      <c r="AM9" s="578" t="s">
        <v>475</v>
      </c>
      <c r="AN9" s="562" t="s">
        <v>459</v>
      </c>
      <c r="AO9" s="577" t="s">
        <v>476</v>
      </c>
      <c r="AP9" s="578" t="s">
        <v>477</v>
      </c>
    </row>
    <row r="10" spans="1:43" s="105" customFormat="1" ht="18" customHeight="1">
      <c r="A10" s="465" t="s">
        <v>508</v>
      </c>
      <c r="B10" s="140" t="str">
        <f>VLOOKUP(A10,KB!C:D,2,0)</f>
        <v>ICT</v>
      </c>
      <c r="C10" s="141"/>
      <c r="D10" s="111" t="s">
        <v>532</v>
      </c>
      <c r="E10" s="152" t="str">
        <f>VLOOKUP(A:A,KB!C:E,3,0)</f>
        <v>VIP</v>
      </c>
      <c r="F10" s="106">
        <f>SUMIFS(DATA_THIDUA_ST!C:C,DATA_THIDUA_ST!A:A,STRAM!A:A)</f>
        <v>225.9</v>
      </c>
      <c r="G10" s="106">
        <f>SUMIFS(DATA_THIDUA_ST!B:B,DATA_THIDUA_ST!A:A,STRAM!A:A)</f>
        <v>63.35</v>
      </c>
      <c r="H10" s="106">
        <f t="shared" ref="H10:H32" si="0">F10-G10</f>
        <v>162.55000000000001</v>
      </c>
      <c r="I10" s="133">
        <f>SUMIFS(DATA_THIDUA_ST!E:E,DATA_THIDUA_ST!A:A,STRAM!A:A)</f>
        <v>1.3312999999999999</v>
      </c>
      <c r="J10" s="112">
        <f>H10</f>
        <v>162.55000000000001</v>
      </c>
      <c r="K10" s="113" t="s">
        <v>158</v>
      </c>
      <c r="L10" s="107" t="s">
        <v>162</v>
      </c>
      <c r="M10" s="112" t="str">
        <f t="shared" ref="M10:M22" si="1">ROUNDUP(N10,0)&amp;O10</f>
        <v>0 Tr</v>
      </c>
      <c r="N10" s="112"/>
      <c r="O10" s="126" t="str">
        <f t="shared" ref="O10:O21" si="2">IF(ISNUMBER(SEARCH("DT", D10))=TRUE," Tr", " Cái")</f>
        <v xml:space="preserve"> Tr</v>
      </c>
      <c r="P10" s="124" t="s">
        <v>405</v>
      </c>
      <c r="Q10" s="126" t="str">
        <f>ROUNDUP(IF($E$4=1,N10/$I$2,IF($E$4&lt;5,N10/7,N10/$I$6)),0)&amp;O10</f>
        <v>0 Tr</v>
      </c>
      <c r="S10" s="567" t="s">
        <v>270</v>
      </c>
      <c r="T10" s="556" t="e">
        <f>ROUNDUP(IFERROR(INDEX(KB!#REF!,MATCH($T$7,KB!#REF!,0),MATCH($B10,KB!#REF!,0)),""),0)&amp;O$10</f>
        <v>#VALUE!</v>
      </c>
      <c r="U10" s="568" t="s">
        <v>276</v>
      </c>
      <c r="V10" s="45"/>
      <c r="W10" s="556" t="e">
        <f>ROUNDUP(IFERROR(INDEX(KB!#REF!,MATCH($W$7,KB!#REF!,0),MATCH($B10,KB!#REF!,0)),""),0)&amp;O$10</f>
        <v>#VALUE!</v>
      </c>
      <c r="X10" s="568" t="s">
        <v>276</v>
      </c>
      <c r="Y10" s="45"/>
      <c r="Z10" s="556" t="e">
        <f>ROUNDUP(IFERROR(INDEX(KB!#REF!,MATCH($Z$7,KB!#REF!,0),MATCH($B10,KB!#REF!,0)),""),0)&amp;O$10</f>
        <v>#VALUE!</v>
      </c>
      <c r="AA10" s="525" t="s">
        <v>276</v>
      </c>
      <c r="AB10" s="45"/>
      <c r="AC10" s="556" t="e">
        <f>ROUNDUP(IFERROR(INDEX(KB!#REF!,MATCH($AC$7,KB!#REF!,0),MATCH($B10,KB!#REF!,0)),""),0)&amp;O$10</f>
        <v>#VALUE!</v>
      </c>
      <c r="AD10" s="525" t="s">
        <v>276</v>
      </c>
      <c r="AE10" s="45"/>
      <c r="AF10" s="556" t="e">
        <f>ROUNDUP(IFERROR(INDEX(KB!#REF!,MATCH($AF$7,KB!#REF!,0),MATCH($B10,KB!#REF!,0)),""),0)&amp;O$10</f>
        <v>#VALUE!</v>
      </c>
      <c r="AG10" s="525" t="s">
        <v>276</v>
      </c>
      <c r="AH10" s="45"/>
      <c r="AI10" s="556" t="e">
        <f>ROUNDUP(IFERROR(INDEX(KB!#REF!,MATCH($AI$7,KB!#REF!,0),MATCH($B10,KB!#REF!,0)),""),0)&amp;O$10</f>
        <v>#VALUE!</v>
      </c>
      <c r="AJ10" s="525" t="s">
        <v>276</v>
      </c>
      <c r="AK10" s="45"/>
      <c r="AL10" s="556" t="e">
        <f>ROUNDUP(IFERROR(INDEX(KB!#REF!,MATCH($AL$7,KB!#REF!,0),MATCH($B10,KB!#REF!,0)),""),0)&amp;O$10</f>
        <v>#VALUE!</v>
      </c>
      <c r="AM10" s="525" t="s">
        <v>276</v>
      </c>
      <c r="AN10" s="45"/>
      <c r="AO10" s="556" t="e">
        <f>ROUNDUP(IFERROR(INDEX(KB!#REF!,MATCH($AO$7,KB!#REF!,0),MATCH($B10,KB!#REF!,0)),""),0)&amp;O$10</f>
        <v>#VALUE!</v>
      </c>
      <c r="AP10" s="568" t="s">
        <v>276</v>
      </c>
    </row>
    <row r="11" spans="1:43" s="105" customFormat="1" ht="20" customHeight="1">
      <c r="A11" s="466" t="s">
        <v>514</v>
      </c>
      <c r="B11" s="140" t="str">
        <f>VLOOKUP(A11,KB!C:D,2,0)</f>
        <v>PK</v>
      </c>
      <c r="C11" s="141"/>
      <c r="D11" s="111" t="s">
        <v>115</v>
      </c>
      <c r="E11" s="152" t="str">
        <f>VLOOKUP(A:A,KB!C:E,3,0)</f>
        <v>VIP</v>
      </c>
      <c r="F11" s="106">
        <f>SUMIFS(DATA_THIDUA_ST!C:C,DATA_THIDUA_ST!A:A,STRAM!A:A)</f>
        <v>253.3</v>
      </c>
      <c r="G11" s="106">
        <f>SUMIFS(DATA_THIDUA_ST!B:B,DATA_THIDUA_ST!A:A,STRAM!A:A)</f>
        <v>32.39</v>
      </c>
      <c r="H11" s="106">
        <f t="shared" si="0"/>
        <v>220.91000000000003</v>
      </c>
      <c r="I11" s="133">
        <f>SUMIFS(DATA_THIDUA_ST!E:E,DATA_THIDUA_ST!A:A,STRAM!A:A)</f>
        <v>0.60699999999999998</v>
      </c>
      <c r="J11" s="112">
        <f t="shared" ref="J11:J12" si="3">H11</f>
        <v>220.91000000000003</v>
      </c>
      <c r="K11" s="113" t="s">
        <v>158</v>
      </c>
      <c r="L11" s="107" t="s">
        <v>162</v>
      </c>
      <c r="M11" s="112" t="str">
        <f t="shared" si="1"/>
        <v>0 Tr</v>
      </c>
      <c r="N11" s="112"/>
      <c r="O11" s="126" t="str">
        <f t="shared" si="2"/>
        <v xml:space="preserve"> Tr</v>
      </c>
      <c r="P11" s="125" t="s">
        <v>343</v>
      </c>
      <c r="Q11" s="126" t="str">
        <f t="shared" ref="Q11:Q21" si="4">ROUNDUP(IF($E$4=1,N11/$I$2,IF($E$4&lt;5,N11/7,N11/$I$6)),0)&amp;O11</f>
        <v>0 Tr</v>
      </c>
      <c r="R11" s="28"/>
      <c r="S11" s="537" t="s">
        <v>271</v>
      </c>
      <c r="T11" s="523" t="e">
        <f>ROUNDUP(IFERROR(INDEX(KB!#REF!,MATCH($T$7,KB!#REF!,0),MATCH($B11,KB!#REF!,0)),""),0)&amp;O$10</f>
        <v>#VALUE!</v>
      </c>
      <c r="U11" s="533" t="s">
        <v>167</v>
      </c>
      <c r="V11" s="45"/>
      <c r="W11" s="523" t="e">
        <f>ROUNDUP(IFERROR(INDEX(KB!#REF!,MATCH($W$7,KB!#REF!,0),MATCH($B11,KB!#REF!,0)),""),0)&amp;O$10</f>
        <v>#VALUE!</v>
      </c>
      <c r="X11" s="533" t="s">
        <v>221</v>
      </c>
      <c r="Y11" s="45"/>
      <c r="Z11" s="523" t="e">
        <f>ROUNDUP(IFERROR(INDEX(KB!#REF!,MATCH($Z$7,KB!#REF!,0),MATCH($B11,KB!#REF!,0)),""),0)&amp;O$10</f>
        <v>#VALUE!</v>
      </c>
      <c r="AA11" s="524" t="s">
        <v>167</v>
      </c>
      <c r="AB11" s="45"/>
      <c r="AC11" s="523" t="e">
        <f>ROUNDUP(IFERROR(INDEX(KB!#REF!,MATCH($AC$7,KB!#REF!,0),MATCH($B11,KB!#REF!,0)),""),0)&amp;O$10</f>
        <v>#VALUE!</v>
      </c>
      <c r="AD11" s="524" t="s">
        <v>221</v>
      </c>
      <c r="AE11" s="45"/>
      <c r="AF11" s="523" t="e">
        <f>ROUNDUP(IFERROR(INDEX(KB!#REF!,MATCH($AF$7,KB!#REF!,0),MATCH($B11,KB!#REF!,0)),""),0)&amp;O$10</f>
        <v>#VALUE!</v>
      </c>
      <c r="AG11" s="524" t="s">
        <v>166</v>
      </c>
      <c r="AH11" s="45"/>
      <c r="AI11" s="523" t="e">
        <f>ROUNDUP(IFERROR(INDEX(KB!#REF!,MATCH($AI$7,KB!#REF!,0),MATCH($B11,KB!#REF!,0)),""),0)&amp;O$10</f>
        <v>#VALUE!</v>
      </c>
      <c r="AJ11" s="524" t="s">
        <v>167</v>
      </c>
      <c r="AK11" s="45"/>
      <c r="AL11" s="523" t="e">
        <f>ROUNDUP(IFERROR(INDEX(KB!#REF!,MATCH($AL$7,KB!#REF!,0),MATCH($B11,KB!#REF!,0)),""),0)&amp;O$10</f>
        <v>#VALUE!</v>
      </c>
      <c r="AM11" s="524" t="s">
        <v>276</v>
      </c>
      <c r="AN11" s="45"/>
      <c r="AO11" s="523" t="e">
        <f>ROUNDUP(IFERROR(INDEX(KB!#REF!,MATCH($AO$7,KB!#REF!,0),MATCH($B11,KB!#REF!,0)),""),0)&amp;O$10</f>
        <v>#VALUE!</v>
      </c>
      <c r="AP11" s="533" t="s">
        <v>276</v>
      </c>
    </row>
    <row r="12" spans="1:43" s="105" customFormat="1" ht="65">
      <c r="A12" s="616" t="s">
        <v>502</v>
      </c>
      <c r="B12" s="140" t="str">
        <f>VLOOKUP(A12,KB!C:D,2,0)</f>
        <v>SIM</v>
      </c>
      <c r="C12" s="141"/>
      <c r="D12" s="111" t="s">
        <v>172</v>
      </c>
      <c r="E12" s="152" t="str">
        <f>VLOOKUP(A:A,KB!C:E,3,0)</f>
        <v>VIP</v>
      </c>
      <c r="F12" s="106">
        <f>SUMIFS(DATA_THIDUA_ST!C:C,DATA_THIDUA_ST!A:A,STRAM!A:A)</f>
        <v>16</v>
      </c>
      <c r="G12" s="106">
        <f>SUMIFS(DATA_THIDUA_ST!B:B,DATA_THIDUA_ST!A:A,STRAM!A:A)</f>
        <v>1</v>
      </c>
      <c r="H12" s="106">
        <f t="shared" si="0"/>
        <v>15</v>
      </c>
      <c r="I12" s="133">
        <f>SUMIFS(DATA_THIDUA_ST!E:E,DATA_THIDUA_ST!A:A,STRAM!A:A)</f>
        <v>0.3125</v>
      </c>
      <c r="J12" s="112">
        <f t="shared" si="3"/>
        <v>15</v>
      </c>
      <c r="K12" s="113" t="s">
        <v>158</v>
      </c>
      <c r="L12" s="107" t="s">
        <v>265</v>
      </c>
      <c r="M12" s="112" t="str">
        <f t="shared" si="1"/>
        <v>170 Cái</v>
      </c>
      <c r="N12" s="112">
        <v>170</v>
      </c>
      <c r="O12" s="126" t="str">
        <f t="shared" si="2"/>
        <v xml:space="preserve"> Cái</v>
      </c>
      <c r="P12" s="125" t="s">
        <v>479</v>
      </c>
      <c r="Q12" s="126" t="str">
        <f t="shared" si="4"/>
        <v>25 Cái</v>
      </c>
      <c r="R12" s="28"/>
      <c r="S12" s="537" t="s">
        <v>115</v>
      </c>
      <c r="T12" s="523" t="e">
        <f>ROUNDUP(IFERROR(INDEX(KB!#REF!,MATCH($T$7,KB!#REF!,0),MATCH($B12,KB!#REF!,0)),""),0)&amp;O$10</f>
        <v>#VALUE!</v>
      </c>
      <c r="U12" s="581" t="s">
        <v>278</v>
      </c>
      <c r="V12" s="45"/>
      <c r="W12" s="523" t="e">
        <f>ROUNDUP(IFERROR(INDEX(KB!#REF!,MATCH($W$7,KB!#REF!,0),MATCH($B12,KB!#REF!,0)),""),0)&amp;O$10</f>
        <v>#VALUE!</v>
      </c>
      <c r="X12" s="581" t="s">
        <v>278</v>
      </c>
      <c r="Y12" s="45"/>
      <c r="Z12" s="523" t="e">
        <f>ROUNDUP(IFERROR(INDEX(KB!#REF!,MATCH($Z$7,KB!#REF!,0),MATCH($B12,KB!#REF!,0)),""),0)&amp;O$10</f>
        <v>#VALUE!</v>
      </c>
      <c r="AA12" s="582" t="s">
        <v>278</v>
      </c>
      <c r="AB12" s="45"/>
      <c r="AC12" s="523" t="e">
        <f>ROUNDUP(IFERROR(INDEX(KB!#REF!,MATCH($AC$7,KB!#REF!,0),MATCH($B12,KB!#REF!,0)),""),0)&amp;O$10</f>
        <v>#VALUE!</v>
      </c>
      <c r="AD12" s="582" t="s">
        <v>483</v>
      </c>
      <c r="AE12" s="45"/>
      <c r="AF12" s="523" t="e">
        <f>ROUNDUP(IFERROR(INDEX(KB!#REF!,MATCH($AF$7,KB!#REF!,0),MATCH($B12,KB!#REF!,0)),""),0)&amp;O$10</f>
        <v>#VALUE!</v>
      </c>
      <c r="AG12" s="582" t="s">
        <v>483</v>
      </c>
      <c r="AH12" s="45"/>
      <c r="AI12" s="523" t="e">
        <f>ROUNDUP(IFERROR(INDEX(KB!#REF!,MATCH($AI$7,KB!#REF!,0),MATCH($B12,KB!#REF!,0)),""),0)&amp;O$10</f>
        <v>#VALUE!</v>
      </c>
      <c r="AJ12" s="582" t="s">
        <v>484</v>
      </c>
      <c r="AK12" s="45"/>
      <c r="AL12" s="523" t="e">
        <f>ROUNDUP(IFERROR(INDEX(KB!#REF!,MATCH($AL$7,KB!#REF!,0),MATCH($B12,KB!#REF!,0)),""),0)&amp;O$10</f>
        <v>#VALUE!</v>
      </c>
      <c r="AM12" s="524" t="s">
        <v>403</v>
      </c>
      <c r="AN12" s="45"/>
      <c r="AO12" s="523" t="e">
        <f>ROUNDUP(IFERROR(INDEX(KB!#REF!,MATCH($AO$7,KB!#REF!,0),MATCH($B12,KB!#REF!,0)),""),0)&amp;O$10</f>
        <v>#VALUE!</v>
      </c>
      <c r="AP12" s="581" t="s">
        <v>279</v>
      </c>
    </row>
    <row r="13" spans="1:43" s="105" customFormat="1" ht="18" customHeight="1">
      <c r="A13" s="466" t="s">
        <v>510</v>
      </c>
      <c r="B13" s="140" t="str">
        <f>VLOOKUP(A13,KB!C:D,2,0)</f>
        <v>FE</v>
      </c>
      <c r="C13" s="141"/>
      <c r="D13" s="111" t="s">
        <v>106</v>
      </c>
      <c r="E13" s="152" t="str">
        <f>VLOOKUP(A:A,KB!C:E,3,0)</f>
        <v>VIP</v>
      </c>
      <c r="F13" s="106">
        <f>SUMIFS(DATA_THIDUA_ST!C:C,DATA_THIDUA_ST!A:A,STRAM!A:A)</f>
        <v>258.7</v>
      </c>
      <c r="G13" s="106">
        <f>SUMIFS(DATA_THIDUA_ST!B:B,DATA_THIDUA_ST!A:A,STRAM!A:A)</f>
        <v>40.159999999999997</v>
      </c>
      <c r="H13" s="106">
        <f t="shared" si="0"/>
        <v>218.54</v>
      </c>
      <c r="I13" s="133">
        <f>SUMIFS(DATA_THIDUA_ST!E:E,DATA_THIDUA_ST!A:A,STRAM!A:A)</f>
        <v>0.7369</v>
      </c>
      <c r="J13" s="112">
        <f>IF($E$4=1,H13*$J$2,IF($E$4=2,H13*$J$3,IF($E$4=3,H13*$J$4,IF($E$4=4,H13*$J$5,H13))))</f>
        <v>43.707999999999998</v>
      </c>
      <c r="K13" s="113" t="s">
        <v>158</v>
      </c>
      <c r="L13" s="107" t="s">
        <v>265</v>
      </c>
      <c r="M13" s="112" t="str">
        <f t="shared" si="1"/>
        <v>64 Tr</v>
      </c>
      <c r="N13" s="112">
        <v>63.995000000000005</v>
      </c>
      <c r="O13" s="126" t="str">
        <f t="shared" si="2"/>
        <v xml:space="preserve"> Tr</v>
      </c>
      <c r="P13" s="125" t="str">
        <f>M13</f>
        <v>64 Tr</v>
      </c>
      <c r="Q13" s="126" t="str">
        <f t="shared" si="4"/>
        <v>10 Tr</v>
      </c>
      <c r="R13" s="28"/>
      <c r="S13" s="537"/>
      <c r="T13" s="523"/>
      <c r="U13" s="533"/>
      <c r="V13" s="45"/>
      <c r="W13" s="523"/>
      <c r="X13" s="533"/>
      <c r="Y13" s="45"/>
      <c r="Z13" s="523"/>
      <c r="AA13" s="524"/>
      <c r="AB13" s="45"/>
      <c r="AC13" s="523"/>
      <c r="AD13" s="524"/>
      <c r="AE13" s="45"/>
      <c r="AF13" s="523"/>
      <c r="AG13" s="524"/>
      <c r="AH13" s="45"/>
      <c r="AI13" s="523"/>
      <c r="AJ13" s="524"/>
      <c r="AK13" s="45"/>
      <c r="AL13" s="523"/>
      <c r="AM13" s="524"/>
      <c r="AN13" s="45"/>
      <c r="AO13" s="523"/>
      <c r="AP13" s="533"/>
    </row>
    <row r="14" spans="1:43" s="105" customFormat="1">
      <c r="A14" s="465" t="s">
        <v>511</v>
      </c>
      <c r="B14" s="140" t="str">
        <f>VLOOKUP(A14,KB!C:D,2,0)</f>
        <v>HC</v>
      </c>
      <c r="C14" s="141"/>
      <c r="D14" s="111" t="s">
        <v>105</v>
      </c>
      <c r="E14" s="152" t="str">
        <f>VLOOKUP(A:A,KB!C:E,3,0)</f>
        <v>VIP</v>
      </c>
      <c r="F14" s="106">
        <f>SUMIFS(DATA_THIDUA_ST!C:C,DATA_THIDUA_ST!A:A,STRAM!A:A)</f>
        <v>440.6</v>
      </c>
      <c r="G14" s="106">
        <f>SUMIFS(DATA_THIDUA_ST!B:B,DATA_THIDUA_ST!A:A,STRAM!A:A)</f>
        <v>70.47</v>
      </c>
      <c r="H14" s="106">
        <f t="shared" si="0"/>
        <v>370.13</v>
      </c>
      <c r="I14" s="133">
        <f>SUMIFS(DATA_THIDUA_ST!E:E,DATA_THIDUA_ST!A:A,STRAM!A:A)</f>
        <v>0.75929999999999997</v>
      </c>
      <c r="J14" s="112">
        <f t="shared" ref="J14:J22" si="5">H14</f>
        <v>370.13</v>
      </c>
      <c r="K14" s="113" t="s">
        <v>158</v>
      </c>
      <c r="L14" s="107" t="s">
        <v>265</v>
      </c>
      <c r="M14" s="112" t="str">
        <f t="shared" si="1"/>
        <v>120 Tr</v>
      </c>
      <c r="N14" s="112">
        <v>120</v>
      </c>
      <c r="O14" s="126" t="str">
        <f t="shared" si="2"/>
        <v xml:space="preserve"> Tr</v>
      </c>
      <c r="P14" s="124" t="s">
        <v>495</v>
      </c>
      <c r="Q14" s="126" t="str">
        <f t="shared" si="4"/>
        <v>18 Tr</v>
      </c>
      <c r="R14" s="28"/>
      <c r="S14" s="537" t="s">
        <v>106</v>
      </c>
      <c r="T14" s="523" t="e">
        <f>ROUNDUP(IFERROR(INDEX(KB!#REF!,MATCH($T$7,KB!#REF!,0),MATCH($B14,KB!#REF!,0)),""),0)&amp;O$10</f>
        <v>#VALUE!</v>
      </c>
      <c r="U14" s="528" t="s">
        <v>277</v>
      </c>
      <c r="V14" s="45"/>
      <c r="W14" s="523" t="e">
        <f>ROUNDUP(IFERROR(INDEX(KB!#REF!,MATCH($W$7,KB!#REF!,0),MATCH($B14,KB!#REF!,0)),""),0)&amp;O$10</f>
        <v>#VALUE!</v>
      </c>
      <c r="X14" s="528" t="s">
        <v>498</v>
      </c>
      <c r="Y14" s="45"/>
      <c r="Z14" s="523" t="e">
        <f>ROUNDUP(IFERROR(INDEX(KB!#REF!,MATCH($Z$7,KB!#REF!,0),MATCH($B14,KB!#REF!,0)),""),0)&amp;O$10</f>
        <v>#VALUE!</v>
      </c>
      <c r="AA14" s="525" t="s">
        <v>277</v>
      </c>
      <c r="AB14" s="45"/>
      <c r="AC14" s="523" t="e">
        <f>ROUNDUP(IFERROR(INDEX(KB!#REF!,MATCH($AC$7,KB!#REF!,0),MATCH($B14,KB!#REF!,0)),""),0)&amp;O$10</f>
        <v>#VALUE!</v>
      </c>
      <c r="AD14" s="525" t="s">
        <v>277</v>
      </c>
      <c r="AE14" s="45"/>
      <c r="AF14" s="523" t="e">
        <f>ROUNDUP(IFERROR(INDEX(KB!#REF!,MATCH($AF$7,KB!#REF!,0),MATCH($B14,KB!#REF!,0)),""),0)&amp;O$10</f>
        <v>#VALUE!</v>
      </c>
      <c r="AG14" s="525" t="s">
        <v>498</v>
      </c>
      <c r="AH14" s="45"/>
      <c r="AI14" s="523" t="e">
        <f>ROUNDUP(IFERROR(INDEX(KB!#REF!,MATCH($AI$7,KB!#REF!,0),MATCH($B14,KB!#REF!,0)),""),0)&amp;O$10</f>
        <v>#VALUE!</v>
      </c>
      <c r="AJ14" s="525" t="s">
        <v>277</v>
      </c>
      <c r="AK14" s="45"/>
      <c r="AL14" s="523" t="e">
        <f>ROUNDUP(IFERROR(INDEX(KB!#REF!,MATCH($AL$7,KB!#REF!,0),MATCH($B14,KB!#REF!,0)),""),0)&amp;O$10</f>
        <v>#VALUE!</v>
      </c>
      <c r="AM14" s="525" t="s">
        <v>498</v>
      </c>
      <c r="AN14" s="45"/>
      <c r="AO14" s="523" t="e">
        <f>ROUNDUP(IFERROR(INDEX(KB!#REF!,MATCH($AO$7,KB!#REF!,0),MATCH($B14,KB!#REF!,0)),""),0)&amp;O$10</f>
        <v>#VALUE!</v>
      </c>
      <c r="AP14" s="525" t="s">
        <v>498</v>
      </c>
    </row>
    <row r="15" spans="1:43" s="105" customFormat="1">
      <c r="A15" s="466" t="s">
        <v>224</v>
      </c>
      <c r="B15" s="140" t="str">
        <f>VLOOKUP(A15,KB!C:D,2,0)</f>
        <v>TL</v>
      </c>
      <c r="C15" s="141"/>
      <c r="D15" s="111" t="s">
        <v>272</v>
      </c>
      <c r="E15" s="152" t="str">
        <f>VLOOKUP(A:A,KB!C:E,3,0)</f>
        <v>VIP</v>
      </c>
      <c r="F15" s="106">
        <f>SUMIFS(DATA_THIDUA_ST!C:C,DATA_THIDUA_ST!A:A,STRAM!A:A)</f>
        <v>666.1</v>
      </c>
      <c r="G15" s="106">
        <f>SUMIFS(DATA_THIDUA_ST!B:B,DATA_THIDUA_ST!A:A,STRAM!A:A)</f>
        <v>269.8</v>
      </c>
      <c r="H15" s="106">
        <f t="shared" si="0"/>
        <v>396.3</v>
      </c>
      <c r="I15" s="133">
        <f>SUMIFS(DATA_THIDUA_ST!E:E,DATA_THIDUA_ST!A:A,STRAM!A:A)</f>
        <v>1.9228000000000001</v>
      </c>
      <c r="J15" s="112">
        <f t="shared" si="5"/>
        <v>396.3</v>
      </c>
      <c r="K15" s="113" t="s">
        <v>158</v>
      </c>
      <c r="L15" s="107" t="s">
        <v>265</v>
      </c>
      <c r="M15" s="112" t="str">
        <f t="shared" si="1"/>
        <v>250 Tr</v>
      </c>
      <c r="N15" s="112">
        <v>250</v>
      </c>
      <c r="O15" s="126" t="str">
        <f t="shared" si="2"/>
        <v xml:space="preserve"> Tr</v>
      </c>
      <c r="P15" s="124" t="s">
        <v>478</v>
      </c>
      <c r="Q15" s="126" t="str">
        <f t="shared" si="4"/>
        <v>36 Tr</v>
      </c>
      <c r="R15" s="28"/>
      <c r="S15" s="537" t="s">
        <v>105</v>
      </c>
      <c r="T15" s="523" t="e">
        <f>ROUNDUP(IFERROR(INDEX(KB!#REF!,MATCH($T$7,KB!#REF!,0),MATCH($B15,KB!#REF!,0)),""),0)&amp;O$10</f>
        <v>#VALUE!</v>
      </c>
      <c r="U15" s="528" t="s">
        <v>341</v>
      </c>
      <c r="V15" s="45"/>
      <c r="W15" s="523" t="e">
        <f>ROUNDUP(IFERROR(INDEX(KB!#REF!,MATCH($W$7,KB!#REF!,0),MATCH($B15,KB!#REF!,0)),""),0)&amp;O$10</f>
        <v>#VALUE!</v>
      </c>
      <c r="X15" s="528" t="s">
        <v>402</v>
      </c>
      <c r="Y15" s="45"/>
      <c r="Z15" s="523" t="e">
        <f>ROUNDUP(IFERROR(INDEX(KB!#REF!,MATCH($Z$7,KB!#REF!,0),MATCH($B15,KB!#REF!,0)),""),0)&amp;O$10</f>
        <v>#VALUE!</v>
      </c>
      <c r="AA15" s="525" t="s">
        <v>402</v>
      </c>
      <c r="AB15" s="45"/>
      <c r="AC15" s="523" t="e">
        <f>ROUNDUP(IFERROR(INDEX(KB!#REF!,MATCH($AC$7,KB!#REF!,0),MATCH($B15,KB!#REF!,0)),""),0)&amp;O$10</f>
        <v>#VALUE!</v>
      </c>
      <c r="AD15" s="525" t="s">
        <v>402</v>
      </c>
      <c r="AE15" s="45"/>
      <c r="AF15" s="523" t="e">
        <f>ROUNDUP(IFERROR(INDEX(KB!#REF!,MATCH($AF$7,KB!#REF!,0),MATCH($B15,KB!#REF!,0)),""),0)&amp;O$10</f>
        <v>#VALUE!</v>
      </c>
      <c r="AG15" s="525" t="s">
        <v>402</v>
      </c>
      <c r="AH15" s="45"/>
      <c r="AI15" s="523" t="e">
        <f>ROUNDUP(IFERROR(INDEX(KB!#REF!,MATCH($AI$7,KB!#REF!,0),MATCH($B15,KB!#REF!,0)),""),0)&amp;O$10</f>
        <v>#VALUE!</v>
      </c>
      <c r="AJ15" s="525" t="s">
        <v>402</v>
      </c>
      <c r="AK15" s="45"/>
      <c r="AL15" s="523" t="e">
        <f>ROUNDUP(IFERROR(INDEX(KB!#REF!,MATCH($AL$7,KB!#REF!,0),MATCH($B15,KB!#REF!,0)),""),0)&amp;O$10</f>
        <v>#VALUE!</v>
      </c>
      <c r="AM15" s="525" t="s">
        <v>277</v>
      </c>
      <c r="AN15" s="45"/>
      <c r="AO15" s="523" t="e">
        <f>ROUNDUP(IFERROR(INDEX(KB!#REF!,MATCH($AO$7,KB!#REF!,0),MATCH($B15,KB!#REF!,0)),""),0)&amp;O$10</f>
        <v>#VALUE!</v>
      </c>
      <c r="AP15" s="525" t="s">
        <v>277</v>
      </c>
    </row>
    <row r="16" spans="1:43" s="105" customFormat="1" ht="18" customHeight="1">
      <c r="A16" s="465" t="s">
        <v>520</v>
      </c>
      <c r="B16" s="140" t="str">
        <f>VLOOKUP(A16,KB!C:D,2,0)</f>
        <v>TV</v>
      </c>
      <c r="C16" s="141"/>
      <c r="D16" s="111" t="s">
        <v>273</v>
      </c>
      <c r="E16" s="152" t="str">
        <f>VLOOKUP(A:A,KB!C:E,3,0)</f>
        <v>VIP</v>
      </c>
      <c r="F16" s="106">
        <f>SUMIFS(DATA_THIDUA_ST!C:C,DATA_THIDUA_ST!A:A,STRAM!A:A)</f>
        <v>809.1</v>
      </c>
      <c r="G16" s="106">
        <f>SUMIFS(DATA_THIDUA_ST!B:B,DATA_THIDUA_ST!A:A,STRAM!A:A)</f>
        <v>105.41</v>
      </c>
      <c r="H16" s="106">
        <f t="shared" si="0"/>
        <v>703.69</v>
      </c>
      <c r="I16" s="133">
        <f>SUMIFS(DATA_THIDUA_ST!E:E,DATA_THIDUA_ST!A:A,STRAM!A:A)</f>
        <v>0.61850000000000005</v>
      </c>
      <c r="J16" s="112">
        <f t="shared" si="5"/>
        <v>703.69</v>
      </c>
      <c r="K16" s="113" t="s">
        <v>158</v>
      </c>
      <c r="L16" s="107" t="s">
        <v>265</v>
      </c>
      <c r="M16" s="112" t="str">
        <f t="shared" si="1"/>
        <v>250 Tr</v>
      </c>
      <c r="N16" s="112">
        <v>250</v>
      </c>
      <c r="O16" s="126" t="str">
        <f t="shared" si="2"/>
        <v xml:space="preserve"> Tr</v>
      </c>
      <c r="P16" s="124" t="s">
        <v>344</v>
      </c>
      <c r="Q16" s="126" t="str">
        <f t="shared" si="4"/>
        <v>36 Tr</v>
      </c>
      <c r="R16" s="28"/>
      <c r="S16" s="537" t="s">
        <v>272</v>
      </c>
      <c r="T16" s="523" t="e">
        <f>ROUNDUP(IFERROR(INDEX(KB!#REF!,MATCH($T$7,KB!#REF!,0),MATCH($B16,KB!#REF!,0)),""),0)&amp;O$10</f>
        <v>#VALUE!</v>
      </c>
      <c r="U16" s="528" t="s">
        <v>221</v>
      </c>
      <c r="V16" s="45"/>
      <c r="W16" s="523" t="e">
        <f>ROUNDUP(IFERROR(INDEX(KB!#REF!,MATCH($W$7,KB!#REF!,0),MATCH($B16,KB!#REF!,0)),""),0)&amp;O$10</f>
        <v>#VALUE!</v>
      </c>
      <c r="X16" s="528" t="s">
        <v>167</v>
      </c>
      <c r="Y16" s="45"/>
      <c r="Z16" s="523" t="e">
        <f>ROUNDUP(IFERROR(INDEX(KB!#REF!,MATCH($Z$7,KB!#REF!,0),MATCH($B16,KB!#REF!,0)),""),0)&amp;O$10</f>
        <v>#VALUE!</v>
      </c>
      <c r="AA16" s="525" t="s">
        <v>221</v>
      </c>
      <c r="AB16" s="45"/>
      <c r="AC16" s="523" t="e">
        <f>ROUNDUP(IFERROR(INDEX(KB!#REF!,MATCH($AC$7,KB!#REF!,0),MATCH($B16,KB!#REF!,0)),""),0)&amp;O$10</f>
        <v>#VALUE!</v>
      </c>
      <c r="AD16" s="525" t="s">
        <v>167</v>
      </c>
      <c r="AE16" s="45"/>
      <c r="AF16" s="523" t="e">
        <f>ROUNDUP(IFERROR(INDEX(KB!#REF!,MATCH($AF$7,KB!#REF!,0),MATCH($B16,KB!#REF!,0)),""),0)&amp;O$10</f>
        <v>#VALUE!</v>
      </c>
      <c r="AG16" s="525" t="s">
        <v>221</v>
      </c>
      <c r="AH16" s="45"/>
      <c r="AI16" s="523" t="e">
        <f>ROUNDUP(IFERROR(INDEX(KB!#REF!,MATCH($AI$7,KB!#REF!,0),MATCH($B16,KB!#REF!,0)),""),0)&amp;O$10</f>
        <v>#VALUE!</v>
      </c>
      <c r="AJ16" s="525" t="s">
        <v>167</v>
      </c>
      <c r="AK16" s="45"/>
      <c r="AL16" s="523" t="e">
        <f>ROUNDUP(IFERROR(INDEX(KB!#REF!,MATCH($AL$7,KB!#REF!,0),MATCH($B16,KB!#REF!,0)),""),0)&amp;O$10</f>
        <v>#VALUE!</v>
      </c>
      <c r="AM16" s="525" t="s">
        <v>166</v>
      </c>
      <c r="AN16" s="45"/>
      <c r="AO16" s="523" t="e">
        <f>ROUNDUP(IFERROR(INDEX(KB!#REF!,MATCH($AO$7,KB!#REF!,0),MATCH($B16,KB!#REF!,0)),""),0)&amp;O$10</f>
        <v>#VALUE!</v>
      </c>
      <c r="AP16" s="525" t="s">
        <v>166</v>
      </c>
    </row>
    <row r="17" spans="1:42" s="105" customFormat="1" ht="18" customHeight="1">
      <c r="A17" s="466" t="s">
        <v>268</v>
      </c>
      <c r="B17" s="140" t="str">
        <f>VLOOKUP(A17,KB!C:D,2,0)</f>
        <v>ML</v>
      </c>
      <c r="C17" s="141"/>
      <c r="D17" s="111" t="s">
        <v>173</v>
      </c>
      <c r="E17" s="153" t="str">
        <f>VLOOKUP(A:A,KB!C:E,3,0)</f>
        <v>VIP</v>
      </c>
      <c r="F17" s="106">
        <f>SUMIFS(DATA_THIDUA_ST!C:C,DATA_THIDUA_ST!A:A,STRAM!A:A)</f>
        <v>1125.5999999999999</v>
      </c>
      <c r="G17" s="106">
        <f>SUMIFS(DATA_THIDUA_ST!B:B,DATA_THIDUA_ST!A:A,STRAM!A:A)</f>
        <v>223.79</v>
      </c>
      <c r="H17" s="106">
        <f t="shared" si="0"/>
        <v>901.81</v>
      </c>
      <c r="I17" s="133">
        <f>SUMIFS(DATA_THIDUA_ST!E:E,DATA_THIDUA_ST!A:A,STRAM!A:A)</f>
        <v>0.94379999999999997</v>
      </c>
      <c r="J17" s="112">
        <f t="shared" si="5"/>
        <v>901.81</v>
      </c>
      <c r="K17" s="113" t="s">
        <v>158</v>
      </c>
      <c r="L17" s="107" t="s">
        <v>159</v>
      </c>
      <c r="M17" s="112" t="str">
        <f t="shared" si="1"/>
        <v>160 Tr</v>
      </c>
      <c r="N17" s="112">
        <v>160</v>
      </c>
      <c r="O17" s="126" t="str">
        <f t="shared" si="2"/>
        <v xml:space="preserve"> Tr</v>
      </c>
      <c r="P17" s="124" t="s">
        <v>235</v>
      </c>
      <c r="Q17" s="126" t="str">
        <f t="shared" si="4"/>
        <v>23 Tr</v>
      </c>
      <c r="R17" s="28"/>
      <c r="S17" s="537" t="s">
        <v>273</v>
      </c>
      <c r="T17" s="523" t="e">
        <f>ROUNDUP(IFERROR(INDEX(KB!#REF!,MATCH($T$7,KB!#REF!,0),MATCH($B17,KB!#REF!,0)),""),0)&amp;O$10</f>
        <v>#VALUE!</v>
      </c>
      <c r="U17" s="528" t="s">
        <v>497</v>
      </c>
      <c r="V17" s="45"/>
      <c r="W17" s="523" t="e">
        <f>ROUNDUP(IFERROR(INDEX(KB!#REF!,MATCH($W$7,KB!#REF!,0),MATCH($B17,KB!#REF!,0)),""),0)&amp;O$10</f>
        <v>#VALUE!</v>
      </c>
      <c r="X17" s="528" t="s">
        <v>497</v>
      </c>
      <c r="Y17" s="45"/>
      <c r="Z17" s="523" t="e">
        <f>ROUNDUP(IFERROR(INDEX(KB!#REF!,MATCH($Z$7,KB!#REF!,0),MATCH($B17,KB!#REF!,0)),""),0)&amp;O$10</f>
        <v>#VALUE!</v>
      </c>
      <c r="AA17" s="525" t="s">
        <v>497</v>
      </c>
      <c r="AB17" s="45"/>
      <c r="AC17" s="523" t="e">
        <f>ROUNDUP(IFERROR(INDEX(KB!#REF!,MATCH($AC$7,KB!#REF!,0),MATCH($B17,KB!#REF!,0)),""),0)&amp;O$10</f>
        <v>#VALUE!</v>
      </c>
      <c r="AD17" s="525" t="s">
        <v>166</v>
      </c>
      <c r="AE17" s="45"/>
      <c r="AF17" s="523" t="e">
        <f>ROUNDUP(IFERROR(INDEX(KB!#REF!,MATCH($AF$7,KB!#REF!,0),MATCH($B17,KB!#REF!,0)),""),0)&amp;O$10</f>
        <v>#VALUE!</v>
      </c>
      <c r="AG17" s="525" t="s">
        <v>497</v>
      </c>
      <c r="AH17" s="45"/>
      <c r="AI17" s="523" t="e">
        <f>ROUNDUP(IFERROR(INDEX(KB!#REF!,MATCH($AI$7,KB!#REF!,0),MATCH($B17,KB!#REF!,0)),""),0)&amp;O$10</f>
        <v>#VALUE!</v>
      </c>
      <c r="AJ17" s="525" t="s">
        <v>166</v>
      </c>
      <c r="AK17" s="45"/>
      <c r="AL17" s="523" t="e">
        <f>ROUNDUP(IFERROR(INDEX(KB!#REF!,MATCH($AL$7,KB!#REF!,0),MATCH($B17,KB!#REF!,0)),""),0)&amp;O$10</f>
        <v>#VALUE!</v>
      </c>
      <c r="AM17" s="525" t="s">
        <v>276</v>
      </c>
      <c r="AN17" s="45"/>
      <c r="AO17" s="523" t="e">
        <f>ROUNDUP(IFERROR(INDEX(KB!#REF!,MATCH($AO$7,KB!#REF!,0),MATCH($B17,KB!#REF!,0)),""),0)&amp;O$10</f>
        <v>#VALUE!</v>
      </c>
      <c r="AP17" s="525" t="s">
        <v>276</v>
      </c>
    </row>
    <row r="18" spans="1:42" s="28" customFormat="1" ht="18" customHeight="1">
      <c r="A18" s="465" t="s">
        <v>222</v>
      </c>
      <c r="B18" s="140" t="str">
        <f>VLOOKUP(A18,KB!C:D,2,0)</f>
        <v>GD</v>
      </c>
      <c r="C18" s="141"/>
      <c r="D18" s="111" t="s">
        <v>234</v>
      </c>
      <c r="E18" s="152" t="str">
        <f>VLOOKUP(A:A,KB!C:E,3,0)</f>
        <v>VIP</v>
      </c>
      <c r="F18" s="106">
        <f>SUMIFS(DATA_THIDUA_ST!C:C,DATA_THIDUA_ST!A:A,STRAM!A:A)</f>
        <v>1122.5</v>
      </c>
      <c r="G18" s="106">
        <f>SUMIFS(DATA_THIDUA_ST!B:B,DATA_THIDUA_ST!A:A,STRAM!A:A)</f>
        <v>208.83</v>
      </c>
      <c r="H18" s="106">
        <f t="shared" si="0"/>
        <v>913.67</v>
      </c>
      <c r="I18" s="133">
        <f>SUMIFS(DATA_THIDUA_ST!E:E,DATA_THIDUA_ST!A:A,STRAM!A:A)</f>
        <v>0.88319999999999999</v>
      </c>
      <c r="J18" s="112">
        <f t="shared" si="5"/>
        <v>913.67</v>
      </c>
      <c r="K18" s="113" t="s">
        <v>158</v>
      </c>
      <c r="L18" s="107" t="s">
        <v>159</v>
      </c>
      <c r="M18" s="112" t="str">
        <f t="shared" si="1"/>
        <v>600 Tr</v>
      </c>
      <c r="N18" s="112">
        <v>600</v>
      </c>
      <c r="O18" s="126" t="str">
        <f t="shared" si="2"/>
        <v xml:space="preserve"> Tr</v>
      </c>
      <c r="P18" s="125" t="s">
        <v>496</v>
      </c>
      <c r="Q18" s="126" t="str">
        <f t="shared" si="4"/>
        <v>86 Tr</v>
      </c>
      <c r="S18" s="537" t="s">
        <v>173</v>
      </c>
      <c r="T18" s="523" t="e">
        <f>ROUNDUP(IFERROR(INDEX(KB!#REF!,MATCH($T$7,KB!#REF!,0),MATCH($B18,KB!#REF!,0)),""),0)&amp;O$10</f>
        <v>#VALUE!</v>
      </c>
      <c r="U18" s="529" t="s">
        <v>235</v>
      </c>
      <c r="V18" s="45"/>
      <c r="W18" s="523" t="e">
        <f>ROUNDUP(IFERROR(INDEX(KB!#REF!,MATCH($W$7,KB!#REF!,0),MATCH($B18,KB!#REF!,0)),""),0)&amp;O$10</f>
        <v>#VALUE!</v>
      </c>
      <c r="X18" s="529" t="s">
        <v>406</v>
      </c>
      <c r="Y18" s="45"/>
      <c r="Z18" s="523" t="e">
        <f>ROUNDUP(IFERROR(INDEX(KB!#REF!,MATCH($Z$7,KB!#REF!,0),MATCH($B18,KB!#REF!,0)),""),0)&amp;O$10</f>
        <v>#VALUE!</v>
      </c>
      <c r="AA18" s="526" t="s">
        <v>406</v>
      </c>
      <c r="AB18" s="45"/>
      <c r="AC18" s="523" t="e">
        <f>ROUNDUP(IFERROR(INDEX(KB!#REF!,MATCH($AC$7,KB!#REF!,0),MATCH($B18,KB!#REF!,0)),""),0)&amp;O$10</f>
        <v>#VALUE!</v>
      </c>
      <c r="AD18" s="526" t="s">
        <v>406</v>
      </c>
      <c r="AE18" s="45"/>
      <c r="AF18" s="523" t="e">
        <f>ROUNDUP(IFERROR(INDEX(KB!#REF!,MATCH($AF$7,KB!#REF!,0),MATCH($B18,KB!#REF!,0)),""),0)&amp;O$10</f>
        <v>#VALUE!</v>
      </c>
      <c r="AG18" s="526" t="s">
        <v>405</v>
      </c>
      <c r="AH18" s="45"/>
      <c r="AI18" s="523" t="e">
        <f>ROUNDUP(IFERROR(INDEX(KB!#REF!,MATCH($AI$7,KB!#REF!,0),MATCH($B18,KB!#REF!,0)),""),0)&amp;O$10</f>
        <v>#VALUE!</v>
      </c>
      <c r="AJ18" s="526" t="s">
        <v>405</v>
      </c>
      <c r="AK18" s="45"/>
      <c r="AL18" s="523" t="e">
        <f>ROUNDUP(IFERROR(INDEX(KB!#REF!,MATCH($AL$7,KB!#REF!,0),MATCH($B18,KB!#REF!,0)),""),0)&amp;O$10</f>
        <v>#VALUE!</v>
      </c>
      <c r="AM18" s="526" t="s">
        <v>174</v>
      </c>
      <c r="AN18" s="45"/>
      <c r="AO18" s="523" t="e">
        <f>ROUNDUP(IFERROR(INDEX(KB!#REF!,MATCH($AO$7,KB!#REF!,0),MATCH($B18,KB!#REF!,0)),""),0)&amp;O$10</f>
        <v>#VALUE!</v>
      </c>
      <c r="AP18" s="526" t="s">
        <v>174</v>
      </c>
    </row>
    <row r="19" spans="1:42" s="28" customFormat="1" ht="56">
      <c r="A19" s="466" t="s">
        <v>522</v>
      </c>
      <c r="B19" s="140" t="str">
        <f>VLOOKUP(A19,KB!C:D,2,0)</f>
        <v>MLN</v>
      </c>
      <c r="C19" s="141"/>
      <c r="D19" s="111" t="s">
        <v>274</v>
      </c>
      <c r="E19" s="152" t="str">
        <f>VLOOKUP(A:A,KB!C:E,3,0)</f>
        <v>VIP</v>
      </c>
      <c r="F19" s="106">
        <f>SUMIFS(DATA_THIDUA_ST!C:C,DATA_THIDUA_ST!A:A,STRAM!A:A)</f>
        <v>243.2</v>
      </c>
      <c r="G19" s="106">
        <f>SUMIFS(DATA_THIDUA_ST!B:B,DATA_THIDUA_ST!A:A,STRAM!A:A)</f>
        <v>57.55</v>
      </c>
      <c r="H19" s="106">
        <f t="shared" si="0"/>
        <v>185.64999999999998</v>
      </c>
      <c r="I19" s="133">
        <f>SUMIFS(DATA_THIDUA_ST!E:E,DATA_THIDUA_ST!A:A,STRAM!A:A)</f>
        <v>1.1233</v>
      </c>
      <c r="J19" s="112">
        <f t="shared" si="5"/>
        <v>185.64999999999998</v>
      </c>
      <c r="K19" s="113" t="s">
        <v>158</v>
      </c>
      <c r="L19" s="107" t="s">
        <v>159</v>
      </c>
      <c r="M19" s="112" t="str">
        <f t="shared" si="1"/>
        <v>510 Tr</v>
      </c>
      <c r="N19" s="112">
        <v>510</v>
      </c>
      <c r="O19" s="126" t="str">
        <f t="shared" si="2"/>
        <v xml:space="preserve"> Tr</v>
      </c>
      <c r="P19" s="125" t="s">
        <v>236</v>
      </c>
      <c r="Q19" s="126" t="str">
        <f t="shared" si="4"/>
        <v>73 Tr</v>
      </c>
      <c r="S19" s="537" t="s">
        <v>234</v>
      </c>
      <c r="T19" s="523" t="e">
        <f>ROUNDUP(IFERROR(INDEX(KB!#REF!,MATCH($T$7,KB!#REF!,0),MATCH($B19,KB!#REF!,0)),""),0)&amp;O$10</f>
        <v>#VALUE!</v>
      </c>
      <c r="U19" s="534" t="s">
        <v>263</v>
      </c>
      <c r="V19" s="45"/>
      <c r="W19" s="523" t="e">
        <f>ROUNDUP(IFERROR(INDEX(KB!#REF!,MATCH($W$7,KB!#REF!,0),MATCH($B19,KB!#REF!,0)),""),0)&amp;O$10</f>
        <v>#VALUE!</v>
      </c>
      <c r="X19" s="534" t="s">
        <v>263</v>
      </c>
      <c r="Y19" s="45"/>
      <c r="Z19" s="523" t="e">
        <f>ROUNDUP(IFERROR(INDEX(KB!#REF!,MATCH($Z$7,KB!#REF!,0),MATCH($B19,KB!#REF!,0)),""),0)&amp;O$10</f>
        <v>#VALUE!</v>
      </c>
      <c r="AA19" s="527" t="s">
        <v>486</v>
      </c>
      <c r="AB19" s="45"/>
      <c r="AC19" s="523" t="e">
        <f>ROUNDUP(IFERROR(INDEX(KB!#REF!,MATCH($AC$7,KB!#REF!,0),MATCH($B19,KB!#REF!,0)),""),0)&amp;O$10</f>
        <v>#VALUE!</v>
      </c>
      <c r="AD19" s="527" t="s">
        <v>486</v>
      </c>
      <c r="AE19" s="45"/>
      <c r="AF19" s="523" t="e">
        <f>ROUNDUP(IFERROR(INDEX(KB!#REF!,MATCH($AF$7,KB!#REF!,0),MATCH($B19,KB!#REF!,0)),""),0)&amp;O$10</f>
        <v>#VALUE!</v>
      </c>
      <c r="AG19" s="527" t="s">
        <v>486</v>
      </c>
      <c r="AH19" s="45"/>
      <c r="AI19" s="523" t="e">
        <f>ROUNDUP(IFERROR(INDEX(KB!#REF!,MATCH($AI$7,KB!#REF!,0),MATCH($B19,KB!#REF!,0)),""),0)&amp;O$10</f>
        <v>#VALUE!</v>
      </c>
      <c r="AJ19" s="527" t="s">
        <v>485</v>
      </c>
      <c r="AK19" s="45"/>
      <c r="AL19" s="523" t="e">
        <f>ROUNDUP(IFERROR(INDEX(KB!#REF!,MATCH($AL$7,KB!#REF!,0),MATCH($B19,KB!#REF!,0)),""),0)&amp;O$10</f>
        <v>#VALUE!</v>
      </c>
      <c r="AM19" s="527" t="s">
        <v>404</v>
      </c>
      <c r="AN19" s="45"/>
      <c r="AO19" s="523" t="e">
        <f>ROUNDUP(IFERROR(INDEX(KB!#REF!,MATCH($AO$7,KB!#REF!,0),MATCH($B19,KB!#REF!,0)),""),0)&amp;O$10</f>
        <v>#VALUE!</v>
      </c>
      <c r="AP19" s="527" t="s">
        <v>404</v>
      </c>
    </row>
    <row r="20" spans="1:42" s="28" customFormat="1">
      <c r="A20" s="465" t="s">
        <v>517</v>
      </c>
      <c r="B20" s="140" t="str">
        <f>VLOOKUP(A20,KB!C:D,2,0)</f>
        <v>quat</v>
      </c>
      <c r="C20" s="141"/>
      <c r="D20" s="111" t="s">
        <v>275</v>
      </c>
      <c r="E20" s="152" t="str">
        <f>VLOOKUP(A:A,KB!C:E,3,0)</f>
        <v>VIP</v>
      </c>
      <c r="F20" s="106">
        <f>SUMIFS(DATA_THIDUA_ST!C:C,DATA_THIDUA_ST!A:A,STRAM!A:A)</f>
        <v>69.599999999999994</v>
      </c>
      <c r="G20" s="106">
        <f>SUMIFS(DATA_THIDUA_ST!B:B,DATA_THIDUA_ST!A:A,STRAM!A:A)</f>
        <v>9.1199999999999992</v>
      </c>
      <c r="H20" s="106">
        <f t="shared" si="0"/>
        <v>60.48</v>
      </c>
      <c r="I20" s="133">
        <f>SUMIFS(DATA_THIDUA_ST!E:E,DATA_THIDUA_ST!A:A,STRAM!A:A)</f>
        <v>0.62180000000000002</v>
      </c>
      <c r="J20" s="112">
        <f t="shared" si="5"/>
        <v>60.48</v>
      </c>
      <c r="K20" s="113" t="s">
        <v>158</v>
      </c>
      <c r="L20" s="107" t="s">
        <v>159</v>
      </c>
      <c r="M20" s="112" t="str">
        <f t="shared" si="1"/>
        <v>50 Tr</v>
      </c>
      <c r="N20" s="112">
        <v>50</v>
      </c>
      <c r="O20" s="126" t="str">
        <f t="shared" si="2"/>
        <v xml:space="preserve"> Tr</v>
      </c>
      <c r="P20" s="125" t="s">
        <v>406</v>
      </c>
      <c r="Q20" s="126" t="str">
        <f t="shared" si="4"/>
        <v>8 Tr</v>
      </c>
      <c r="S20" s="537" t="s">
        <v>274</v>
      </c>
      <c r="T20" s="523" t="e">
        <f>ROUNDUP(IFERROR(INDEX(KB!#REF!,MATCH($T$7,KB!#REF!,0),MATCH($B20,KB!#REF!,0)),""),0)&amp;O$10</f>
        <v>#VALUE!</v>
      </c>
      <c r="U20" s="534" t="s">
        <v>276</v>
      </c>
      <c r="V20" s="45"/>
      <c r="W20" s="523" t="e">
        <f>ROUNDUP(IFERROR(INDEX(KB!#REF!,MATCH($W$7,KB!#REF!,0),MATCH($B20,KB!#REF!,0)),""),0)&amp;O$10</f>
        <v>#VALUE!</v>
      </c>
      <c r="X20" s="534" t="s">
        <v>276</v>
      </c>
      <c r="Y20" s="45"/>
      <c r="Z20" s="523" t="e">
        <f>ROUNDUP(IFERROR(INDEX(KB!#REF!,MATCH($Z$7,KB!#REF!,0),MATCH($B20,KB!#REF!,0)),""),0)&amp;O$10</f>
        <v>#VALUE!</v>
      </c>
      <c r="AA20" s="527" t="s">
        <v>276</v>
      </c>
      <c r="AB20" s="45"/>
      <c r="AC20" s="523" t="e">
        <f>ROUNDUP(IFERROR(INDEX(KB!#REF!,MATCH($AC$7,KB!#REF!,0),MATCH($B20,KB!#REF!,0)),""),0)&amp;O$10</f>
        <v>#VALUE!</v>
      </c>
      <c r="AD20" s="527" t="s">
        <v>276</v>
      </c>
      <c r="AE20" s="45"/>
      <c r="AF20" s="523" t="e">
        <f>ROUNDUP(IFERROR(INDEX(KB!#REF!,MATCH($AF$7,KB!#REF!,0),MATCH($B20,KB!#REF!,0)),""),0)&amp;O$10</f>
        <v>#VALUE!</v>
      </c>
      <c r="AG20" s="527" t="s">
        <v>276</v>
      </c>
      <c r="AH20" s="45"/>
      <c r="AI20" s="523" t="e">
        <f>ROUNDUP(IFERROR(INDEX(KB!#REF!,MATCH($AI$7,KB!#REF!,0),MATCH($B20,KB!#REF!,0)),""),0)&amp;O$10</f>
        <v>#VALUE!</v>
      </c>
      <c r="AJ20" s="527" t="s">
        <v>276</v>
      </c>
      <c r="AK20" s="45"/>
      <c r="AL20" s="523" t="e">
        <f>ROUNDUP(IFERROR(INDEX(KB!#REF!,MATCH($AL$7,KB!#REF!,0),MATCH($B20,KB!#REF!,0)),""),0)&amp;O$10</f>
        <v>#VALUE!</v>
      </c>
      <c r="AM20" s="527" t="s">
        <v>276</v>
      </c>
      <c r="AN20" s="45"/>
      <c r="AO20" s="523" t="e">
        <f>ROUNDUP(IFERROR(INDEX(KB!#REF!,MATCH($AO$7,KB!#REF!,0),MATCH($B20,KB!#REF!,0)),""),0)&amp;O$10</f>
        <v>#VALUE!</v>
      </c>
      <c r="AP20" s="527" t="s">
        <v>276</v>
      </c>
    </row>
    <row r="21" spans="1:42" s="28" customFormat="1" ht="16" customHeight="1">
      <c r="A21" s="466" t="s">
        <v>519</v>
      </c>
      <c r="B21" s="140" t="str">
        <f>VLOOKUP(A21,KB!C:D,2,0)</f>
        <v>SAMSUNG</v>
      </c>
      <c r="C21" s="141"/>
      <c r="D21" s="111" t="s">
        <v>533</v>
      </c>
      <c r="E21" s="226" t="str">
        <f>VLOOKUP(A:A,KB!C:E,3,0)</f>
        <v>VIP</v>
      </c>
      <c r="F21" s="106">
        <f>SUMIFS(DATA_THIDUA_ST!C:C,DATA_THIDUA_ST!A:A,STRAM!A:A)</f>
        <v>718.2</v>
      </c>
      <c r="G21" s="106">
        <f>SUMIFS(DATA_THIDUA_ST!B:B,DATA_THIDUA_ST!A:A,STRAM!A:A)</f>
        <v>98.16</v>
      </c>
      <c r="H21" s="106">
        <f t="shared" si="0"/>
        <v>620.04000000000008</v>
      </c>
      <c r="I21" s="133">
        <f>SUMIFS(DATA_THIDUA_ST!E:E,DATA_THIDUA_ST!A:A,STRAM!A:A)</f>
        <v>0.64880000000000004</v>
      </c>
      <c r="J21" s="112">
        <f t="shared" si="5"/>
        <v>620.04000000000008</v>
      </c>
      <c r="K21" s="113" t="s">
        <v>158</v>
      </c>
      <c r="L21" s="107" t="s">
        <v>159</v>
      </c>
      <c r="M21" s="112" t="str">
        <f t="shared" si="1"/>
        <v>50 Tr</v>
      </c>
      <c r="N21" s="112">
        <v>50</v>
      </c>
      <c r="O21" s="126" t="str">
        <f t="shared" si="2"/>
        <v xml:space="preserve"> Tr</v>
      </c>
      <c r="P21" s="125" t="s">
        <v>344</v>
      </c>
      <c r="Q21" s="126" t="str">
        <f t="shared" si="4"/>
        <v>8 Tr</v>
      </c>
      <c r="S21" s="537" t="s">
        <v>275</v>
      </c>
      <c r="T21" s="523" t="e">
        <f>ROUNDUP(IFERROR(INDEX(KB!#REF!,MATCH($T$7,KB!#REF!,0),MATCH($B21,KB!#REF!,0)),""),0)&amp;O$10</f>
        <v>#VALUE!</v>
      </c>
      <c r="U21" s="529" t="s">
        <v>221</v>
      </c>
      <c r="V21" s="45"/>
      <c r="W21" s="523" t="e">
        <f>ROUNDUP(IFERROR(INDEX(KB!#REF!,MATCH($W$7,KB!#REF!,0),MATCH($B21,KB!#REF!,0)),""),0)&amp;O$10</f>
        <v>#VALUE!</v>
      </c>
      <c r="X21" s="529" t="s">
        <v>221</v>
      </c>
      <c r="Y21" s="45"/>
      <c r="Z21" s="523" t="e">
        <f>ROUNDUP(IFERROR(INDEX(KB!#REF!,MATCH($Z$7,KB!#REF!,0),MATCH($B21,KB!#REF!,0)),""),0)&amp;O$10</f>
        <v>#VALUE!</v>
      </c>
      <c r="AA21" s="526" t="s">
        <v>221</v>
      </c>
      <c r="AB21" s="45"/>
      <c r="AC21" s="523" t="e">
        <f>ROUNDUP(IFERROR(INDEX(KB!#REF!,MATCH($AC$7,KB!#REF!,0),MATCH($B21,KB!#REF!,0)),""),0)&amp;O$10</f>
        <v>#VALUE!</v>
      </c>
      <c r="AD21" s="526" t="s">
        <v>167</v>
      </c>
      <c r="AE21" s="45"/>
      <c r="AF21" s="523" t="e">
        <f>ROUNDUP(IFERROR(INDEX(KB!#REF!,MATCH($AF$7,KB!#REF!,0),MATCH($B21,KB!#REF!,0)),""),0)&amp;O$10</f>
        <v>#VALUE!</v>
      </c>
      <c r="AG21" s="526" t="s">
        <v>221</v>
      </c>
      <c r="AH21" s="45"/>
      <c r="AI21" s="523" t="e">
        <f>ROUNDUP(IFERROR(INDEX(KB!#REF!,MATCH($AI$7,KB!#REF!,0),MATCH($B21,KB!#REF!,0)),""),0)&amp;O$10</f>
        <v>#VALUE!</v>
      </c>
      <c r="AJ21" s="526" t="s">
        <v>221</v>
      </c>
      <c r="AK21" s="45"/>
      <c r="AL21" s="523" t="e">
        <f>ROUNDUP(IFERROR(INDEX(KB!#REF!,MATCH($AL$7,KB!#REF!,0),MATCH($B21,KB!#REF!,0)),""),0)&amp;O$10</f>
        <v>#VALUE!</v>
      </c>
      <c r="AM21" s="526" t="s">
        <v>166</v>
      </c>
      <c r="AN21" s="45"/>
      <c r="AO21" s="523" t="e">
        <f>ROUNDUP(IFERROR(INDEX(KB!#REF!,MATCH($AO$7,KB!#REF!,0),MATCH($B21,KB!#REF!,0)),""),0)&amp;O$10</f>
        <v>#VALUE!</v>
      </c>
      <c r="AP21" s="526" t="s">
        <v>166</v>
      </c>
    </row>
    <row r="22" spans="1:42" s="105" customFormat="1" ht="18" customHeight="1">
      <c r="A22" s="465" t="s">
        <v>509</v>
      </c>
      <c r="B22" s="140" t="str">
        <f>VLOOKUP(A22,KB!C:D,2,0)</f>
        <v>VIVO</v>
      </c>
      <c r="C22" s="141"/>
      <c r="D22" s="111" t="s">
        <v>534</v>
      </c>
      <c r="E22" s="152" t="str">
        <f>VLOOKUP(A:A,KB!C:E,3,0)</f>
        <v>VIP</v>
      </c>
      <c r="F22" s="106">
        <f>SUMIFS(DATA_THIDUA_ST!C:C,DATA_THIDUA_ST!A:A,STRAM!A:A)</f>
        <v>16.3</v>
      </c>
      <c r="G22" s="106">
        <f>SUMIFS(DATA_THIDUA_ST!B:B,DATA_THIDUA_ST!A:A,STRAM!A:A)</f>
        <v>3.18</v>
      </c>
      <c r="H22" s="106">
        <f t="shared" si="0"/>
        <v>13.120000000000001</v>
      </c>
      <c r="I22" s="133">
        <f>SUMIFS(DATA_THIDUA_ST!E:E,DATA_THIDUA_ST!A:A,STRAM!A:A)</f>
        <v>0.92500000000000004</v>
      </c>
      <c r="J22" s="112">
        <f t="shared" si="5"/>
        <v>13.120000000000001</v>
      </c>
      <c r="K22" s="113" t="s">
        <v>158</v>
      </c>
      <c r="L22" s="107" t="s">
        <v>159</v>
      </c>
      <c r="M22" s="112" t="str">
        <f t="shared" si="1"/>
        <v>150 Tr</v>
      </c>
      <c r="N22" s="112">
        <v>150</v>
      </c>
      <c r="O22" s="126" t="str">
        <f t="shared" ref="O22:O32" si="6">IF(ISNUMBER(SEARCH("DT", D22))=TRUE," Tr", " Cái")</f>
        <v xml:space="preserve"> Tr</v>
      </c>
      <c r="P22" s="125" t="s">
        <v>366</v>
      </c>
      <c r="Q22" s="126" t="str">
        <f t="shared" ref="Q22" si="7">ROUNDUP(IF($E$4=1,N22/$I$2,IF($E$4&lt;5,N22/7,N22/$I$6)),0)&amp;O22</f>
        <v>22 Tr</v>
      </c>
      <c r="R22" s="28"/>
      <c r="S22" s="537" t="s">
        <v>394</v>
      </c>
      <c r="T22" s="523" t="e">
        <f>ROUNDUP(IFERROR(INDEX(KB!#REF!,MATCH($T$7,KB!#REF!,0),MATCH($B22,KB!#REF!,0)),""),0)&amp;O$10</f>
        <v>#VALUE!</v>
      </c>
      <c r="U22" s="529" t="s">
        <v>166</v>
      </c>
      <c r="V22" s="45"/>
      <c r="W22" s="523" t="e">
        <f>ROUNDUP(IFERROR(INDEX(KB!#REF!,MATCH($W$7,KB!#REF!,0),MATCH($B22,KB!#REF!,0)),""),0)&amp;O$10</f>
        <v>#VALUE!</v>
      </c>
      <c r="X22" s="529" t="s">
        <v>166</v>
      </c>
      <c r="Y22" s="45"/>
      <c r="Z22" s="523" t="e">
        <f>ROUNDUP(IFERROR(INDEX(KB!#REF!,MATCH($Z$7,KB!#REF!,0),MATCH($B22,KB!#REF!,0)),""),0)&amp;O$10</f>
        <v>#VALUE!</v>
      </c>
      <c r="AA22" s="526" t="s">
        <v>166</v>
      </c>
      <c r="AB22" s="45"/>
      <c r="AC22" s="523" t="e">
        <f>ROUNDUP(IFERROR(INDEX(KB!#REF!,MATCH($AC$7,KB!#REF!,0),MATCH($B22,KB!#REF!,0)),""),0)&amp;O$10</f>
        <v>#VALUE!</v>
      </c>
      <c r="AD22" s="526" t="s">
        <v>166</v>
      </c>
      <c r="AE22" s="45"/>
      <c r="AF22" s="523" t="e">
        <f>ROUNDUP(IFERROR(INDEX(KB!#REF!,MATCH($AF$7,KB!#REF!,0),MATCH($B22,KB!#REF!,0)),""),0)&amp;O$10</f>
        <v>#VALUE!</v>
      </c>
      <c r="AG22" s="526" t="s">
        <v>166</v>
      </c>
      <c r="AH22" s="45"/>
      <c r="AI22" s="523" t="e">
        <f>ROUNDUP(IFERROR(INDEX(KB!#REF!,MATCH($AI$7,KB!#REF!,0),MATCH($B22,KB!#REF!,0)),""),0)&amp;O$10</f>
        <v>#VALUE!</v>
      </c>
      <c r="AJ22" s="526" t="s">
        <v>276</v>
      </c>
      <c r="AK22" s="45"/>
      <c r="AL22" s="523" t="e">
        <f>ROUNDUP(IFERROR(INDEX(KB!#REF!,MATCH($AL$7,KB!#REF!,0),MATCH($B22,KB!#REF!,0)),""),0)&amp;O$10</f>
        <v>#VALUE!</v>
      </c>
      <c r="AM22" s="526" t="s">
        <v>276</v>
      </c>
      <c r="AN22" s="45"/>
      <c r="AO22" s="523" t="e">
        <f>ROUNDUP(IFERROR(INDEX(KB!#REF!,MATCH($AO$7,KB!#REF!,0),MATCH($B22,KB!#REF!,0)),""),0)&amp;O$10</f>
        <v>#VALUE!</v>
      </c>
      <c r="AP22" s="526" t="s">
        <v>276</v>
      </c>
    </row>
    <row r="23" spans="1:42" s="28" customFormat="1" ht="18" customHeight="1">
      <c r="A23" s="617" t="s">
        <v>114</v>
      </c>
      <c r="B23" s="140" t="str">
        <f>VLOOKUP(A23,KB!C:D,2,0)</f>
        <v>CMR</v>
      </c>
      <c r="C23" s="141"/>
      <c r="D23" s="625" t="s">
        <v>395</v>
      </c>
      <c r="E23" s="468" t="str">
        <f>VLOOKUP(A:A,KB!C:E,3,0)</f>
        <v>X</v>
      </c>
      <c r="F23" s="469">
        <f>SUMIFS(DATA_THIDUA_ST!C:C,DATA_THIDUA_ST!A:A,STRAM!A:A)</f>
        <v>53</v>
      </c>
      <c r="G23" s="469">
        <f>SUMIFS(DATA_THIDUA_ST!B:B,DATA_THIDUA_ST!A:A,STRAM!A:A)</f>
        <v>4</v>
      </c>
      <c r="H23" s="469">
        <f t="shared" si="0"/>
        <v>49</v>
      </c>
      <c r="I23" s="470">
        <f>SUMIFS(DATA_THIDUA_ST!E:E,DATA_THIDUA_ST!A:A,STRAM!A:A)</f>
        <v>0.37740000000000001</v>
      </c>
      <c r="J23" s="112">
        <f t="shared" ref="J23:J32" ca="1" si="8">IF($E$4=1,H23/$E$3,IF($E$4=2,H23/($E$3-1),IF($E$4=3,H23/($E$3-2),IF($E$4=4,H23/($E$3-3),H23))))</f>
        <v>24.5</v>
      </c>
      <c r="K23" s="471" t="s">
        <v>163</v>
      </c>
      <c r="L23" s="123"/>
      <c r="M23" s="112"/>
      <c r="N23" s="112"/>
      <c r="O23" s="126" t="str">
        <f t="shared" si="6"/>
        <v xml:space="preserve"> Cái</v>
      </c>
      <c r="P23" s="125"/>
      <c r="Q23" s="126"/>
      <c r="S23" s="537"/>
      <c r="T23" s="523"/>
      <c r="U23" s="529"/>
      <c r="V23" s="45"/>
      <c r="W23" s="523"/>
      <c r="X23" s="529"/>
      <c r="Y23" s="45"/>
      <c r="Z23" s="523"/>
      <c r="AA23" s="529"/>
      <c r="AB23" s="45"/>
      <c r="AC23" s="523"/>
      <c r="AD23" s="528"/>
      <c r="AE23" s="45"/>
      <c r="AF23" s="523"/>
      <c r="AG23" s="529"/>
      <c r="AH23" s="45"/>
      <c r="AI23" s="523"/>
      <c r="AJ23" s="528"/>
      <c r="AK23" s="45"/>
      <c r="AL23" s="523"/>
      <c r="AM23" s="528"/>
      <c r="AN23" s="45"/>
      <c r="AO23" s="523"/>
      <c r="AP23" s="528"/>
    </row>
    <row r="24" spans="1:42" s="28" customFormat="1" ht="18" customHeight="1">
      <c r="A24" s="465" t="s">
        <v>494</v>
      </c>
      <c r="B24" s="140" t="str">
        <f>VLOOKUP(A24,KB!C:D,2,0)</f>
        <v>MG</v>
      </c>
      <c r="C24" s="141"/>
      <c r="D24" s="625" t="s">
        <v>396</v>
      </c>
      <c r="E24" s="468" t="str">
        <f>VLOOKUP(A:A,KB!C:E,3,0)</f>
        <v>X</v>
      </c>
      <c r="F24" s="469">
        <f>SUMIFS(DATA_THIDUA_ST!C:C,DATA_THIDUA_ST!A:A,STRAM!A:A)</f>
        <v>781.84</v>
      </c>
      <c r="G24" s="469">
        <f>SUMIFS(DATA_THIDUA_ST!B:B,DATA_THIDUA_ST!A:A,STRAM!A:A)</f>
        <v>380.31</v>
      </c>
      <c r="H24" s="469">
        <f t="shared" si="0"/>
        <v>401.53000000000003</v>
      </c>
      <c r="I24" s="470">
        <f>SUMIFS(DATA_THIDUA_ST!E:E,DATA_THIDUA_ST!A:A,STRAM!A:A)</f>
        <v>2.3092000000000001</v>
      </c>
      <c r="J24" s="112">
        <f t="shared" ca="1" si="8"/>
        <v>200.76500000000001</v>
      </c>
      <c r="K24" s="471" t="s">
        <v>163</v>
      </c>
      <c r="L24" s="123"/>
      <c r="M24" s="112"/>
      <c r="N24" s="112"/>
      <c r="O24" s="126" t="str">
        <f t="shared" si="6"/>
        <v xml:space="preserve"> Tr</v>
      </c>
      <c r="P24" s="124"/>
      <c r="Q24" s="126"/>
      <c r="S24" s="538"/>
      <c r="T24" s="523"/>
      <c r="U24" s="528"/>
      <c r="V24" s="45"/>
      <c r="W24" s="523"/>
      <c r="X24" s="528"/>
      <c r="Y24" s="45"/>
      <c r="Z24" s="523"/>
      <c r="AA24" s="528"/>
      <c r="AB24" s="45"/>
      <c r="AC24" s="523"/>
      <c r="AD24" s="528"/>
      <c r="AE24" s="45"/>
      <c r="AF24" s="523"/>
      <c r="AG24" s="528"/>
      <c r="AH24" s="45"/>
      <c r="AI24" s="523"/>
      <c r="AJ24" s="528"/>
      <c r="AK24" s="45"/>
      <c r="AL24" s="523"/>
      <c r="AM24" s="528"/>
      <c r="AN24" s="45"/>
      <c r="AO24" s="523"/>
      <c r="AP24" s="528"/>
    </row>
    <row r="25" spans="1:42" s="28" customFormat="1" ht="18" customHeight="1">
      <c r="A25" s="466" t="s">
        <v>512</v>
      </c>
      <c r="B25" s="140" t="str">
        <f>VLOOKUP(A25,KB!C:D,2,0)</f>
        <v>DH</v>
      </c>
      <c r="C25" s="141"/>
      <c r="D25" s="625" t="s">
        <v>336</v>
      </c>
      <c r="E25" s="468" t="str">
        <f>VLOOKUP(A:A,KB!C:E,3,0)</f>
        <v>X</v>
      </c>
      <c r="F25" s="469">
        <f>SUMIFS(DATA_THIDUA_ST!C:C,DATA_THIDUA_ST!A:A,STRAM!A:A)</f>
        <v>23</v>
      </c>
      <c r="G25" s="469">
        <f>SUMIFS(DATA_THIDUA_ST!B:B,DATA_THIDUA_ST!A:A,STRAM!A:A)</f>
        <v>1.21</v>
      </c>
      <c r="H25" s="469">
        <f t="shared" si="0"/>
        <v>21.79</v>
      </c>
      <c r="I25" s="470">
        <f>SUMIFS(DATA_THIDUA_ST!E:E,DATA_THIDUA_ST!A:A,STRAM!A:A)</f>
        <v>0.25040000000000001</v>
      </c>
      <c r="J25" s="112">
        <f t="shared" ca="1" si="8"/>
        <v>10.895</v>
      </c>
      <c r="K25" s="471" t="s">
        <v>163</v>
      </c>
      <c r="L25" s="123"/>
      <c r="M25" s="112"/>
      <c r="N25" s="112"/>
      <c r="O25" s="126" t="str">
        <f t="shared" si="6"/>
        <v xml:space="preserve"> Tr</v>
      </c>
      <c r="P25" s="124"/>
      <c r="Q25" s="126"/>
      <c r="S25" s="538"/>
      <c r="T25" s="523"/>
      <c r="U25" s="528"/>
      <c r="V25" s="45"/>
      <c r="W25" s="523"/>
      <c r="X25" s="528"/>
      <c r="Y25" s="45"/>
      <c r="Z25" s="523"/>
      <c r="AA25" s="528"/>
      <c r="AB25" s="45"/>
      <c r="AC25" s="523"/>
      <c r="AD25" s="528"/>
      <c r="AE25" s="45"/>
      <c r="AF25" s="523"/>
      <c r="AG25" s="528"/>
      <c r="AH25" s="45"/>
      <c r="AI25" s="523"/>
      <c r="AJ25" s="528"/>
      <c r="AK25" s="45"/>
      <c r="AL25" s="523"/>
      <c r="AM25" s="528"/>
      <c r="AN25" s="45"/>
      <c r="AO25" s="523"/>
      <c r="AP25" s="528"/>
    </row>
    <row r="26" spans="1:42" s="28" customFormat="1" ht="18" customHeight="1">
      <c r="A26" s="465" t="s">
        <v>506</v>
      </c>
      <c r="B26" s="140" t="str">
        <f>VLOOKUP(A26,KB!C:D,2,0)</f>
        <v>SDP</v>
      </c>
      <c r="C26" s="141"/>
      <c r="D26" s="625" t="s">
        <v>397</v>
      </c>
      <c r="E26" s="468" t="str">
        <f>VLOOKUP(A:A,KB!C:E,3,0)</f>
        <v>X</v>
      </c>
      <c r="F26" s="469">
        <f>SUMIFS(DATA_THIDUA_ST!C:C,DATA_THIDUA_ST!A:A,STRAM!A:A)</f>
        <v>19</v>
      </c>
      <c r="G26" s="469">
        <f>SUMIFS(DATA_THIDUA_ST!B:B,DATA_THIDUA_ST!A:A,STRAM!A:A)</f>
        <v>0</v>
      </c>
      <c r="H26" s="469">
        <f t="shared" si="0"/>
        <v>19</v>
      </c>
      <c r="I26" s="470">
        <f>SUMIFS(DATA_THIDUA_ST!E:E,DATA_THIDUA_ST!A:A,STRAM!A:A)</f>
        <v>0</v>
      </c>
      <c r="J26" s="112">
        <f t="shared" ca="1" si="8"/>
        <v>9.5</v>
      </c>
      <c r="K26" s="471" t="s">
        <v>163</v>
      </c>
      <c r="L26" s="123"/>
      <c r="M26" s="112"/>
      <c r="N26" s="112"/>
      <c r="O26" s="126" t="str">
        <f t="shared" si="6"/>
        <v xml:space="preserve"> Cái</v>
      </c>
      <c r="P26" s="124"/>
      <c r="Q26" s="126"/>
      <c r="S26" s="538"/>
      <c r="T26" s="523"/>
      <c r="U26" s="528"/>
      <c r="V26" s="45"/>
      <c r="W26" s="523"/>
      <c r="X26" s="528"/>
      <c r="Y26" s="45"/>
      <c r="Z26" s="523"/>
      <c r="AA26" s="528"/>
      <c r="AB26" s="45"/>
      <c r="AC26" s="523"/>
      <c r="AD26" s="528"/>
      <c r="AE26" s="45"/>
      <c r="AF26" s="523"/>
      <c r="AG26" s="528"/>
      <c r="AH26" s="45"/>
      <c r="AI26" s="523"/>
      <c r="AJ26" s="528"/>
      <c r="AK26" s="45"/>
      <c r="AL26" s="523"/>
      <c r="AM26" s="528"/>
      <c r="AN26" s="45"/>
      <c r="AO26" s="523"/>
      <c r="AP26" s="528"/>
    </row>
    <row r="27" spans="1:42" s="28" customFormat="1" ht="18" customHeight="1">
      <c r="A27" s="617" t="s">
        <v>176</v>
      </c>
      <c r="B27" s="140" t="str">
        <f>VLOOKUP(A27,KB!C:D,2,0)</f>
        <v>BH</v>
      </c>
      <c r="C27" s="141"/>
      <c r="D27" s="625" t="s">
        <v>393</v>
      </c>
      <c r="E27" s="468" t="str">
        <f>VLOOKUP(A:A,KB!C:E,3,0)</f>
        <v>X</v>
      </c>
      <c r="F27" s="469">
        <f>SUMIFS(DATA_THIDUA_ST!C:C,DATA_THIDUA_ST!A:A,STRAM!A:A)</f>
        <v>28.1</v>
      </c>
      <c r="G27" s="469">
        <f>SUMIFS(DATA_THIDUA_ST!B:B,DATA_THIDUA_ST!A:A,STRAM!A:A)</f>
        <v>1.55</v>
      </c>
      <c r="H27" s="469">
        <f t="shared" si="0"/>
        <v>26.55</v>
      </c>
      <c r="I27" s="470">
        <f>SUMIFS(DATA_THIDUA_ST!E:E,DATA_THIDUA_ST!A:A,STRAM!A:A)</f>
        <v>0.26250000000000001</v>
      </c>
      <c r="J27" s="112">
        <f t="shared" ca="1" si="8"/>
        <v>13.275</v>
      </c>
      <c r="K27" s="471" t="s">
        <v>163</v>
      </c>
      <c r="L27" s="123"/>
      <c r="M27" s="112"/>
      <c r="N27" s="112"/>
      <c r="O27" s="126" t="str">
        <f t="shared" si="6"/>
        <v xml:space="preserve"> Tr</v>
      </c>
      <c r="P27" s="124"/>
      <c r="Q27" s="126"/>
      <c r="S27" s="538"/>
      <c r="T27" s="523"/>
      <c r="U27" s="528"/>
      <c r="W27" s="523"/>
      <c r="X27" s="528"/>
      <c r="Z27" s="523"/>
      <c r="AA27" s="528"/>
      <c r="AC27" s="523"/>
      <c r="AD27" s="528"/>
      <c r="AF27" s="523"/>
      <c r="AG27" s="528"/>
      <c r="AH27" s="45"/>
      <c r="AI27" s="523"/>
      <c r="AJ27" s="528"/>
      <c r="AL27" s="523"/>
      <c r="AM27" s="528"/>
      <c r="AN27" s="103"/>
      <c r="AO27" s="523"/>
      <c r="AP27" s="528"/>
    </row>
    <row r="28" spans="1:42" s="28" customFormat="1" ht="18" customHeight="1">
      <c r="A28" s="465" t="s">
        <v>516</v>
      </c>
      <c r="B28" s="140" t="str">
        <f>VLOOKUP(A28,KB!C:D,2,0)</f>
        <v>QDH</v>
      </c>
      <c r="C28" s="141"/>
      <c r="D28" s="625" t="s">
        <v>400</v>
      </c>
      <c r="E28" s="468" t="str">
        <f>VLOOKUP(A:A,KB!C:E,3,0)</f>
        <v>x</v>
      </c>
      <c r="F28" s="469">
        <f>SUMIFS(DATA_THIDUA_ST!C:C,DATA_THIDUA_ST!A:A,STRAM!A:A)</f>
        <v>95.4</v>
      </c>
      <c r="G28" s="469">
        <f>SUMIFS(DATA_THIDUA_ST!B:B,DATA_THIDUA_ST!A:A,STRAM!A:A)</f>
        <v>57.67</v>
      </c>
      <c r="H28" s="469">
        <f t="shared" si="0"/>
        <v>37.730000000000004</v>
      </c>
      <c r="I28" s="470">
        <f>SUMIFS(DATA_THIDUA_ST!E:E,DATA_THIDUA_ST!A:A,STRAM!A:A)</f>
        <v>2.8696999999999999</v>
      </c>
      <c r="J28" s="112">
        <f t="shared" ca="1" si="8"/>
        <v>18.865000000000002</v>
      </c>
      <c r="K28" s="471" t="s">
        <v>163</v>
      </c>
      <c r="L28" s="123"/>
      <c r="M28" s="112"/>
      <c r="N28" s="112"/>
      <c r="O28" s="126" t="str">
        <f t="shared" si="6"/>
        <v xml:space="preserve"> Tr</v>
      </c>
      <c r="P28" s="124"/>
      <c r="Q28" s="126"/>
      <c r="R28" s="105"/>
      <c r="S28" s="538"/>
      <c r="T28" s="523"/>
      <c r="U28" s="528"/>
      <c r="V28" s="105"/>
      <c r="W28" s="523"/>
      <c r="X28" s="528"/>
      <c r="Z28" s="523"/>
      <c r="AA28" s="528"/>
      <c r="AC28" s="523"/>
      <c r="AD28" s="528"/>
      <c r="AF28" s="523"/>
      <c r="AG28" s="528"/>
      <c r="AH28" s="45"/>
      <c r="AI28" s="523"/>
      <c r="AJ28" s="528"/>
      <c r="AL28" s="523"/>
      <c r="AM28" s="528"/>
      <c r="AN28" s="103"/>
      <c r="AO28" s="535"/>
      <c r="AP28" s="528"/>
    </row>
    <row r="29" spans="1:42" s="28" customFormat="1" ht="18" customHeight="1">
      <c r="A29" s="466" t="s">
        <v>223</v>
      </c>
      <c r="B29" s="140" t="str">
        <f>VLOOKUP(A29,KB!C:D,2,0)</f>
        <v>LKK</v>
      </c>
      <c r="C29" s="141"/>
      <c r="D29" s="625" t="s">
        <v>535</v>
      </c>
      <c r="E29" s="468" t="str">
        <f>VLOOKUP(A:A,KB!C:E,3,0)</f>
        <v>X</v>
      </c>
      <c r="F29" s="469">
        <f>SUMIFS(DATA_THIDUA_ST!C:C,DATA_THIDUA_ST!A:A,STRAM!A:A)</f>
        <v>177.6</v>
      </c>
      <c r="G29" s="469">
        <f>SUMIFS(DATA_THIDUA_ST!B:B,DATA_THIDUA_ST!A:A,STRAM!A:A)</f>
        <v>15.6</v>
      </c>
      <c r="H29" s="469">
        <f t="shared" si="0"/>
        <v>162</v>
      </c>
      <c r="I29" s="470">
        <f>SUMIFS(DATA_THIDUA_ST!E:E,DATA_THIDUA_ST!A:A,STRAM!A:A)</f>
        <v>0.41710000000000003</v>
      </c>
      <c r="J29" s="112">
        <f t="shared" ca="1" si="8"/>
        <v>81</v>
      </c>
      <c r="K29" s="471" t="s">
        <v>163</v>
      </c>
      <c r="L29" s="123"/>
      <c r="M29" s="112"/>
      <c r="N29" s="112"/>
      <c r="O29" s="126" t="str">
        <f t="shared" si="6"/>
        <v xml:space="preserve"> Tr</v>
      </c>
      <c r="P29" s="125"/>
      <c r="Q29" s="126"/>
      <c r="S29" s="537"/>
      <c r="T29" s="523"/>
      <c r="U29" s="529"/>
      <c r="V29" s="45"/>
      <c r="W29" s="523"/>
      <c r="X29" s="529"/>
      <c r="Y29" s="45"/>
      <c r="Z29" s="523"/>
      <c r="AA29" s="529"/>
      <c r="AB29" s="45"/>
      <c r="AC29" s="523"/>
      <c r="AD29" s="529"/>
      <c r="AE29" s="45"/>
      <c r="AF29" s="523"/>
      <c r="AG29" s="529"/>
      <c r="AH29" s="45"/>
      <c r="AI29" s="523"/>
      <c r="AJ29" s="529"/>
      <c r="AK29" s="45"/>
      <c r="AL29" s="523"/>
      <c r="AM29" s="529"/>
      <c r="AN29" s="45"/>
      <c r="AO29" s="523"/>
      <c r="AP29" s="528"/>
    </row>
    <row r="30" spans="1:42" s="28" customFormat="1" ht="18" customHeight="1">
      <c r="A30" s="465" t="s">
        <v>226</v>
      </c>
      <c r="B30" s="140" t="str">
        <f>VLOOKUP(A30,KB!C:D,2,0)</f>
        <v>Ví</v>
      </c>
      <c r="C30" s="141"/>
      <c r="D30" s="625" t="s">
        <v>536</v>
      </c>
      <c r="E30" s="468" t="str">
        <f>VLOOKUP(A:A,KB!C:E,3,0)</f>
        <v>X</v>
      </c>
      <c r="F30" s="469">
        <f>SUMIFS(DATA_THIDUA_ST!C:C,DATA_THIDUA_ST!A:A,STRAM!A:A)</f>
        <v>60.8</v>
      </c>
      <c r="G30" s="469">
        <f>SUMIFS(DATA_THIDUA_ST!B:B,DATA_THIDUA_ST!A:A,STRAM!A:A)</f>
        <v>0</v>
      </c>
      <c r="H30" s="469">
        <f t="shared" si="0"/>
        <v>60.8</v>
      </c>
      <c r="I30" s="470">
        <f>SUMIFS(DATA_THIDUA_ST!E:E,DATA_THIDUA_ST!A:A,STRAM!A:A)</f>
        <v>0</v>
      </c>
      <c r="J30" s="112">
        <f t="shared" ca="1" si="8"/>
        <v>30.4</v>
      </c>
      <c r="K30" s="471" t="s">
        <v>163</v>
      </c>
      <c r="L30" s="123"/>
      <c r="M30" s="112"/>
      <c r="N30" s="112"/>
      <c r="O30" s="126" t="str">
        <f t="shared" si="6"/>
        <v xml:space="preserve"> Tr</v>
      </c>
      <c r="P30" s="124"/>
      <c r="Q30" s="126"/>
      <c r="S30" s="538"/>
      <c r="T30" s="523"/>
      <c r="U30" s="528"/>
      <c r="V30" s="45"/>
      <c r="W30" s="523"/>
      <c r="X30" s="528"/>
      <c r="Y30" s="45"/>
      <c r="Z30" s="523"/>
      <c r="AA30" s="528"/>
      <c r="AB30" s="45"/>
      <c r="AC30" s="523"/>
      <c r="AD30" s="528"/>
      <c r="AE30" s="45"/>
      <c r="AF30" s="523"/>
      <c r="AG30" s="528"/>
      <c r="AH30" s="45"/>
      <c r="AI30" s="523"/>
      <c r="AJ30" s="528"/>
      <c r="AK30" s="45"/>
      <c r="AL30" s="523"/>
      <c r="AM30" s="528"/>
      <c r="AN30" s="45"/>
      <c r="AO30" s="523"/>
      <c r="AP30" s="528"/>
    </row>
    <row r="31" spans="1:42" s="28" customFormat="1" ht="18" customHeight="1">
      <c r="A31" s="466" t="s">
        <v>225</v>
      </c>
      <c r="B31" s="140" t="str">
        <f>VLOOKUP(A31,KB!C:D,2,0)</f>
        <v>CAKE</v>
      </c>
      <c r="C31" s="141"/>
      <c r="D31" s="625" t="s">
        <v>537</v>
      </c>
      <c r="E31" s="468" t="str">
        <f>VLOOKUP(A:A,KB!C:E,3,0)</f>
        <v>X</v>
      </c>
      <c r="F31" s="469">
        <f>SUMIFS(DATA_THIDUA_ST!C:C,DATA_THIDUA_ST!A:A,STRAM!A:A)</f>
        <v>15</v>
      </c>
      <c r="G31" s="469">
        <f>SUMIFS(DATA_THIDUA_ST!B:B,DATA_THIDUA_ST!A:A,STRAM!A:A)</f>
        <v>0</v>
      </c>
      <c r="H31" s="469">
        <f t="shared" si="0"/>
        <v>15</v>
      </c>
      <c r="I31" s="470">
        <f>SUMIFS(DATA_THIDUA_ST!E:E,DATA_THIDUA_ST!A:A,STRAM!A:A)</f>
        <v>0</v>
      </c>
      <c r="J31" s="112">
        <f t="shared" ca="1" si="8"/>
        <v>7.5</v>
      </c>
      <c r="K31" s="471" t="s">
        <v>163</v>
      </c>
      <c r="L31" s="123"/>
      <c r="M31" s="112"/>
      <c r="N31" s="112"/>
      <c r="O31" s="126" t="str">
        <f t="shared" si="6"/>
        <v xml:space="preserve"> Tr</v>
      </c>
      <c r="P31" s="124"/>
      <c r="Q31" s="126"/>
      <c r="S31" s="538"/>
      <c r="T31" s="523"/>
      <c r="U31" s="528"/>
      <c r="V31" s="45"/>
      <c r="W31" s="523"/>
      <c r="X31" s="528"/>
      <c r="Y31" s="45"/>
      <c r="Z31" s="523"/>
      <c r="AA31" s="528"/>
      <c r="AB31" s="45"/>
      <c r="AC31" s="523"/>
      <c r="AD31" s="528"/>
      <c r="AE31" s="45"/>
      <c r="AF31" s="523"/>
      <c r="AG31" s="528"/>
      <c r="AH31" s="45"/>
      <c r="AI31" s="523"/>
      <c r="AJ31" s="528"/>
      <c r="AK31" s="45"/>
      <c r="AL31" s="523"/>
      <c r="AM31" s="528"/>
      <c r="AN31" s="45"/>
      <c r="AO31" s="523"/>
      <c r="AP31" s="528"/>
    </row>
    <row r="32" spans="1:42" s="28" customFormat="1" ht="18" customHeight="1">
      <c r="A32" s="465" t="s">
        <v>507</v>
      </c>
      <c r="B32" s="140" t="str">
        <f>VLOOKUP(A32,KB!C:D,2,0)</f>
        <v>BHDMX</v>
      </c>
      <c r="C32" s="141"/>
      <c r="D32" s="625" t="s">
        <v>538</v>
      </c>
      <c r="E32" s="226">
        <f>VLOOKUP(A:A,KB!C:E,3,0)</f>
        <v>0</v>
      </c>
      <c r="F32" s="106">
        <f>SUMIFS(DATA_THIDUA_ST!C:C,DATA_THIDUA_ST!A:A,STRAM!A:A)</f>
        <v>215.8</v>
      </c>
      <c r="G32" s="106">
        <f>SUMIFS(DATA_THIDUA_ST!B:B,DATA_THIDUA_ST!A:A,STRAM!A:A)</f>
        <v>0</v>
      </c>
      <c r="H32" s="106">
        <f t="shared" si="0"/>
        <v>215.8</v>
      </c>
      <c r="I32" s="133">
        <f>SUMIFS(DATA_THIDUA_ST!E:E,DATA_THIDUA_ST!A:A,STRAM!A:A)</f>
        <v>0</v>
      </c>
      <c r="J32" s="112">
        <f t="shared" ca="1" si="8"/>
        <v>107.9</v>
      </c>
      <c r="K32" s="113" t="s">
        <v>163</v>
      </c>
      <c r="L32" s="123"/>
      <c r="M32" s="112"/>
      <c r="N32" s="112"/>
      <c r="O32" s="126" t="str">
        <f t="shared" si="6"/>
        <v xml:space="preserve"> Tr</v>
      </c>
      <c r="P32" s="124"/>
      <c r="Q32" s="126"/>
      <c r="S32" s="538"/>
      <c r="T32" s="523"/>
      <c r="U32" s="528"/>
      <c r="V32" s="45"/>
      <c r="W32" s="523"/>
      <c r="X32" s="528"/>
      <c r="Y32" s="45"/>
      <c r="Z32" s="523"/>
      <c r="AA32" s="528"/>
      <c r="AB32" s="45"/>
      <c r="AC32" s="523"/>
      <c r="AD32" s="528"/>
      <c r="AE32" s="45"/>
      <c r="AF32" s="523"/>
      <c r="AG32" s="528"/>
      <c r="AH32" s="45"/>
      <c r="AI32" s="523"/>
      <c r="AJ32" s="528"/>
      <c r="AK32" s="45"/>
      <c r="AL32" s="505"/>
      <c r="AM32" s="530"/>
      <c r="AN32" s="45"/>
      <c r="AO32" s="523"/>
      <c r="AP32" s="528"/>
    </row>
    <row r="33" spans="1:42" s="38" customFormat="1" ht="22" customHeight="1">
      <c r="A33" s="50"/>
      <c r="B33" s="140"/>
      <c r="C33" s="141"/>
      <c r="D33" s="947" t="s">
        <v>179</v>
      </c>
      <c r="E33" s="947"/>
      <c r="F33" s="947"/>
      <c r="G33" s="948" t="s">
        <v>211</v>
      </c>
      <c r="H33" s="948"/>
      <c r="I33" s="631" t="s">
        <v>37</v>
      </c>
      <c r="J33" s="632"/>
      <c r="K33" s="926" t="str">
        <f>COUNTIF(K10:K32,"CHỌN") &amp;" nhóm"</f>
        <v>13 nhóm</v>
      </c>
      <c r="L33" s="949" t="s">
        <v>365</v>
      </c>
      <c r="M33" s="949"/>
      <c r="N33" s="633"/>
      <c r="O33" s="633"/>
      <c r="P33" s="949" t="s">
        <v>264</v>
      </c>
      <c r="Q33" s="949"/>
      <c r="S33" s="539" t="s">
        <v>175</v>
      </c>
      <c r="T33" s="531">
        <v>340</v>
      </c>
      <c r="U33" s="922" t="str">
        <f>COUNTIF(U10:U32,"&lt;&gt;")&amp;" nhóm"</f>
        <v>12 nhóm</v>
      </c>
      <c r="V33" s="45"/>
      <c r="W33" s="531">
        <v>290</v>
      </c>
      <c r="X33" s="922" t="str">
        <f>COUNTIF(X10:X32,"&lt;&gt;")&amp;" nhóm"</f>
        <v>12 nhóm</v>
      </c>
      <c r="Y33" s="45"/>
      <c r="Z33" s="531">
        <v>290</v>
      </c>
      <c r="AA33" s="922" t="str">
        <f>COUNTIF(AA10:AA32,"&lt;&gt;")&amp;" nhóm"</f>
        <v>12 nhóm</v>
      </c>
      <c r="AB33" s="45"/>
      <c r="AC33" s="531">
        <v>230</v>
      </c>
      <c r="AD33" s="922" t="str">
        <f>COUNTIF(AD10:AD32,"&lt;&gt;")&amp;" nhóm"</f>
        <v>12 nhóm</v>
      </c>
      <c r="AE33" s="45"/>
      <c r="AF33" s="531">
        <v>230</v>
      </c>
      <c r="AG33" s="922" t="str">
        <f>COUNTIF(AG10:AG32,"&lt;&gt;")&amp;" nhóm"</f>
        <v>12 nhóm</v>
      </c>
      <c r="AH33" s="45"/>
      <c r="AI33" s="531">
        <v>220</v>
      </c>
      <c r="AJ33" s="922" t="str">
        <f>COUNTIF(AJ10:AJ32,"&lt;&gt;")&amp;" nhóm"</f>
        <v>12 nhóm</v>
      </c>
      <c r="AK33" s="45"/>
      <c r="AL33" s="531">
        <v>200</v>
      </c>
      <c r="AM33" s="922" t="str">
        <f>COUNTIF(AM10:AM32,"&lt;&gt;")&amp;" nhóm"</f>
        <v>12 nhóm</v>
      </c>
      <c r="AN33" s="45"/>
      <c r="AO33" s="531">
        <v>200</v>
      </c>
      <c r="AP33" s="922" t="str">
        <f>COUNTIF(AP10:AP32,"&lt;&gt;")&amp;" nhóm"</f>
        <v>12 nhóm</v>
      </c>
    </row>
    <row r="34" spans="1:42" ht="25" customHeight="1">
      <c r="A34" s="50"/>
      <c r="B34" s="140"/>
      <c r="C34" s="142"/>
      <c r="D34" s="920">
        <v>6500</v>
      </c>
      <c r="E34" s="920"/>
      <c r="F34" s="920"/>
      <c r="G34" s="920">
        <v>4778</v>
      </c>
      <c r="H34" s="920"/>
      <c r="I34" s="547">
        <f ca="1">((G34/DAY(NOW()-1))*F1)/D34</f>
        <v>3.6753846153846155</v>
      </c>
      <c r="J34" s="548"/>
      <c r="K34" s="927"/>
      <c r="L34" s="950">
        <v>1800</v>
      </c>
      <c r="M34" s="950"/>
      <c r="N34" s="554"/>
      <c r="O34" s="554"/>
      <c r="P34" s="950">
        <f>L34/7</f>
        <v>257.14285714285717</v>
      </c>
      <c r="Q34" s="950"/>
      <c r="S34" s="540" t="s">
        <v>212</v>
      </c>
      <c r="T34" s="532">
        <f>30%*T33</f>
        <v>102</v>
      </c>
      <c r="U34" s="923"/>
      <c r="W34" s="532">
        <f>30%*W33</f>
        <v>87</v>
      </c>
      <c r="X34" s="923"/>
      <c r="Z34" s="532">
        <f>30%*Z33</f>
        <v>87</v>
      </c>
      <c r="AA34" s="923"/>
      <c r="AC34" s="532">
        <f>30%*AC33</f>
        <v>69</v>
      </c>
      <c r="AD34" s="923"/>
      <c r="AF34" s="532">
        <f>30%*AF33</f>
        <v>69</v>
      </c>
      <c r="AG34" s="923"/>
      <c r="AI34" s="532">
        <f>30%*AI33</f>
        <v>66</v>
      </c>
      <c r="AJ34" s="923"/>
      <c r="AL34" s="532">
        <f>30%*AL33</f>
        <v>60</v>
      </c>
      <c r="AM34" s="923"/>
      <c r="AO34" s="532">
        <f>30%*AO33</f>
        <v>60</v>
      </c>
      <c r="AP34" s="923"/>
    </row>
    <row r="35" spans="1:42" ht="26">
      <c r="A35" s="254"/>
      <c r="B35" s="142"/>
      <c r="C35" s="143"/>
      <c r="D35" s="255"/>
      <c r="E35" s="255"/>
      <c r="F35" s="255"/>
      <c r="G35" s="255"/>
      <c r="H35" s="255"/>
      <c r="I35" s="255"/>
      <c r="K35" s="31"/>
    </row>
    <row r="36" spans="1:42">
      <c r="A36" s="254"/>
      <c r="B36" s="142"/>
      <c r="C36" s="142"/>
      <c r="T36" s="511"/>
      <c r="U36" s="511"/>
      <c r="W36" s="511"/>
      <c r="X36" s="511"/>
      <c r="Z36" s="511"/>
      <c r="AA36" s="511"/>
      <c r="AC36" s="511"/>
      <c r="AD36" s="511"/>
    </row>
    <row r="37" spans="1:42">
      <c r="A37" s="254"/>
      <c r="B37" s="142"/>
      <c r="C37" s="142"/>
      <c r="D37" s="265"/>
      <c r="T37" s="511" t="s">
        <v>282</v>
      </c>
      <c r="U37" s="511"/>
      <c r="W37" s="511" t="s">
        <v>281</v>
      </c>
      <c r="X37" s="511"/>
      <c r="Z37" s="511" t="s">
        <v>283</v>
      </c>
      <c r="AA37" s="511"/>
      <c r="AC37" s="511" t="s">
        <v>284</v>
      </c>
      <c r="AD37" s="511"/>
    </row>
    <row r="38" spans="1:42" s="34" customFormat="1" ht="27" customHeight="1">
      <c r="B38" s="138"/>
      <c r="C38" s="138"/>
      <c r="D38" s="914" t="str">
        <f ca="1">"THI ĐUA ST TGDĐ ĐINH TIÊN HOÀNG  THÁNG "&amp;MONTH((NOW()))</f>
        <v>THI ĐUA ST TGDĐ ĐINH TIÊN HOÀNG  THÁNG 6</v>
      </c>
      <c r="E38" s="915"/>
      <c r="F38" s="915"/>
      <c r="G38" s="915"/>
      <c r="H38" s="915"/>
      <c r="I38" s="915"/>
      <c r="J38" s="916" t="s">
        <v>165</v>
      </c>
      <c r="K38" s="917"/>
      <c r="L38" s="917"/>
      <c r="M38" s="917"/>
      <c r="N38" s="917"/>
      <c r="O38" s="917"/>
      <c r="P38" s="917"/>
      <c r="Q38" s="918"/>
      <c r="R38" s="541"/>
      <c r="S38" s="542" t="s">
        <v>16</v>
      </c>
      <c r="T38" s="934" t="s">
        <v>438</v>
      </c>
      <c r="U38" s="935"/>
      <c r="V38" s="558"/>
      <c r="W38" s="936" t="s">
        <v>439</v>
      </c>
      <c r="X38" s="937"/>
      <c r="Y38" s="558"/>
      <c r="Z38" s="936" t="s">
        <v>440</v>
      </c>
      <c r="AA38" s="937"/>
      <c r="AB38" s="558"/>
      <c r="AC38" s="932" t="s">
        <v>441</v>
      </c>
      <c r="AD38" s="933"/>
      <c r="AE38" s="45"/>
      <c r="AH38" s="45"/>
      <c r="AI38" s="929"/>
      <c r="AJ38" s="929"/>
      <c r="AK38" s="45"/>
      <c r="AL38" s="109"/>
      <c r="AM38" s="109"/>
      <c r="AN38" s="45"/>
      <c r="AO38" s="929"/>
      <c r="AP38" s="929"/>
    </row>
    <row r="39" spans="1:42" s="42" customFormat="1" ht="29" customHeight="1">
      <c r="A39" s="518" t="s">
        <v>28</v>
      </c>
      <c r="B39" s="519" t="s">
        <v>43</v>
      </c>
      <c r="C39" s="519" t="s">
        <v>339</v>
      </c>
      <c r="D39" s="634" t="s">
        <v>340</v>
      </c>
      <c r="E39" s="635" t="s">
        <v>1</v>
      </c>
      <c r="F39" s="636" t="s">
        <v>10</v>
      </c>
      <c r="G39" s="636" t="s">
        <v>13</v>
      </c>
      <c r="H39" s="635" t="s">
        <v>36</v>
      </c>
      <c r="I39" s="636" t="s">
        <v>14</v>
      </c>
      <c r="J39" s="637" t="s">
        <v>152</v>
      </c>
      <c r="K39" s="635" t="s">
        <v>153</v>
      </c>
      <c r="L39" s="635" t="s">
        <v>164</v>
      </c>
      <c r="M39" s="635" t="s">
        <v>460</v>
      </c>
      <c r="N39" s="635" t="s">
        <v>214</v>
      </c>
      <c r="O39" s="635" t="s">
        <v>207</v>
      </c>
      <c r="P39" s="635" t="s">
        <v>155</v>
      </c>
      <c r="Q39" s="635" t="s">
        <v>17</v>
      </c>
      <c r="R39" s="559" t="s">
        <v>451</v>
      </c>
      <c r="S39" s="580" t="s">
        <v>452</v>
      </c>
      <c r="T39" s="560" t="s">
        <v>154</v>
      </c>
      <c r="U39" s="561" t="s">
        <v>461</v>
      </c>
      <c r="V39" s="562" t="s">
        <v>453</v>
      </c>
      <c r="W39" s="563" t="s">
        <v>462</v>
      </c>
      <c r="X39" s="564" t="s">
        <v>482</v>
      </c>
      <c r="Y39" s="562" t="s">
        <v>454</v>
      </c>
      <c r="Z39" s="563" t="s">
        <v>464</v>
      </c>
      <c r="AA39" s="564" t="s">
        <v>465</v>
      </c>
      <c r="AB39" s="562" t="s">
        <v>455</v>
      </c>
      <c r="AC39" s="565" t="s">
        <v>466</v>
      </c>
      <c r="AD39" s="566" t="s">
        <v>467</v>
      </c>
      <c r="AE39" s="45"/>
      <c r="AH39" s="45"/>
      <c r="AI39" s="339"/>
      <c r="AJ39" s="339"/>
      <c r="AK39" s="45"/>
      <c r="AN39" s="45"/>
      <c r="AO39" s="339"/>
      <c r="AP39" s="339"/>
    </row>
    <row r="40" spans="1:42" s="105" customFormat="1" ht="21" customHeight="1">
      <c r="A40" s="465" t="s">
        <v>508</v>
      </c>
      <c r="B40" s="520" t="str">
        <f>VLOOKUP(A40,KB!C:D,2,0)</f>
        <v>ICT</v>
      </c>
      <c r="C40" s="520"/>
      <c r="D40" s="111" t="s">
        <v>532</v>
      </c>
      <c r="E40" s="152" t="str">
        <f>VLOOKUP(A:A,Table4[[Nhóm Thi Đua]:[Ghi chú]],3,0)</f>
        <v>VIP</v>
      </c>
      <c r="F40" s="106">
        <f>SUMIFS(DATA_THIDUA_ST!M:M,DATA_THIDUA_ST!K:K,STRAM!A:A)</f>
        <v>1452.6</v>
      </c>
      <c r="G40" s="106">
        <f>SUMIFS(DATA_THIDUA_ST!L:L,DATA_THIDUA_ST!K:K,STRAM!A:A)</f>
        <v>174.86</v>
      </c>
      <c r="H40" s="106">
        <f t="shared" ref="H40:H44" si="9">F40-G40</f>
        <v>1277.7399999999998</v>
      </c>
      <c r="I40" s="133">
        <f>SUMIFS(DATA_THIDUA_ST!O:O,DATA_THIDUA_ST!K:K,STRAM!A:A)</f>
        <v>0.57150000000000001</v>
      </c>
      <c r="J40" s="112">
        <f>H40/2</f>
        <v>638.86999999999989</v>
      </c>
      <c r="K40" s="113" t="s">
        <v>158</v>
      </c>
      <c r="L40" s="107" t="s">
        <v>159</v>
      </c>
      <c r="M40" s="112" t="str">
        <f t="shared" ref="M40:M52" si="10">ROUNDUP(N40,0)&amp;O40</f>
        <v>50 Tr</v>
      </c>
      <c r="N40" s="112">
        <v>50</v>
      </c>
      <c r="O40" s="126" t="str">
        <f t="shared" ref="O40:O52" si="11">IF(ISNUMBER(SEARCH("DT", D40))=TRUE," Tr", " Cái")</f>
        <v xml:space="preserve"> Tr</v>
      </c>
      <c r="P40" s="124" t="s">
        <v>174</v>
      </c>
      <c r="Q40" s="126" t="str">
        <f>ROUNDUP(IF($E$4=1,N40/$I$2,IF($E$4&lt;5,N40/7,N40/$I$6)),0)&amp;O40</f>
        <v>8 Tr</v>
      </c>
      <c r="S40" s="555" t="s">
        <v>270</v>
      </c>
      <c r="T40" s="556" t="e">
        <f>ROUNDUP(IFERROR(INDEX(KB!#REF!,MATCH($T$37,KB!#REF!,0),MATCH($B40,KB!#REF!,0)),""),0)&amp;O40</f>
        <v>#VALUE!</v>
      </c>
      <c r="U40" s="557" t="s">
        <v>276</v>
      </c>
      <c r="V40" s="45"/>
      <c r="W40" s="556" t="e">
        <f>ROUNDUP(IFERROR(INDEX(KB!#REF!,MATCH($W$37,KB!#REF!,0),MATCH($B40,KB!#REF!,0)),""),0)&amp;O40</f>
        <v>#VALUE!</v>
      </c>
      <c r="X40" s="557" t="s">
        <v>166</v>
      </c>
      <c r="Y40" s="45"/>
      <c r="Z40" s="556" t="e">
        <f>ROUNDUP(IFERROR(INDEX(KB!#REF!,MATCH($Z$37,KB!#REF!,0),MATCH($B40,KB!#REF!,0)),""),0)&amp;O40</f>
        <v>#VALUE!</v>
      </c>
      <c r="AA40" s="557" t="s">
        <v>166</v>
      </c>
      <c r="AB40" s="45"/>
      <c r="AC40" s="556" t="e">
        <f>ROUNDUP(IFERROR(INDEX(KB!#REF!,MATCH($AC$37,KB!#REF!,0),MATCH($B40,KB!#REF!,0)),""),0)&amp;O40</f>
        <v>#VALUE!</v>
      </c>
      <c r="AD40" s="557" t="s">
        <v>276</v>
      </c>
      <c r="AE40" s="45"/>
      <c r="AH40" s="45"/>
      <c r="AI40" s="340"/>
      <c r="AJ40" s="103"/>
      <c r="AK40" s="45"/>
      <c r="AN40" s="45"/>
      <c r="AO40" s="340"/>
      <c r="AP40" s="103"/>
    </row>
    <row r="41" spans="1:42" s="105" customFormat="1" ht="42" customHeight="1">
      <c r="A41" s="466" t="s">
        <v>514</v>
      </c>
      <c r="B41" s="521" t="str">
        <f>VLOOKUP(A41,KB!C:D,2,0)</f>
        <v>PK</v>
      </c>
      <c r="C41" s="522"/>
      <c r="D41" s="111" t="s">
        <v>115</v>
      </c>
      <c r="E41" s="152" t="str">
        <f>VLOOKUP(A:A,Table4[[Nhóm Thi Đua]:[Ghi chú]],3,0)</f>
        <v>VIP</v>
      </c>
      <c r="F41" s="106">
        <f>SUMIFS(DATA_THIDUA_ST!M:M,DATA_THIDUA_ST!K:K,STRAM!A:A)</f>
        <v>638.6</v>
      </c>
      <c r="G41" s="106">
        <f>SUMIFS(DATA_THIDUA_ST!L:L,DATA_THIDUA_ST!K:K,STRAM!A:A)</f>
        <v>79.739999999999995</v>
      </c>
      <c r="H41" s="106">
        <f t="shared" si="9"/>
        <v>558.86</v>
      </c>
      <c r="I41" s="133">
        <f>SUMIFS(DATA_THIDUA_ST!O:O,DATA_THIDUA_ST!K:K,STRAM!A:A)</f>
        <v>0.59279999999999999</v>
      </c>
      <c r="J41" s="112">
        <f>IF($E$4=1,H41*$J$2,IF($E$4=2,H41*$J$3,IF($E$4=3,H41*$J$4,IF($E$4=4,H41*$J$5,H41))))</f>
        <v>111.77200000000001</v>
      </c>
      <c r="K41" s="113" t="s">
        <v>158</v>
      </c>
      <c r="L41" s="107" t="s">
        <v>159</v>
      </c>
      <c r="M41" s="112" t="str">
        <f t="shared" si="10"/>
        <v>138 Tr</v>
      </c>
      <c r="N41" s="112">
        <v>137.90500000000003</v>
      </c>
      <c r="O41" s="126" t="str">
        <f t="shared" si="11"/>
        <v xml:space="preserve"> Tr</v>
      </c>
      <c r="P41" s="125" t="s">
        <v>338</v>
      </c>
      <c r="Q41" s="126" t="str">
        <f t="shared" ref="Q41:Q52" si="12">ROUNDUP(IF($E$4=1,N41/$I$2,IF($E$4&lt;5,N41/7,N41/$I$6)),0)&amp;O41</f>
        <v>20 Tr</v>
      </c>
      <c r="R41" s="28"/>
      <c r="S41" s="543"/>
      <c r="T41" s="523"/>
      <c r="U41" s="533"/>
      <c r="V41" s="28"/>
      <c r="W41" s="523"/>
      <c r="X41" s="533"/>
      <c r="Y41" s="28"/>
      <c r="Z41" s="523"/>
      <c r="AA41" s="533"/>
      <c r="AB41" s="28"/>
      <c r="AC41" s="523"/>
      <c r="AD41" s="533"/>
      <c r="AH41" s="45"/>
      <c r="AI41" s="340"/>
      <c r="AJ41" s="341"/>
      <c r="AK41" s="28"/>
      <c r="AL41" s="28"/>
      <c r="AM41" s="28"/>
      <c r="AN41" s="28"/>
      <c r="AO41" s="340"/>
      <c r="AP41" s="341"/>
    </row>
    <row r="42" spans="1:42" s="105" customFormat="1" ht="52" customHeight="1">
      <c r="A42" s="616" t="s">
        <v>502</v>
      </c>
      <c r="B42" s="520" t="str">
        <f>VLOOKUP(A42,KB!C:D,2,0)</f>
        <v>SIM</v>
      </c>
      <c r="C42" s="520"/>
      <c r="D42" s="111" t="s">
        <v>172</v>
      </c>
      <c r="E42" s="152" t="str">
        <f>VLOOKUP(A:A,Table4[[Nhóm Thi Đua]:[Ghi chú]],3,0)</f>
        <v>VIP</v>
      </c>
      <c r="F42" s="106">
        <f>SUMIFS(DATA_THIDUA_ST!M:M,DATA_THIDUA_ST!K:K,STRAM!A:A)</f>
        <v>71</v>
      </c>
      <c r="G42" s="106">
        <f>SUMIFS(DATA_THIDUA_ST!L:L,DATA_THIDUA_ST!K:K,STRAM!A:A)</f>
        <v>8</v>
      </c>
      <c r="H42" s="106">
        <f t="shared" si="9"/>
        <v>63</v>
      </c>
      <c r="I42" s="133">
        <f>SUMIFS(DATA_THIDUA_ST!O:O,DATA_THIDUA_ST!K:K,STRAM!A:A)</f>
        <v>0.56340000000000001</v>
      </c>
      <c r="J42" s="112">
        <f t="shared" ref="J42:J44" si="13">H42/2</f>
        <v>31.5</v>
      </c>
      <c r="K42" s="113" t="s">
        <v>158</v>
      </c>
      <c r="L42" s="107" t="s">
        <v>159</v>
      </c>
      <c r="M42" s="112" t="str">
        <f t="shared" si="10"/>
        <v>90 Cái</v>
      </c>
      <c r="N42" s="112">
        <v>90</v>
      </c>
      <c r="O42" s="126" t="str">
        <f t="shared" si="11"/>
        <v xml:space="preserve"> Cái</v>
      </c>
      <c r="P42" s="125" t="s">
        <v>480</v>
      </c>
      <c r="Q42" s="126" t="str">
        <f t="shared" si="12"/>
        <v>13 Cái</v>
      </c>
      <c r="R42" s="28"/>
      <c r="S42" s="543" t="s">
        <v>115</v>
      </c>
      <c r="T42" s="523" t="e">
        <f>ROUNDUP(IFERROR(INDEX(KB!#REF!,MATCH($T$37,KB!#REF!,0),MATCH($B42,KB!#REF!,0)),""),0)&amp;O42</f>
        <v>#VALUE!</v>
      </c>
      <c r="U42" s="533" t="s">
        <v>487</v>
      </c>
      <c r="V42" s="45"/>
      <c r="W42" s="523" t="e">
        <f>ROUNDUP(IFERROR(INDEX(KB!#REF!,MATCH($W$37,KB!#REF!,0),MATCH($B42,KB!#REF!,0)),""),0)&amp;O42</f>
        <v>#VALUE!</v>
      </c>
      <c r="X42" s="533" t="s">
        <v>492</v>
      </c>
      <c r="Y42" s="45"/>
      <c r="Z42" s="523" t="e">
        <f>ROUNDUP(IFERROR(INDEX(KB!#REF!,MATCH($Z$37,KB!#REF!,0),MATCH($B42,KB!#REF!,0)),""),0)&amp;O42</f>
        <v>#VALUE!</v>
      </c>
      <c r="AA42" s="533" t="s">
        <v>491</v>
      </c>
      <c r="AB42" s="45"/>
      <c r="AC42" s="523" t="e">
        <f>ROUNDUP(IFERROR(INDEX(KB!#REF!,MATCH($AC$37,KB!#REF!,0),MATCH($B42,KB!#REF!,0)),""),0)&amp;O42</f>
        <v>#VALUE!</v>
      </c>
      <c r="AD42" s="533" t="s">
        <v>490</v>
      </c>
      <c r="AE42" s="45"/>
      <c r="AH42" s="45"/>
      <c r="AI42" s="340"/>
      <c r="AJ42" s="341"/>
      <c r="AK42" s="45"/>
      <c r="AL42" s="28"/>
      <c r="AM42" s="28"/>
      <c r="AN42" s="45"/>
      <c r="AO42" s="340"/>
      <c r="AP42" s="341"/>
    </row>
    <row r="43" spans="1:42" s="105" customFormat="1" ht="21" customHeight="1">
      <c r="A43" s="466" t="s">
        <v>510</v>
      </c>
      <c r="B43" s="520" t="str">
        <f>VLOOKUP(A43,KB!C:D,2,0)</f>
        <v>FE</v>
      </c>
      <c r="C43" s="520"/>
      <c r="D43" s="111" t="s">
        <v>106</v>
      </c>
      <c r="E43" s="152" t="str">
        <f>VLOOKUP(A:A,Table4[[Nhóm Thi Đua]:[Ghi chú]],3,0)</f>
        <v>VIP</v>
      </c>
      <c r="F43" s="106">
        <f>SUMIFS(DATA_THIDUA_ST!M:M,DATA_THIDUA_ST!K:K,STRAM!A:A)</f>
        <v>389.9</v>
      </c>
      <c r="G43" s="106">
        <f>SUMIFS(DATA_THIDUA_ST!L:L,DATA_THIDUA_ST!K:K,STRAM!A:A)</f>
        <v>61.27</v>
      </c>
      <c r="H43" s="106">
        <f t="shared" si="9"/>
        <v>328.63</v>
      </c>
      <c r="I43" s="133">
        <f>SUMIFS(DATA_THIDUA_ST!O:O,DATA_THIDUA_ST!K:K,STRAM!A:A)</f>
        <v>0.746</v>
      </c>
      <c r="J43" s="112">
        <f t="shared" si="13"/>
        <v>164.315</v>
      </c>
      <c r="K43" s="113" t="s">
        <v>158</v>
      </c>
      <c r="L43" s="107" t="s">
        <v>159</v>
      </c>
      <c r="M43" s="112" t="str">
        <f t="shared" si="10"/>
        <v>7 Tr</v>
      </c>
      <c r="N43" s="112">
        <v>7</v>
      </c>
      <c r="O43" s="126" t="str">
        <f t="shared" si="11"/>
        <v xml:space="preserve"> Tr</v>
      </c>
      <c r="P43" s="125" t="str">
        <f>Table3[[#This Row],[MỤC TIÊU TUẦN2]]</f>
        <v>7 Tr</v>
      </c>
      <c r="Q43" s="126" t="str">
        <f t="shared" si="12"/>
        <v>1 Tr</v>
      </c>
      <c r="R43" s="28"/>
      <c r="S43" s="543" t="s">
        <v>172</v>
      </c>
      <c r="T43" s="523" t="e">
        <f>ROUNDUP(IFERROR(INDEX(KB!#REF!,MATCH($T$37,KB!#REF!,0),MATCH($B43,KB!#REF!,0)),""),0)&amp;O43</f>
        <v>#VALUE!</v>
      </c>
      <c r="U43" s="533" t="e">
        <f>T43</f>
        <v>#VALUE!</v>
      </c>
      <c r="V43" s="45"/>
      <c r="W43" s="523" t="e">
        <f>ROUNDUP(IFERROR(INDEX(KB!#REF!,MATCH($W$37,KB!#REF!,0),MATCH($B43,KB!#REF!,0)),""),0)&amp;O43</f>
        <v>#VALUE!</v>
      </c>
      <c r="X43" s="533" t="e">
        <f>W43</f>
        <v>#VALUE!</v>
      </c>
      <c r="Y43" s="45"/>
      <c r="Z43" s="523" t="e">
        <f>ROUNDUP(IFERROR(INDEX(KB!#REF!,MATCH($Z$37,KB!#REF!,0),MATCH($B43,KB!#REF!,0)),""),0)&amp;O43</f>
        <v>#VALUE!</v>
      </c>
      <c r="AA43" s="533" t="e">
        <f>Z43</f>
        <v>#VALUE!</v>
      </c>
      <c r="AB43" s="45"/>
      <c r="AC43" s="523" t="e">
        <f>ROUNDUP(IFERROR(INDEX(KB!#REF!,MATCH($AC$37,KB!#REF!,0),MATCH($B43,KB!#REF!,0)),""),0)&amp;O43</f>
        <v>#VALUE!</v>
      </c>
      <c r="AD43" s="512" t="e">
        <f>AC43</f>
        <v>#VALUE!</v>
      </c>
      <c r="AE43" s="45"/>
      <c r="AH43" s="45"/>
      <c r="AI43" s="340"/>
      <c r="AJ43" s="341"/>
      <c r="AK43" s="45"/>
      <c r="AL43" s="28"/>
      <c r="AM43" s="28"/>
      <c r="AN43" s="45"/>
      <c r="AO43" s="340"/>
      <c r="AP43" s="341"/>
    </row>
    <row r="44" spans="1:42" s="105" customFormat="1" ht="21" customHeight="1">
      <c r="A44" s="465" t="s">
        <v>511</v>
      </c>
      <c r="B44" s="520" t="str">
        <f>VLOOKUP(A44,KB!C:D,2,0)</f>
        <v>HC</v>
      </c>
      <c r="C44" s="520"/>
      <c r="D44" s="111" t="s">
        <v>105</v>
      </c>
      <c r="E44" s="152" t="str">
        <f>VLOOKUP(A:A,Table4[[Nhóm Thi Đua]:[Ghi chú]],3,0)</f>
        <v>VIP</v>
      </c>
      <c r="F44" s="106">
        <f>SUMIFS(DATA_THIDUA_ST!M:M,DATA_THIDUA_ST!K:K,STRAM!A:A)</f>
        <v>496.7</v>
      </c>
      <c r="G44" s="106">
        <f>SUMIFS(DATA_THIDUA_ST!L:L,DATA_THIDUA_ST!K:K,STRAM!A:A)</f>
        <v>62.24</v>
      </c>
      <c r="H44" s="106">
        <f t="shared" si="9"/>
        <v>434.46</v>
      </c>
      <c r="I44" s="133">
        <f>SUMIFS(DATA_THIDUA_ST!O:O,DATA_THIDUA_ST!K:K,STRAM!A:A)</f>
        <v>0.59489999999999998</v>
      </c>
      <c r="J44" s="112">
        <f t="shared" si="13"/>
        <v>217.23</v>
      </c>
      <c r="K44" s="113" t="s">
        <v>158</v>
      </c>
      <c r="L44" s="107" t="s">
        <v>161</v>
      </c>
      <c r="M44" s="112" t="str">
        <f t="shared" si="10"/>
        <v>0 Tr</v>
      </c>
      <c r="N44" s="112"/>
      <c r="O44" s="126" t="str">
        <f t="shared" si="11"/>
        <v xml:space="preserve"> Tr</v>
      </c>
      <c r="P44" s="124" t="s">
        <v>481</v>
      </c>
      <c r="Q44" s="126" t="str">
        <f t="shared" si="12"/>
        <v>0 Tr</v>
      </c>
      <c r="R44" s="28"/>
      <c r="S44" s="543" t="s">
        <v>106</v>
      </c>
      <c r="T44" s="523" t="s">
        <v>489</v>
      </c>
      <c r="U44" s="512" t="s">
        <v>488</v>
      </c>
      <c r="V44" s="45"/>
      <c r="W44" s="523" t="e">
        <f>ROUNDUP(IFERROR(INDEX(KB!#REF!,MATCH($W$37,KB!#REF!,0),MATCH($B44,KB!#REF!,0)),""),0)&amp;O44</f>
        <v>#VALUE!</v>
      </c>
      <c r="X44" s="512" t="s">
        <v>407</v>
      </c>
      <c r="Y44" s="45"/>
      <c r="Z44" s="523" t="e">
        <f>ROUNDUP(IFERROR(INDEX(KB!#REF!,MATCH($Z$37,KB!#REF!,0),MATCH($B44,KB!#REF!,0)),""),0)&amp;O44</f>
        <v>#VALUE!</v>
      </c>
      <c r="AA44" s="512" t="s">
        <v>407</v>
      </c>
      <c r="AB44" s="45"/>
      <c r="AC44" s="523"/>
      <c r="AD44" s="512"/>
      <c r="AE44" s="45"/>
      <c r="AH44" s="45"/>
      <c r="AI44" s="340"/>
      <c r="AJ44" s="103"/>
      <c r="AK44" s="45"/>
      <c r="AL44" s="28"/>
      <c r="AM44" s="28"/>
      <c r="AN44" s="45"/>
      <c r="AO44" s="340"/>
      <c r="AP44" s="103"/>
    </row>
    <row r="45" spans="1:42" s="105" customFormat="1" ht="21" customHeight="1">
      <c r="A45" s="465" t="s">
        <v>509</v>
      </c>
      <c r="B45" s="521" t="str">
        <f>VLOOKUP(A45,KB!C:D,2,0)</f>
        <v>VIVO</v>
      </c>
      <c r="C45" s="522"/>
      <c r="D45" s="111" t="s">
        <v>539</v>
      </c>
      <c r="E45" s="152" t="str">
        <f>VLOOKUP(A:A,Table4[[Nhóm Thi Đua]:[Ghi chú]],3,0)</f>
        <v>VIP</v>
      </c>
      <c r="F45" s="106"/>
      <c r="G45" s="106"/>
      <c r="H45" s="106"/>
      <c r="I45" s="133"/>
      <c r="J45" s="112">
        <f t="shared" ref="J45" si="14">IF($E$4=1,H45*$J$2,IF($E$4=2,H45*$J$3,IF($E$4=3,H45*$J$4,IF($E$4=4,H45*$J$5,H45))))</f>
        <v>0</v>
      </c>
      <c r="K45" s="113" t="s">
        <v>158</v>
      </c>
      <c r="L45" s="107"/>
      <c r="M45" s="112"/>
      <c r="N45" s="112"/>
      <c r="O45" s="126" t="str">
        <f t="shared" si="11"/>
        <v xml:space="preserve"> Tr</v>
      </c>
      <c r="P45" s="124"/>
      <c r="Q45" s="126"/>
      <c r="R45" s="28"/>
      <c r="S45" s="543"/>
      <c r="T45" s="523"/>
      <c r="U45" s="512"/>
      <c r="V45" s="28"/>
      <c r="W45" s="523"/>
      <c r="X45" s="512"/>
      <c r="Y45" s="28"/>
      <c r="Z45" s="523"/>
      <c r="AA45" s="512"/>
      <c r="AB45" s="28"/>
      <c r="AC45" s="535"/>
      <c r="AD45" s="553"/>
      <c r="AH45" s="45"/>
      <c r="AI45" s="340"/>
      <c r="AJ45" s="103"/>
      <c r="AK45" s="28"/>
      <c r="AL45" s="28"/>
      <c r="AM45" s="28"/>
      <c r="AN45" s="28"/>
      <c r="AO45" s="340"/>
      <c r="AP45" s="103"/>
    </row>
    <row r="46" spans="1:42" s="105" customFormat="1" ht="21" customHeight="1">
      <c r="A46" s="617" t="s">
        <v>114</v>
      </c>
      <c r="B46" s="521" t="str">
        <f>VLOOKUP(A46,KB!C:D,2,0)</f>
        <v>CMR</v>
      </c>
      <c r="C46" s="522"/>
      <c r="D46" s="625" t="s">
        <v>395</v>
      </c>
      <c r="E46" s="152" t="str">
        <f>VLOOKUP(A:A,Table4[[Nhóm Thi Đua]:[Ghi chú]],3,0)</f>
        <v>X</v>
      </c>
      <c r="F46" s="106">
        <f>SUMIFS(DATA_THIDUA_ST!M:M,DATA_THIDUA_ST!K:K,STRAM!A:A)</f>
        <v>37</v>
      </c>
      <c r="G46" s="106">
        <f>SUMIFS(DATA_THIDUA_ST!L:L,DATA_THIDUA_ST!K:K,STRAM!A:A)</f>
        <v>1</v>
      </c>
      <c r="H46" s="106">
        <f t="shared" ref="H46" si="15">F46-G46</f>
        <v>36</v>
      </c>
      <c r="I46" s="133">
        <f>SUMIFS(DATA_THIDUA_ST!O:O,DATA_THIDUA_ST!K:K,STRAM!A:A)</f>
        <v>0.1351</v>
      </c>
      <c r="J46" s="112">
        <f>H46/2</f>
        <v>18</v>
      </c>
      <c r="K46" s="113" t="s">
        <v>158</v>
      </c>
      <c r="L46" s="107" t="s">
        <v>215</v>
      </c>
      <c r="M46" s="112" t="str">
        <f t="shared" ref="M46" si="16">ROUNDUP(N46,0)&amp;O46</f>
        <v>15 Cái</v>
      </c>
      <c r="N46" s="112">
        <v>15</v>
      </c>
      <c r="O46" s="126" t="str">
        <f t="shared" si="11"/>
        <v xml:space="preserve"> Cái</v>
      </c>
      <c r="P46" s="124" t="str">
        <f>M46</f>
        <v>15 Cái</v>
      </c>
      <c r="Q46" s="126" t="str">
        <f t="shared" ref="Q46" si="17">ROUNDUP(IF($E$4=1,N46/$I$2,IF($E$4&lt;5,N46/7,N46/$I$6)),0)&amp;O46</f>
        <v>3 Cái</v>
      </c>
      <c r="R46" s="28"/>
      <c r="S46" s="544" t="s">
        <v>395</v>
      </c>
      <c r="T46" s="523" t="e">
        <f>ROUNDUP(IFERROR(INDEX(KB!#REF!,MATCH($T$37,KB!#REF!,0),MATCH($B46,KB!#REF!,0)),""),0)&amp;O46</f>
        <v>#VALUE!</v>
      </c>
      <c r="U46" s="512" t="e">
        <f>T46</f>
        <v>#VALUE!</v>
      </c>
      <c r="V46" s="45"/>
      <c r="W46" s="523" t="e">
        <f>ROUNDUP(IFERROR(INDEX(KB!#REF!,MATCH($W$37,KB!#REF!,0),MATCH($B46,KB!#REF!,0)),""),0)&amp;O46</f>
        <v>#VALUE!</v>
      </c>
      <c r="X46" s="512" t="e">
        <f>W46</f>
        <v>#VALUE!</v>
      </c>
      <c r="Y46" s="45"/>
      <c r="Z46" s="523" t="e">
        <f>ROUNDUP(IFERROR(INDEX(KB!#REF!,MATCH($Z$37,KB!#REF!,0),MATCH($B46,KB!#REF!,0)),""),0)&amp;O46</f>
        <v>#VALUE!</v>
      </c>
      <c r="AA46" s="512" t="e">
        <f>Z46</f>
        <v>#VALUE!</v>
      </c>
      <c r="AB46" s="45"/>
      <c r="AC46" s="523" t="e">
        <f>ROUNDUP(IFERROR(INDEX(KB!#REF!,MATCH($AC$37,KB!#REF!,0),MATCH($B46,KB!#REF!,0)),""),0)&amp;O46</f>
        <v>#VALUE!</v>
      </c>
      <c r="AD46" s="512" t="e">
        <f>AC46</f>
        <v>#VALUE!</v>
      </c>
      <c r="AE46" s="45"/>
      <c r="AH46" s="45"/>
      <c r="AI46" s="340"/>
      <c r="AJ46" s="103"/>
      <c r="AK46" s="45"/>
      <c r="AL46" s="28"/>
      <c r="AM46" s="28"/>
      <c r="AN46" s="45"/>
      <c r="AO46" s="340"/>
      <c r="AP46" s="103"/>
    </row>
    <row r="47" spans="1:42" s="105" customFormat="1" ht="21" customHeight="1">
      <c r="A47" s="466" t="s">
        <v>512</v>
      </c>
      <c r="B47" s="521" t="str">
        <f>VLOOKUP(A47,KB!C:D,2,0)</f>
        <v>DH</v>
      </c>
      <c r="C47" s="522"/>
      <c r="D47" s="625" t="s">
        <v>336</v>
      </c>
      <c r="E47" s="152" t="str">
        <f>VLOOKUP(A:A,Table4[[Nhóm Thi Đua]:[Ghi chú]],3,0)</f>
        <v>X</v>
      </c>
      <c r="F47" s="106">
        <f>SUMIFS(DATA_THIDUA_ST!M:M,DATA_THIDUA_ST!K:K,STRAM!A:A)</f>
        <v>88.2</v>
      </c>
      <c r="G47" s="106">
        <f>SUMIFS(DATA_THIDUA_ST!L:L,DATA_THIDUA_ST!K:K,STRAM!A:A)</f>
        <v>2.89</v>
      </c>
      <c r="H47" s="106">
        <f t="shared" ref="H47:H48" si="18">F47-G47</f>
        <v>85.31</v>
      </c>
      <c r="I47" s="133">
        <f>SUMIFS(DATA_THIDUA_ST!O:O,DATA_THIDUA_ST!K:K,STRAM!A:A)</f>
        <v>0.15559999999999999</v>
      </c>
      <c r="J47" s="112">
        <f t="shared" ref="J47:J48" si="19">H47/2</f>
        <v>42.655000000000001</v>
      </c>
      <c r="K47" s="113" t="s">
        <v>158</v>
      </c>
      <c r="L47" s="107" t="s">
        <v>159</v>
      </c>
      <c r="M47" s="112" t="str">
        <f t="shared" ref="M47:M48" si="20">ROUNDUP(N47,0)&amp;O47</f>
        <v>15 Tr</v>
      </c>
      <c r="N47" s="112">
        <v>15</v>
      </c>
      <c r="O47" s="126" t="str">
        <f t="shared" si="11"/>
        <v xml:space="preserve"> Tr</v>
      </c>
      <c r="P47" s="124" t="s">
        <v>405</v>
      </c>
      <c r="Q47" s="126" t="str">
        <f t="shared" ref="Q47:Q48" si="21">ROUNDUP(IF($E$4=1,N47/$I$2,IF($E$4&lt;5,N47/7,N47/$I$6)),0)&amp;O47</f>
        <v>3 Tr</v>
      </c>
      <c r="R47" s="28"/>
      <c r="S47" s="544" t="s">
        <v>336</v>
      </c>
      <c r="T47" s="523" t="e">
        <f>ROUNDUP(IFERROR(INDEX(KB!#REF!,MATCH($T$37,KB!#REF!,0),MATCH($B47,KB!#REF!,0)),""),0)&amp;O47</f>
        <v>#VALUE!</v>
      </c>
      <c r="U47" s="512" t="s">
        <v>166</v>
      </c>
      <c r="V47" s="45"/>
      <c r="W47" s="523" t="e">
        <f>ROUNDUP(IFERROR(INDEX(KB!#REF!,MATCH($W$37,KB!#REF!,0),MATCH($B47,KB!#REF!,0)),""),0)&amp;O47</f>
        <v>#VALUE!</v>
      </c>
      <c r="X47" s="512" t="s">
        <v>167</v>
      </c>
      <c r="Y47" s="45"/>
      <c r="Z47" s="523" t="e">
        <f>ROUNDUP(IFERROR(INDEX(KB!#REF!,MATCH($Z$37,KB!#REF!,0),MATCH($B47,KB!#REF!,0)),""),0)&amp;O47</f>
        <v>#VALUE!</v>
      </c>
      <c r="AA47" s="512" t="s">
        <v>167</v>
      </c>
      <c r="AB47" s="45"/>
      <c r="AC47" s="523" t="e">
        <f>ROUNDUP(IFERROR(INDEX(KB!#REF!,MATCH($AC$37,KB!#REF!,0),MATCH($B47,KB!#REF!,0)),""),0)&amp;O47</f>
        <v>#VALUE!</v>
      </c>
      <c r="AD47" s="512" t="s">
        <v>337</v>
      </c>
      <c r="AE47" s="45"/>
      <c r="AH47" s="45"/>
      <c r="AI47" s="340"/>
      <c r="AJ47" s="103"/>
      <c r="AK47" s="45"/>
      <c r="AL47" s="28"/>
      <c r="AM47" s="28"/>
      <c r="AN47" s="45"/>
      <c r="AO47" s="340"/>
      <c r="AP47" s="103"/>
    </row>
    <row r="48" spans="1:42" s="105" customFormat="1" ht="21" customHeight="1">
      <c r="A48" s="465" t="s">
        <v>506</v>
      </c>
      <c r="B48" s="521" t="str">
        <f>VLOOKUP(A48,KB!C:D,2,0)</f>
        <v>SDP</v>
      </c>
      <c r="C48" s="522"/>
      <c r="D48" s="625" t="s">
        <v>397</v>
      </c>
      <c r="E48" s="152" t="str">
        <f>VLOOKUP(A:A,Table4[[Nhóm Thi Đua]:[Ghi chú]],3,0)</f>
        <v>X</v>
      </c>
      <c r="F48" s="106">
        <f>SUMIFS(DATA_THIDUA_ST!M:M,DATA_THIDUA_ST!K:K,STRAM!A:A)</f>
        <v>26</v>
      </c>
      <c r="G48" s="106">
        <f>SUMIFS(DATA_THIDUA_ST!L:L,DATA_THIDUA_ST!K:K,STRAM!A:A)</f>
        <v>6</v>
      </c>
      <c r="H48" s="106">
        <f t="shared" si="18"/>
        <v>20</v>
      </c>
      <c r="I48" s="133">
        <f>SUMIFS(DATA_THIDUA_ST!O:O,DATA_THIDUA_ST!K:K,STRAM!A:A)</f>
        <v>1.1537999999999999</v>
      </c>
      <c r="J48" s="112">
        <f t="shared" si="19"/>
        <v>10</v>
      </c>
      <c r="K48" s="113" t="s">
        <v>158</v>
      </c>
      <c r="L48" s="107" t="s">
        <v>159</v>
      </c>
      <c r="M48" s="112" t="str">
        <f t="shared" si="20"/>
        <v>2 Cái</v>
      </c>
      <c r="N48" s="112">
        <v>2</v>
      </c>
      <c r="O48" s="126" t="str">
        <f t="shared" si="11"/>
        <v xml:space="preserve"> Cái</v>
      </c>
      <c r="P48" s="124" t="str">
        <f>M48</f>
        <v>2 Cái</v>
      </c>
      <c r="Q48" s="126" t="str">
        <f t="shared" si="21"/>
        <v>1 Cái</v>
      </c>
      <c r="R48" s="28"/>
      <c r="S48" s="544" t="s">
        <v>397</v>
      </c>
      <c r="T48" s="523" t="e">
        <f>ROUNDUP(IFERROR(INDEX(KB!#REF!,MATCH($T$37,KB!#REF!,0),MATCH($B48,KB!#REF!,0)),""),0)&amp;O48</f>
        <v>#VALUE!</v>
      </c>
      <c r="U48" s="512" t="e">
        <f>T48</f>
        <v>#VALUE!</v>
      </c>
      <c r="V48" s="45"/>
      <c r="W48" s="523" t="e">
        <f>ROUNDUP(IFERROR(INDEX(KB!#REF!,MATCH($W$37,KB!#REF!,0),MATCH($B48,KB!#REF!,0)),""),0)&amp;O48</f>
        <v>#VALUE!</v>
      </c>
      <c r="X48" s="512" t="e">
        <f>W48</f>
        <v>#VALUE!</v>
      </c>
      <c r="Y48" s="45"/>
      <c r="Z48" s="523" t="e">
        <f>ROUNDUP(IFERROR(INDEX(KB!#REF!,MATCH($Z$37,KB!#REF!,0),MATCH($B48,KB!#REF!,0)),""),0)&amp;O48</f>
        <v>#VALUE!</v>
      </c>
      <c r="AA48" s="512" t="e">
        <f>Z48</f>
        <v>#VALUE!</v>
      </c>
      <c r="AB48" s="45"/>
      <c r="AC48" s="523" t="e">
        <f>ROUNDUP(IFERROR(INDEX(KB!#REF!,MATCH($AC$37,KB!#REF!,0),MATCH($B48,KB!#REF!,0)),""),0)&amp;O48</f>
        <v>#VALUE!</v>
      </c>
      <c r="AD48" s="512" t="e">
        <f>AC48</f>
        <v>#VALUE!</v>
      </c>
      <c r="AE48" s="45"/>
      <c r="AH48" s="45"/>
      <c r="AI48" s="340"/>
      <c r="AJ48" s="103"/>
      <c r="AK48" s="45"/>
      <c r="AL48" s="28"/>
      <c r="AM48" s="28"/>
      <c r="AN48" s="45"/>
      <c r="AO48" s="340"/>
      <c r="AP48" s="103"/>
    </row>
    <row r="49" spans="1:42" s="105" customFormat="1" ht="21" customHeight="1">
      <c r="A49" s="617" t="s">
        <v>176</v>
      </c>
      <c r="B49" s="521" t="str">
        <f>VLOOKUP(A49,KB!C:D,2,0)</f>
        <v>BH</v>
      </c>
      <c r="C49" s="522"/>
      <c r="D49" s="625" t="s">
        <v>540</v>
      </c>
      <c r="E49" s="152" t="str">
        <f>VLOOKUP(A:A,Table4[[Nhóm Thi Đua]:[Ghi chú]],3,0)</f>
        <v>X</v>
      </c>
      <c r="F49" s="106">
        <f>SUMIFS(DATA_THIDUA_ST!M:M,DATA_THIDUA_ST!K:K,STRAM!A:A)</f>
        <v>108.8</v>
      </c>
      <c r="G49" s="106">
        <f>SUMIFS(DATA_THIDUA_ST!L:L,DATA_THIDUA_ST!K:K,STRAM!A:A)</f>
        <v>2.36</v>
      </c>
      <c r="H49" s="106">
        <f t="shared" ref="H49:H52" si="22">F49-G49</f>
        <v>106.44</v>
      </c>
      <c r="I49" s="133">
        <f>SUMIFS(DATA_THIDUA_ST!O:O,DATA_THIDUA_ST!K:K,STRAM!A:A)</f>
        <v>0.10290000000000001</v>
      </c>
      <c r="J49" s="112">
        <f>IF($E$4=1,H49*$J$2,IF($E$4=2,H49*$J$3,IF($E$4=3,H49*$J$4,IF($E$4=4,H49*$J$5,H49))))</f>
        <v>21.288</v>
      </c>
      <c r="K49" s="113" t="s">
        <v>450</v>
      </c>
      <c r="L49" s="107"/>
      <c r="M49" s="112"/>
      <c r="N49" s="112"/>
      <c r="O49" s="126" t="str">
        <f t="shared" si="11"/>
        <v xml:space="preserve"> Tr</v>
      </c>
      <c r="P49" s="124"/>
      <c r="Q49" s="126"/>
      <c r="R49" s="28"/>
      <c r="S49" s="544"/>
      <c r="T49" s="523"/>
      <c r="U49" s="512"/>
      <c r="V49" s="28"/>
      <c r="W49" s="523"/>
      <c r="X49" s="512"/>
      <c r="Y49" s="28"/>
      <c r="Z49" s="523"/>
      <c r="AA49" s="512"/>
      <c r="AB49" s="28"/>
      <c r="AC49" s="535"/>
      <c r="AD49" s="553"/>
      <c r="AH49" s="45"/>
      <c r="AI49" s="340"/>
      <c r="AJ49" s="103"/>
      <c r="AK49" s="28"/>
      <c r="AL49" s="28"/>
      <c r="AM49" s="28"/>
      <c r="AN49" s="28"/>
      <c r="AO49" s="340"/>
      <c r="AP49" s="103"/>
    </row>
    <row r="50" spans="1:42" s="105" customFormat="1" ht="21" customHeight="1">
      <c r="A50" s="465" t="s">
        <v>226</v>
      </c>
      <c r="B50" s="521" t="str">
        <f>VLOOKUP(A50,KB!C:D,2,0)</f>
        <v>Ví</v>
      </c>
      <c r="C50" s="522"/>
      <c r="D50" s="625" t="s">
        <v>541</v>
      </c>
      <c r="E50" s="152" t="str">
        <f>VLOOKUP(A:A,Table4[[Nhóm Thi Đua]:[Ghi chú]],3,0)</f>
        <v>X</v>
      </c>
      <c r="F50" s="106">
        <f>SUMIFS(DATA_THIDUA_ST!M:M,DATA_THIDUA_ST!K:K,STRAM!A:A)</f>
        <v>42</v>
      </c>
      <c r="G50" s="106">
        <f>SUMIFS(DATA_THIDUA_ST!L:L,DATA_THIDUA_ST!K:K,STRAM!A:A)</f>
        <v>0</v>
      </c>
      <c r="H50" s="106">
        <f t="shared" si="22"/>
        <v>42</v>
      </c>
      <c r="I50" s="133">
        <f>SUMIFS(DATA_THIDUA_ST!O:O,DATA_THIDUA_ST!K:K,STRAM!A:A)</f>
        <v>0</v>
      </c>
      <c r="J50" s="112">
        <f>IF($E$4=1,H50*$J$2,IF($E$4=2,H50*$J$3,IF($E$4=3,H50*$J$4,IF($E$4=4,H50*$J$5,H50))))</f>
        <v>8.4</v>
      </c>
      <c r="K50" s="113" t="s">
        <v>450</v>
      </c>
      <c r="L50" s="107"/>
      <c r="M50" s="112"/>
      <c r="N50" s="112"/>
      <c r="O50" s="126" t="str">
        <f t="shared" si="11"/>
        <v xml:space="preserve"> Tr</v>
      </c>
      <c r="P50" s="124"/>
      <c r="Q50" s="126"/>
      <c r="R50" s="28"/>
      <c r="S50" s="544"/>
      <c r="T50" s="523"/>
      <c r="U50" s="512"/>
      <c r="V50" s="28"/>
      <c r="W50" s="523"/>
      <c r="X50" s="512"/>
      <c r="Y50" s="28"/>
      <c r="Z50" s="523"/>
      <c r="AA50" s="512"/>
      <c r="AB50" s="28"/>
      <c r="AC50" s="535"/>
      <c r="AD50" s="553"/>
      <c r="AH50" s="45"/>
      <c r="AI50" s="340"/>
      <c r="AJ50" s="103"/>
      <c r="AK50" s="28"/>
      <c r="AL50" s="28"/>
      <c r="AM50" s="28"/>
      <c r="AN50" s="28"/>
      <c r="AO50" s="340"/>
      <c r="AP50" s="103"/>
    </row>
    <row r="51" spans="1:42" s="105" customFormat="1" ht="21" customHeight="1">
      <c r="A51" s="466" t="s">
        <v>225</v>
      </c>
      <c r="B51" s="521" t="str">
        <f>VLOOKUP(A51,KB!C:D,2,0)</f>
        <v>CAKE</v>
      </c>
      <c r="C51" s="522"/>
      <c r="D51" s="625" t="s">
        <v>537</v>
      </c>
      <c r="E51" s="152" t="str">
        <f>VLOOKUP(A:A,Table4[[Nhóm Thi Đua]:[Ghi chú]],3,0)</f>
        <v>X</v>
      </c>
      <c r="F51" s="106">
        <f>SUMIFS(DATA_THIDUA_ST!M:M,DATA_THIDUA_ST!K:K,STRAM!A:A)</f>
        <v>8.1999999999999993</v>
      </c>
      <c r="G51" s="106">
        <f>SUMIFS(DATA_THIDUA_ST!L:L,DATA_THIDUA_ST!K:K,STRAM!A:A)</f>
        <v>0</v>
      </c>
      <c r="H51" s="106">
        <f t="shared" si="22"/>
        <v>8.1999999999999993</v>
      </c>
      <c r="I51" s="133">
        <f>SUMIFS(DATA_THIDUA_ST!O:O,DATA_THIDUA_ST!K:K,STRAM!A:A)</f>
        <v>0</v>
      </c>
      <c r="J51" s="112">
        <f>IF($E$4=1,H51*$J$2,IF($E$4=2,H51*$J$3,IF($E$4=3,H51*$J$4,IF($E$4=4,H51*$J$5,H51))))</f>
        <v>1.64</v>
      </c>
      <c r="K51" s="113" t="s">
        <v>450</v>
      </c>
      <c r="L51" s="107"/>
      <c r="M51" s="112"/>
      <c r="N51" s="112"/>
      <c r="O51" s="126" t="str">
        <f t="shared" si="11"/>
        <v xml:space="preserve"> Tr</v>
      </c>
      <c r="P51" s="124"/>
      <c r="Q51" s="126"/>
      <c r="R51" s="28"/>
      <c r="S51" s="544"/>
      <c r="T51" s="523"/>
      <c r="U51" s="512"/>
      <c r="V51" s="28"/>
      <c r="W51" s="523"/>
      <c r="X51" s="512"/>
      <c r="Y51" s="28"/>
      <c r="Z51" s="523"/>
      <c r="AA51" s="512"/>
      <c r="AB51" s="28"/>
      <c r="AC51" s="535"/>
      <c r="AD51" s="553"/>
      <c r="AH51" s="45"/>
      <c r="AI51" s="340"/>
      <c r="AJ51" s="103"/>
      <c r="AK51" s="28"/>
      <c r="AL51" s="28"/>
      <c r="AM51" s="28"/>
      <c r="AN51" s="28"/>
      <c r="AO51" s="340"/>
      <c r="AP51" s="103"/>
    </row>
    <row r="52" spans="1:42" s="105" customFormat="1" ht="21" customHeight="1">
      <c r="A52" s="465" t="s">
        <v>507</v>
      </c>
      <c r="B52" s="520" t="str">
        <f>VLOOKUP(A52,KB!C:D,2,0)</f>
        <v>BHDMX</v>
      </c>
      <c r="C52" s="520"/>
      <c r="D52" s="625" t="s">
        <v>538</v>
      </c>
      <c r="E52" s="152">
        <f>VLOOKUP(A:A,Table4[[Nhóm Thi Đua]:[Ghi chú]],3,0)</f>
        <v>0</v>
      </c>
      <c r="F52" s="106">
        <f>SUMIFS(DATA_THIDUA_ST!M:M,DATA_THIDUA_ST!K:K,STRAM!A:A)</f>
        <v>5.2</v>
      </c>
      <c r="G52" s="106">
        <f>SUMIFS(DATA_THIDUA_ST!L:L,DATA_THIDUA_ST!K:K,STRAM!A:A)</f>
        <v>0</v>
      </c>
      <c r="H52" s="106">
        <f t="shared" si="22"/>
        <v>5.2</v>
      </c>
      <c r="I52" s="133">
        <f>SUMIFS(DATA_THIDUA_ST!O:O,DATA_THIDUA_ST!K:K,STRAM!A:A)</f>
        <v>0</v>
      </c>
      <c r="J52" s="112">
        <f>H52/2</f>
        <v>2.6</v>
      </c>
      <c r="K52" s="113" t="s">
        <v>450</v>
      </c>
      <c r="L52" s="107"/>
      <c r="M52" s="112" t="str">
        <f t="shared" si="10"/>
        <v>15 Tr</v>
      </c>
      <c r="N52" s="112">
        <v>15</v>
      </c>
      <c r="O52" s="126" t="str">
        <f t="shared" si="11"/>
        <v xml:space="preserve"> Tr</v>
      </c>
      <c r="P52" s="124" t="str">
        <f>M52</f>
        <v>15 Tr</v>
      </c>
      <c r="Q52" s="126" t="str">
        <f t="shared" si="12"/>
        <v>3 Tr</v>
      </c>
      <c r="R52" s="28"/>
      <c r="S52" s="545" t="s">
        <v>401</v>
      </c>
      <c r="T52" s="523" t="s">
        <v>276</v>
      </c>
      <c r="U52" s="512" t="str">
        <f>T52</f>
        <v>1 cái</v>
      </c>
      <c r="V52" s="45"/>
      <c r="W52" s="523" t="s">
        <v>276</v>
      </c>
      <c r="X52" s="512" t="str">
        <f>W52</f>
        <v>1 cái</v>
      </c>
      <c r="Y52" s="45"/>
      <c r="Z52" s="523" t="s">
        <v>276</v>
      </c>
      <c r="AA52" s="512" t="str">
        <f>Z52</f>
        <v>1 cái</v>
      </c>
      <c r="AB52" s="45"/>
      <c r="AC52" s="523" t="e">
        <f>ROUNDUP(IFERROR(INDEX(KB!#REF!,MATCH($AC$37,KB!#REF!,0),MATCH($B52,KB!#REF!,0)),""),0)&amp;O52</f>
        <v>#VALUE!</v>
      </c>
      <c r="AD52" s="512" t="e">
        <f>AC52</f>
        <v>#VALUE!</v>
      </c>
      <c r="AE52" s="45"/>
      <c r="AH52" s="45"/>
      <c r="AI52" s="340"/>
      <c r="AJ52" s="103"/>
      <c r="AK52" s="45"/>
      <c r="AL52" s="28"/>
      <c r="AM52" s="28"/>
      <c r="AN52" s="45"/>
      <c r="AO52" s="340"/>
      <c r="AP52" s="103"/>
    </row>
    <row r="53" spans="1:42" s="38" customFormat="1" ht="22" customHeight="1">
      <c r="A53" s="345"/>
      <c r="B53" s="343"/>
      <c r="C53" s="344"/>
      <c r="D53" s="924" t="s">
        <v>179</v>
      </c>
      <c r="E53" s="924"/>
      <c r="F53" s="924"/>
      <c r="G53" s="925" t="s">
        <v>211</v>
      </c>
      <c r="H53" s="925"/>
      <c r="I53" s="638" t="s">
        <v>37</v>
      </c>
      <c r="J53" s="632"/>
      <c r="K53" s="926" t="str">
        <f>COUNTIF(K40:K52,"CHỌN") &amp;" nhóm"</f>
        <v>9 nhóm</v>
      </c>
      <c r="L53" s="928" t="s">
        <v>365</v>
      </c>
      <c r="M53" s="928"/>
      <c r="N53" s="639"/>
      <c r="O53" s="639"/>
      <c r="P53" s="928" t="s">
        <v>264</v>
      </c>
      <c r="Q53" s="928"/>
      <c r="S53" s="546" t="s">
        <v>175</v>
      </c>
      <c r="T53" s="551">
        <f>28%*$L$54</f>
        <v>280</v>
      </c>
      <c r="U53" s="922" t="str">
        <f>COUNTIF(U40:U52,"&lt;&gt;")&amp;" nhóm"</f>
        <v>8 nhóm</v>
      </c>
      <c r="V53" s="45"/>
      <c r="W53" s="551">
        <f>26%*$L$54</f>
        <v>260</v>
      </c>
      <c r="X53" s="922" t="str">
        <f>COUNTIF(X40:X52,"&lt;&gt;")&amp;" nhóm"</f>
        <v>8 nhóm</v>
      </c>
      <c r="Y53" s="45"/>
      <c r="Z53" s="551">
        <f>26%*$L$54</f>
        <v>260</v>
      </c>
      <c r="AA53" s="922" t="str">
        <f>COUNTIF(AA40:AA52,"&lt;&gt;")&amp;" nhóm"</f>
        <v>8 nhóm</v>
      </c>
      <c r="AB53" s="45"/>
      <c r="AC53" s="551">
        <f>20%*$L$54</f>
        <v>200</v>
      </c>
      <c r="AD53" s="922" t="str">
        <f>COUNTIF(AD40:AD52,"&lt;&gt;")&amp;" nhóm"</f>
        <v>7 nhóm</v>
      </c>
      <c r="AE53" s="45"/>
      <c r="AH53" s="45"/>
      <c r="AI53" s="342"/>
      <c r="AJ53" s="919"/>
      <c r="AK53" s="45"/>
      <c r="AN53" s="45"/>
      <c r="AO53" s="342"/>
      <c r="AP53" s="919"/>
    </row>
    <row r="54" spans="1:42" ht="25" customHeight="1">
      <c r="A54" s="50"/>
      <c r="B54" s="140"/>
      <c r="C54" s="142"/>
      <c r="D54" s="920">
        <v>4000</v>
      </c>
      <c r="E54" s="920"/>
      <c r="F54" s="920"/>
      <c r="G54" s="920">
        <v>2664</v>
      </c>
      <c r="H54" s="920"/>
      <c r="I54" s="547">
        <f ca="1">((G54/DAY(NOW()-1))*F1)/D54</f>
        <v>3.33</v>
      </c>
      <c r="J54" s="548"/>
      <c r="K54" s="927"/>
      <c r="L54" s="921">
        <v>1000</v>
      </c>
      <c r="M54" s="921"/>
      <c r="N54" s="549"/>
      <c r="O54" s="549"/>
      <c r="P54" s="921">
        <f>L54/7</f>
        <v>142.85714285714286</v>
      </c>
      <c r="Q54" s="921"/>
      <c r="R54" s="513"/>
      <c r="S54" s="550" t="s">
        <v>212</v>
      </c>
      <c r="T54" s="552">
        <f>40%*T53</f>
        <v>112</v>
      </c>
      <c r="U54" s="923"/>
      <c r="W54" s="552">
        <f>40%*W53</f>
        <v>104</v>
      </c>
      <c r="X54" s="923"/>
      <c r="Z54" s="552">
        <f>40%*Z53</f>
        <v>104</v>
      </c>
      <c r="AA54" s="923"/>
      <c r="AC54" s="552">
        <f>40%*AC53</f>
        <v>80</v>
      </c>
      <c r="AD54" s="923"/>
      <c r="AI54" s="342"/>
      <c r="AJ54" s="919"/>
      <c r="AO54" s="342"/>
      <c r="AP54" s="919"/>
    </row>
  </sheetData>
  <customSheetViews>
    <customSheetView guid="{FEB50EEF-352C-B844-A6F4-33499875B85A}" showAutoFilter="1" hiddenColumns="1" topLeftCell="E14">
      <selection activeCell="E20" sqref="A20:XFD37"/>
      <pageMargins left="0.7" right="0.7" top="0.75" bottom="0.75" header="0.3" footer="0.3"/>
      <pageSetup paperSize="9" orientation="portrait" horizontalDpi="0" verticalDpi="0"/>
      <autoFilter ref="A9:AT9" xr:uid="{D26BE9E8-377D-B040-AE31-925C48E52A3C}">
        <sortState xmlns:xlrd2="http://schemas.microsoft.com/office/spreadsheetml/2017/richdata2" ref="A10:AT37">
          <sortCondition ref="L9:L37"/>
        </sortState>
      </autoFilter>
    </customSheetView>
  </customSheetViews>
  <mergeCells count="51">
    <mergeCell ref="L7:M7"/>
    <mergeCell ref="Z38:AA38"/>
    <mergeCell ref="Z8:AA8"/>
    <mergeCell ref="T8:U8"/>
    <mergeCell ref="D8:I8"/>
    <mergeCell ref="J8:Q8"/>
    <mergeCell ref="X33:X34"/>
    <mergeCell ref="D33:F33"/>
    <mergeCell ref="G33:H33"/>
    <mergeCell ref="D34:F34"/>
    <mergeCell ref="G34:H34"/>
    <mergeCell ref="L33:M33"/>
    <mergeCell ref="L34:M34"/>
    <mergeCell ref="P33:Q33"/>
    <mergeCell ref="P34:Q34"/>
    <mergeCell ref="K33:K34"/>
    <mergeCell ref="U33:U34"/>
    <mergeCell ref="W8:X8"/>
    <mergeCell ref="P53:Q53"/>
    <mergeCell ref="AC38:AD38"/>
    <mergeCell ref="AI38:AJ38"/>
    <mergeCell ref="T38:U38"/>
    <mergeCell ref="W38:X38"/>
    <mergeCell ref="AA33:AA34"/>
    <mergeCell ref="AO38:AP38"/>
    <mergeCell ref="AJ33:AJ34"/>
    <mergeCell ref="AP33:AP34"/>
    <mergeCell ref="AG33:AG34"/>
    <mergeCell ref="AD33:AD34"/>
    <mergeCell ref="AM33:AM34"/>
    <mergeCell ref="D38:I38"/>
    <mergeCell ref="J38:Q38"/>
    <mergeCell ref="AJ53:AJ54"/>
    <mergeCell ref="AP53:AP54"/>
    <mergeCell ref="D54:F54"/>
    <mergeCell ref="G54:H54"/>
    <mergeCell ref="L54:M54"/>
    <mergeCell ref="P54:Q54"/>
    <mergeCell ref="X53:X54"/>
    <mergeCell ref="AA53:AA54"/>
    <mergeCell ref="AD53:AD54"/>
    <mergeCell ref="D53:F53"/>
    <mergeCell ref="G53:H53"/>
    <mergeCell ref="K53:K54"/>
    <mergeCell ref="L53:M53"/>
    <mergeCell ref="U53:U54"/>
    <mergeCell ref="AL8:AM8"/>
    <mergeCell ref="AO8:AP8"/>
    <mergeCell ref="AI8:AJ8"/>
    <mergeCell ref="AF8:AG8"/>
    <mergeCell ref="AC8:AD8"/>
  </mergeCells>
  <phoneticPr fontId="45" type="noConversion"/>
  <conditionalFormatting sqref="E10:E32 E40:E52">
    <cfRule type="containsText" dxfId="115" priority="56" operator="containsText" text="UT1">
      <formula>NOT(ISERROR(SEARCH("UT1",E10)))</formula>
    </cfRule>
  </conditionalFormatting>
  <conditionalFormatting sqref="I10:I32 I40:I52">
    <cfRule type="cellIs" dxfId="114" priority="73" operator="between">
      <formula>0.8</formula>
      <formula>1</formula>
    </cfRule>
    <cfRule type="cellIs" dxfId="113" priority="74" stopIfTrue="1" operator="lessThan">
      <formula>80%</formula>
    </cfRule>
    <cfRule type="cellIs" dxfId="112" priority="75" operator="greaterThan">
      <formula>1</formula>
    </cfRule>
  </conditionalFormatting>
  <conditionalFormatting sqref="J10:J32 J45">
    <cfRule type="containsText" dxfId="111" priority="80" operator="containsText" text="ĐÃ ĐẠT">
      <formula>NOT(ISERROR(SEARCH("ĐÃ ĐẠT",J10)))</formula>
    </cfRule>
  </conditionalFormatting>
  <conditionalFormatting sqref="J45 J10:K32 K40:K52">
    <cfRule type="cellIs" dxfId="110" priority="87" stopIfTrue="1" operator="greaterThan">
      <formula>1</formula>
    </cfRule>
  </conditionalFormatting>
  <conditionalFormatting sqref="K10:K32 K40:K52">
    <cfRule type="containsText" dxfId="109" priority="83" operator="containsText" text="Không chọn">
      <formula>NOT(ISERROR(SEARCH("Không chọn",K10)))</formula>
    </cfRule>
  </conditionalFormatting>
  <conditionalFormatting sqref="L10:L32 L40:L52">
    <cfRule type="containsText" dxfId="108" priority="82" operator="containsText" text="CỤM">
      <formula>NOT(ISERROR(SEARCH("CỤM",L10)))</formula>
    </cfRule>
    <cfRule type="containsText" dxfId="107" priority="84" operator="containsText" text="An toàn">
      <formula>NOT(ISERROR(SEARCH("An toàn",L10)))</formula>
    </cfRule>
    <cfRule type="containsText" dxfId="106" priority="85" operator="containsText" text="100%">
      <formula>NOT(ISERROR(SEARCH("100%",L10)))</formula>
    </cfRule>
  </conditionalFormatting>
  <conditionalFormatting sqref="Q10:Q29 M10:O29 M30:Q32 Q40:Q52 M40:O52">
    <cfRule type="containsText" dxfId="105" priority="76" operator="containsText" text="ĐÃ ĐẠT">
      <formula>NOT(ISERROR(SEARCH("ĐÃ ĐẠT",M10)))</formula>
    </cfRule>
    <cfRule type="cellIs" dxfId="104" priority="77" stopIfTrue="1" operator="greaterThan">
      <formula>1</formula>
    </cfRule>
  </conditionalFormatting>
  <conditionalFormatting sqref="J41 J49:J51">
    <cfRule type="containsText" dxfId="103" priority="3" operator="containsText" text="ĐÃ ĐẠT">
      <formula>NOT(ISERROR(SEARCH("ĐÃ ĐẠT",J41)))</formula>
    </cfRule>
  </conditionalFormatting>
  <conditionalFormatting sqref="J41 J49:J51">
    <cfRule type="cellIs" dxfId="102" priority="4" stopIfTrue="1" operator="greaterThan">
      <formula>1</formula>
    </cfRule>
  </conditionalFormatting>
  <conditionalFormatting sqref="J40 J42:J44 J46:J48 J52">
    <cfRule type="containsText" dxfId="101" priority="1" operator="containsText" text="ĐÃ ĐẠT">
      <formula>NOT(ISERROR(SEARCH("ĐÃ ĐẠT",J40)))</formula>
    </cfRule>
  </conditionalFormatting>
  <conditionalFormatting sqref="J40 J42:J44 J46:J48 J52">
    <cfRule type="cellIs" dxfId="100" priority="2" stopIfTrue="1" operator="greaterThan">
      <formula>1</formula>
    </cfRule>
  </conditionalFormatting>
  <dataValidations count="3">
    <dataValidation type="list" allowBlank="1" showInputMessage="1" showErrorMessage="1" sqref="K23:K32" xr:uid="{5435AA7D-3DC6-2847-AD59-51FC86E831A7}">
      <formula1>#REF!</formula1>
    </dataValidation>
    <dataValidation type="list" allowBlank="1" showInputMessage="1" showErrorMessage="1" sqref="L10:L32 L40:L52" xr:uid="{28E98DE4-7213-6045-87A3-D5531980FC11}">
      <formula1>$K$1:$K$6</formula1>
    </dataValidation>
    <dataValidation type="list" allowBlank="1" showInputMessage="1" showErrorMessage="1" sqref="K10:K22 K40:K52" xr:uid="{40C021BE-9AEA-E24E-8428-8D2304626624}">
      <formula1>$N$1:$N$2</formula1>
    </dataValidation>
  </dataValidations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C9AB3-98C8-2540-B196-9D3B1C2203BE}">
  <dimension ref="A1"/>
  <sheetViews>
    <sheetView workbookViewId="0">
      <selection activeCell="I32" sqref="I32"/>
    </sheetView>
  </sheetViews>
  <sheetFormatPr baseColWidth="10" defaultRowHeight="16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8BAE-DD59-7645-B1E7-8F857F3D17AB}">
  <dimension ref="B2:AU49"/>
  <sheetViews>
    <sheetView topLeftCell="A5" workbookViewId="0">
      <selection activeCell="AW25" activeCellId="1" sqref="AV27 AW25"/>
    </sheetView>
  </sheetViews>
  <sheetFormatPr baseColWidth="10" defaultRowHeight="16"/>
  <cols>
    <col min="1" max="1" width="10.83203125" style="45"/>
    <col min="2" max="2" width="11.5" style="45" customWidth="1"/>
    <col min="3" max="3" width="15.33203125" style="45" customWidth="1"/>
    <col min="4" max="4" width="8" style="45" bestFit="1" customWidth="1"/>
    <col min="5" max="5" width="8.1640625" style="45" customWidth="1"/>
    <col min="6" max="10" width="3.6640625" style="45" customWidth="1"/>
    <col min="11" max="11" width="4.6640625" style="45" bestFit="1" customWidth="1"/>
    <col min="12" max="22" width="3.6640625" style="45" customWidth="1"/>
    <col min="23" max="23" width="4.6640625" style="45" bestFit="1" customWidth="1"/>
    <col min="24" max="28" width="3.6640625" style="45" customWidth="1"/>
    <col min="29" max="29" width="4.6640625" style="45" bestFit="1" customWidth="1"/>
    <col min="30" max="40" width="3.6640625" style="45" customWidth="1"/>
    <col min="41" max="41" width="4.6640625" style="45" bestFit="1" customWidth="1"/>
    <col min="42" max="46" width="3.6640625" style="45" customWidth="1"/>
    <col min="47" max="47" width="4.6640625" style="45" bestFit="1" customWidth="1"/>
    <col min="48" max="16384" width="10.83203125" style="45"/>
  </cols>
  <sheetData>
    <row r="2" spans="2:47" ht="35">
      <c r="B2" s="706" t="s">
        <v>368</v>
      </c>
      <c r="C2" s="687"/>
      <c r="D2" s="687"/>
      <c r="E2" s="687"/>
      <c r="F2" s="687"/>
      <c r="G2" s="687"/>
      <c r="H2" s="687"/>
      <c r="I2" s="687"/>
      <c r="J2" s="687"/>
      <c r="K2" s="687"/>
      <c r="L2" s="687"/>
      <c r="M2" s="687"/>
      <c r="N2" s="687"/>
      <c r="O2" s="687"/>
      <c r="P2" s="687"/>
      <c r="Q2" s="687"/>
      <c r="R2" s="687"/>
      <c r="S2" s="687"/>
      <c r="T2" s="687"/>
      <c r="U2" s="687"/>
      <c r="V2" s="687"/>
      <c r="W2" s="687"/>
      <c r="X2" s="687"/>
      <c r="Y2" s="687"/>
      <c r="Z2" s="687"/>
      <c r="AA2" s="687"/>
      <c r="AB2" s="687"/>
      <c r="AC2" s="687"/>
      <c r="AD2" s="687"/>
      <c r="AE2" s="687"/>
      <c r="AF2" s="687"/>
      <c r="AG2" s="687"/>
      <c r="AH2" s="687"/>
      <c r="AI2" s="687"/>
      <c r="AJ2" s="687"/>
      <c r="AK2" s="687"/>
      <c r="AL2" s="687"/>
      <c r="AM2" s="687"/>
      <c r="AN2" s="687"/>
      <c r="AO2" s="687"/>
      <c r="AP2" s="687"/>
      <c r="AQ2" s="687"/>
      <c r="AR2" s="687"/>
      <c r="AS2" s="687"/>
      <c r="AT2" s="687"/>
      <c r="AU2" s="688"/>
    </row>
    <row r="3" spans="2:47" s="442" customFormat="1" ht="16" customHeight="1">
      <c r="B3" s="443"/>
      <c r="C3" s="444"/>
      <c r="D3" s="444"/>
      <c r="E3" s="444"/>
      <c r="F3" s="714">
        <v>46174</v>
      </c>
      <c r="G3" s="715"/>
      <c r="H3" s="715"/>
      <c r="I3" s="715"/>
      <c r="J3" s="715"/>
      <c r="K3" s="716"/>
      <c r="L3" s="717">
        <f>F3+1</f>
        <v>46175</v>
      </c>
      <c r="M3" s="715"/>
      <c r="N3" s="715"/>
      <c r="O3" s="715"/>
      <c r="P3" s="715"/>
      <c r="Q3" s="716"/>
      <c r="R3" s="717">
        <f t="shared" ref="R3" si="0">L3+1</f>
        <v>46176</v>
      </c>
      <c r="S3" s="715"/>
      <c r="T3" s="715"/>
      <c r="U3" s="715"/>
      <c r="V3" s="715"/>
      <c r="W3" s="716"/>
      <c r="X3" s="717">
        <f t="shared" ref="X3" si="1">R3+1</f>
        <v>46177</v>
      </c>
      <c r="Y3" s="715"/>
      <c r="Z3" s="715"/>
      <c r="AA3" s="715"/>
      <c r="AB3" s="715"/>
      <c r="AC3" s="716"/>
      <c r="AD3" s="717">
        <f t="shared" ref="AD3" si="2">X3+1</f>
        <v>46178</v>
      </c>
      <c r="AE3" s="715"/>
      <c r="AF3" s="715"/>
      <c r="AG3" s="715"/>
      <c r="AH3" s="715"/>
      <c r="AI3" s="716"/>
      <c r="AJ3" s="695">
        <f t="shared" ref="AJ3" si="3">AD3+1</f>
        <v>46179</v>
      </c>
      <c r="AK3" s="696"/>
      <c r="AL3" s="696"/>
      <c r="AM3" s="696"/>
      <c r="AN3" s="696"/>
      <c r="AO3" s="697"/>
      <c r="AP3" s="695">
        <f t="shared" ref="AP3" si="4">AJ3+1</f>
        <v>46180</v>
      </c>
      <c r="AQ3" s="696"/>
      <c r="AR3" s="696"/>
      <c r="AS3" s="696"/>
      <c r="AT3" s="696"/>
      <c r="AU3" s="697"/>
    </row>
    <row r="4" spans="2:47" ht="19" customHeight="1">
      <c r="B4" s="721" t="s">
        <v>180</v>
      </c>
      <c r="C4" s="722"/>
      <c r="D4" s="699" t="s">
        <v>364</v>
      </c>
      <c r="E4" s="718" t="s">
        <v>363</v>
      </c>
      <c r="F4" s="709" t="s">
        <v>350</v>
      </c>
      <c r="G4" s="710"/>
      <c r="H4" s="710"/>
      <c r="I4" s="710"/>
      <c r="J4" s="710"/>
      <c r="K4" s="711"/>
      <c r="L4" s="709" t="s">
        <v>357</v>
      </c>
      <c r="M4" s="710"/>
      <c r="N4" s="710"/>
      <c r="O4" s="710"/>
      <c r="P4" s="710"/>
      <c r="Q4" s="712"/>
      <c r="R4" s="709" t="s">
        <v>358</v>
      </c>
      <c r="S4" s="710"/>
      <c r="T4" s="710"/>
      <c r="U4" s="710"/>
      <c r="V4" s="710"/>
      <c r="W4" s="712"/>
      <c r="X4" s="709" t="s">
        <v>359</v>
      </c>
      <c r="Y4" s="710"/>
      <c r="Z4" s="710"/>
      <c r="AA4" s="710"/>
      <c r="AB4" s="710"/>
      <c r="AC4" s="711"/>
      <c r="AD4" s="713" t="s">
        <v>360</v>
      </c>
      <c r="AE4" s="710"/>
      <c r="AF4" s="710"/>
      <c r="AG4" s="710"/>
      <c r="AH4" s="710"/>
      <c r="AI4" s="711"/>
      <c r="AJ4" s="689" t="s">
        <v>361</v>
      </c>
      <c r="AK4" s="690"/>
      <c r="AL4" s="690"/>
      <c r="AM4" s="690"/>
      <c r="AN4" s="690"/>
      <c r="AO4" s="691"/>
      <c r="AP4" s="689" t="s">
        <v>362</v>
      </c>
      <c r="AQ4" s="690"/>
      <c r="AR4" s="690"/>
      <c r="AS4" s="690"/>
      <c r="AT4" s="690"/>
      <c r="AU4" s="691"/>
    </row>
    <row r="5" spans="2:47" s="402" customFormat="1" ht="16" customHeight="1">
      <c r="B5" s="723"/>
      <c r="C5" s="724"/>
      <c r="D5" s="720"/>
      <c r="E5" s="719"/>
      <c r="F5" s="599" t="s">
        <v>351</v>
      </c>
      <c r="G5" s="600" t="s">
        <v>352</v>
      </c>
      <c r="H5" s="600" t="s">
        <v>353</v>
      </c>
      <c r="I5" s="600" t="s">
        <v>354</v>
      </c>
      <c r="J5" s="600" t="s">
        <v>355</v>
      </c>
      <c r="K5" s="601" t="s">
        <v>356</v>
      </c>
      <c r="L5" s="599" t="s">
        <v>351</v>
      </c>
      <c r="M5" s="600" t="s">
        <v>352</v>
      </c>
      <c r="N5" s="600" t="s">
        <v>353</v>
      </c>
      <c r="O5" s="600" t="s">
        <v>354</v>
      </c>
      <c r="P5" s="600" t="s">
        <v>355</v>
      </c>
      <c r="Q5" s="602" t="s">
        <v>356</v>
      </c>
      <c r="R5" s="599" t="s">
        <v>351</v>
      </c>
      <c r="S5" s="600" t="s">
        <v>352</v>
      </c>
      <c r="T5" s="600" t="s">
        <v>353</v>
      </c>
      <c r="U5" s="600" t="s">
        <v>354</v>
      </c>
      <c r="V5" s="600" t="s">
        <v>355</v>
      </c>
      <c r="W5" s="602" t="s">
        <v>356</v>
      </c>
      <c r="X5" s="599" t="s">
        <v>351</v>
      </c>
      <c r="Y5" s="600" t="s">
        <v>352</v>
      </c>
      <c r="Z5" s="600" t="s">
        <v>353</v>
      </c>
      <c r="AA5" s="600" t="s">
        <v>354</v>
      </c>
      <c r="AB5" s="600" t="s">
        <v>355</v>
      </c>
      <c r="AC5" s="601" t="s">
        <v>356</v>
      </c>
      <c r="AD5" s="603" t="s">
        <v>351</v>
      </c>
      <c r="AE5" s="600" t="s">
        <v>352</v>
      </c>
      <c r="AF5" s="600" t="s">
        <v>353</v>
      </c>
      <c r="AG5" s="600" t="s">
        <v>354</v>
      </c>
      <c r="AH5" s="600" t="s">
        <v>355</v>
      </c>
      <c r="AI5" s="601" t="s">
        <v>356</v>
      </c>
      <c r="AJ5" s="408" t="s">
        <v>351</v>
      </c>
      <c r="AK5" s="403" t="s">
        <v>352</v>
      </c>
      <c r="AL5" s="403" t="s">
        <v>353</v>
      </c>
      <c r="AM5" s="403" t="s">
        <v>354</v>
      </c>
      <c r="AN5" s="403" t="s">
        <v>355</v>
      </c>
      <c r="AO5" s="404" t="s">
        <v>356</v>
      </c>
      <c r="AP5" s="408" t="s">
        <v>351</v>
      </c>
      <c r="AQ5" s="403" t="s">
        <v>352</v>
      </c>
      <c r="AR5" s="403" t="s">
        <v>353</v>
      </c>
      <c r="AS5" s="403" t="s">
        <v>354</v>
      </c>
      <c r="AT5" s="403" t="s">
        <v>355</v>
      </c>
      <c r="AU5" s="404" t="s">
        <v>356</v>
      </c>
    </row>
    <row r="6" spans="2:47" ht="22" customHeight="1">
      <c r="B6" s="707" t="s">
        <v>307</v>
      </c>
      <c r="C6" s="683" t="s">
        <v>305</v>
      </c>
      <c r="D6" s="409" t="s">
        <v>292</v>
      </c>
      <c r="E6" s="439">
        <f>SUM(F6:AU6)</f>
        <v>50.5</v>
      </c>
      <c r="F6" s="429">
        <v>1</v>
      </c>
      <c r="G6" s="427">
        <v>3</v>
      </c>
      <c r="H6" s="427">
        <v>3</v>
      </c>
      <c r="I6" s="427"/>
      <c r="J6" s="427"/>
      <c r="K6" s="428"/>
      <c r="L6" s="429">
        <v>1</v>
      </c>
      <c r="M6" s="427">
        <v>3</v>
      </c>
      <c r="N6" s="427">
        <v>3</v>
      </c>
      <c r="O6" s="427"/>
      <c r="P6" s="427"/>
      <c r="Q6" s="430"/>
      <c r="R6" s="429"/>
      <c r="S6" s="427"/>
      <c r="T6" s="427"/>
      <c r="U6" s="427">
        <v>3</v>
      </c>
      <c r="V6" s="427">
        <v>3</v>
      </c>
      <c r="W6" s="430">
        <v>0.5</v>
      </c>
      <c r="X6" s="429">
        <v>1</v>
      </c>
      <c r="Y6" s="427">
        <v>3</v>
      </c>
      <c r="Z6" s="427">
        <v>3</v>
      </c>
      <c r="AA6" s="427"/>
      <c r="AB6" s="427"/>
      <c r="AC6" s="431"/>
      <c r="AD6" s="432"/>
      <c r="AE6" s="427"/>
      <c r="AF6" s="427"/>
      <c r="AG6" s="427">
        <v>3</v>
      </c>
      <c r="AH6" s="427">
        <v>3</v>
      </c>
      <c r="AI6" s="428">
        <v>0.5</v>
      </c>
      <c r="AJ6" s="432">
        <v>1</v>
      </c>
      <c r="AK6" s="427">
        <v>3</v>
      </c>
      <c r="AL6" s="427">
        <v>3</v>
      </c>
      <c r="AM6" s="427">
        <v>3</v>
      </c>
      <c r="AN6" s="427"/>
      <c r="AO6" s="431"/>
      <c r="AP6" s="432"/>
      <c r="AQ6" s="427"/>
      <c r="AR6" s="427"/>
      <c r="AS6" s="427">
        <v>3</v>
      </c>
      <c r="AT6" s="427">
        <v>3</v>
      </c>
      <c r="AU6" s="433">
        <v>0.5</v>
      </c>
    </row>
    <row r="7" spans="2:47" ht="22" customHeight="1">
      <c r="B7" s="708"/>
      <c r="C7" s="684"/>
      <c r="D7" s="410" t="s">
        <v>288</v>
      </c>
      <c r="E7" s="440">
        <f t="shared" ref="E7:E9" si="5">SUM(F7:AU7)</f>
        <v>11</v>
      </c>
      <c r="F7" s="436"/>
      <c r="G7" s="434"/>
      <c r="H7" s="434"/>
      <c r="I7" s="434"/>
      <c r="J7" s="434"/>
      <c r="K7" s="435"/>
      <c r="L7" s="436"/>
      <c r="M7" s="434"/>
      <c r="N7" s="434"/>
      <c r="O7" s="434"/>
      <c r="P7" s="434"/>
      <c r="Q7" s="411"/>
      <c r="R7" s="436"/>
      <c r="S7" s="434"/>
      <c r="T7" s="434"/>
      <c r="U7" s="434"/>
      <c r="V7" s="434"/>
      <c r="W7" s="411"/>
      <c r="X7" s="436"/>
      <c r="Y7" s="434"/>
      <c r="Z7" s="434"/>
      <c r="AA7" s="434"/>
      <c r="AB7" s="434"/>
      <c r="AC7" s="435"/>
      <c r="AD7" s="437">
        <v>1</v>
      </c>
      <c r="AE7" s="434">
        <v>3</v>
      </c>
      <c r="AF7" s="434"/>
      <c r="AG7" s="434"/>
      <c r="AH7" s="434"/>
      <c r="AI7" s="435"/>
      <c r="AJ7" s="437"/>
      <c r="AK7" s="434"/>
      <c r="AL7" s="434"/>
      <c r="AM7" s="434"/>
      <c r="AN7" s="434"/>
      <c r="AO7" s="435"/>
      <c r="AP7" s="437">
        <v>1</v>
      </c>
      <c r="AQ7" s="434">
        <v>3</v>
      </c>
      <c r="AR7" s="434">
        <v>3</v>
      </c>
      <c r="AS7" s="434"/>
      <c r="AT7" s="434"/>
      <c r="AU7" s="438"/>
    </row>
    <row r="8" spans="2:47" ht="22" customHeight="1">
      <c r="B8" s="681" t="s">
        <v>557</v>
      </c>
      <c r="C8" s="412" t="s">
        <v>306</v>
      </c>
      <c r="D8" s="413" t="s">
        <v>292</v>
      </c>
      <c r="E8" s="441">
        <f t="shared" si="5"/>
        <v>50</v>
      </c>
      <c r="F8" s="415"/>
      <c r="G8" s="416"/>
      <c r="H8" s="416"/>
      <c r="I8" s="416">
        <v>3</v>
      </c>
      <c r="J8" s="416">
        <v>3</v>
      </c>
      <c r="K8" s="417">
        <v>0.5</v>
      </c>
      <c r="L8" s="415"/>
      <c r="M8" s="416"/>
      <c r="N8" s="416"/>
      <c r="O8" s="416">
        <v>3</v>
      </c>
      <c r="P8" s="416">
        <v>3</v>
      </c>
      <c r="Q8" s="418">
        <v>0.5</v>
      </c>
      <c r="R8" s="415">
        <v>1</v>
      </c>
      <c r="S8" s="416">
        <v>3</v>
      </c>
      <c r="T8" s="416">
        <v>3</v>
      </c>
      <c r="U8" s="416"/>
      <c r="V8" s="416"/>
      <c r="W8" s="419"/>
      <c r="X8" s="415"/>
      <c r="Y8" s="416"/>
      <c r="Z8" s="416"/>
      <c r="AA8" s="416">
        <v>3</v>
      </c>
      <c r="AB8" s="416">
        <v>3</v>
      </c>
      <c r="AC8" s="420">
        <v>0.5</v>
      </c>
      <c r="AD8" s="421">
        <v>1</v>
      </c>
      <c r="AE8" s="416">
        <v>3</v>
      </c>
      <c r="AF8" s="416">
        <v>3</v>
      </c>
      <c r="AG8" s="416"/>
      <c r="AH8" s="416"/>
      <c r="AI8" s="417"/>
      <c r="AJ8" s="421"/>
      <c r="AK8" s="416"/>
      <c r="AL8" s="416"/>
      <c r="AM8" s="416">
        <v>3</v>
      </c>
      <c r="AN8" s="416">
        <v>3</v>
      </c>
      <c r="AO8" s="420">
        <v>0.5</v>
      </c>
      <c r="AP8" s="421">
        <v>1</v>
      </c>
      <c r="AQ8" s="416">
        <v>3</v>
      </c>
      <c r="AR8" s="416">
        <v>3</v>
      </c>
      <c r="AS8" s="416">
        <v>3</v>
      </c>
      <c r="AT8" s="416"/>
      <c r="AU8" s="417"/>
    </row>
    <row r="9" spans="2:47" ht="22" customHeight="1">
      <c r="B9" s="682"/>
      <c r="C9" s="412" t="s">
        <v>306</v>
      </c>
      <c r="D9" s="422" t="s">
        <v>288</v>
      </c>
      <c r="E9" s="441">
        <f t="shared" si="5"/>
        <v>51</v>
      </c>
      <c r="F9" s="423"/>
      <c r="G9" s="424"/>
      <c r="H9" s="424"/>
      <c r="I9" s="424">
        <v>3</v>
      </c>
      <c r="J9" s="424">
        <v>3</v>
      </c>
      <c r="K9" s="425">
        <v>1</v>
      </c>
      <c r="L9" s="423">
        <v>1</v>
      </c>
      <c r="M9" s="424">
        <v>3</v>
      </c>
      <c r="N9" s="424">
        <v>3</v>
      </c>
      <c r="O9" s="424"/>
      <c r="P9" s="424"/>
      <c r="Q9" s="414"/>
      <c r="R9" s="423"/>
      <c r="S9" s="424"/>
      <c r="T9" s="424"/>
      <c r="U9" s="424">
        <v>3</v>
      </c>
      <c r="V9" s="424">
        <v>3</v>
      </c>
      <c r="W9" s="414">
        <v>1</v>
      </c>
      <c r="X9" s="423">
        <v>1</v>
      </c>
      <c r="Y9" s="424">
        <v>3</v>
      </c>
      <c r="Z9" s="424">
        <v>3</v>
      </c>
      <c r="AA9" s="424"/>
      <c r="AB9" s="424"/>
      <c r="AC9" s="425"/>
      <c r="AD9" s="426"/>
      <c r="AE9" s="424"/>
      <c r="AF9" s="424"/>
      <c r="AG9" s="424">
        <v>3</v>
      </c>
      <c r="AH9" s="424">
        <v>3</v>
      </c>
      <c r="AI9" s="425">
        <v>1</v>
      </c>
      <c r="AJ9" s="426">
        <v>1</v>
      </c>
      <c r="AK9" s="424">
        <v>2</v>
      </c>
      <c r="AL9" s="424"/>
      <c r="AM9" s="424">
        <v>3</v>
      </c>
      <c r="AN9" s="424">
        <v>3</v>
      </c>
      <c r="AO9" s="425"/>
      <c r="AP9" s="426"/>
      <c r="AQ9" s="424"/>
      <c r="AR9" s="424"/>
      <c r="AS9" s="424">
        <v>3</v>
      </c>
      <c r="AT9" s="424">
        <v>3</v>
      </c>
      <c r="AU9" s="425">
        <v>1</v>
      </c>
    </row>
    <row r="11" spans="2:47" ht="35">
      <c r="B11" s="685" t="s">
        <v>368</v>
      </c>
      <c r="C11" s="686"/>
      <c r="D11" s="686"/>
      <c r="E11" s="686"/>
      <c r="F11" s="687"/>
      <c r="G11" s="687"/>
      <c r="H11" s="687"/>
      <c r="I11" s="687"/>
      <c r="J11" s="687"/>
      <c r="K11" s="687"/>
      <c r="L11" s="687"/>
      <c r="M11" s="687"/>
      <c r="N11" s="687"/>
      <c r="O11" s="687"/>
      <c r="P11" s="687"/>
      <c r="Q11" s="687"/>
      <c r="R11" s="687"/>
      <c r="S11" s="687"/>
      <c r="T11" s="687"/>
      <c r="U11" s="687"/>
      <c r="V11" s="687"/>
      <c r="W11" s="687"/>
      <c r="X11" s="687"/>
      <c r="Y11" s="687"/>
      <c r="Z11" s="687"/>
      <c r="AA11" s="687"/>
      <c r="AB11" s="687"/>
      <c r="AC11" s="687"/>
      <c r="AD11" s="687"/>
      <c r="AE11" s="687"/>
      <c r="AF11" s="687"/>
      <c r="AG11" s="687"/>
      <c r="AH11" s="687"/>
      <c r="AI11" s="687"/>
      <c r="AJ11" s="687"/>
      <c r="AK11" s="687"/>
      <c r="AL11" s="687"/>
      <c r="AM11" s="687"/>
      <c r="AN11" s="687"/>
      <c r="AO11" s="687"/>
      <c r="AP11" s="687"/>
      <c r="AQ11" s="687"/>
      <c r="AR11" s="687"/>
      <c r="AS11" s="687"/>
      <c r="AT11" s="687"/>
      <c r="AU11" s="688"/>
    </row>
    <row r="12" spans="2:47" s="442" customFormat="1" ht="16" customHeight="1">
      <c r="B12" s="735" t="s">
        <v>369</v>
      </c>
      <c r="C12" s="735"/>
      <c r="D12" s="736" t="s">
        <v>364</v>
      </c>
      <c r="E12" s="737" t="s">
        <v>363</v>
      </c>
      <c r="F12" s="728">
        <f>AP3+1</f>
        <v>46181</v>
      </c>
      <c r="G12" s="693"/>
      <c r="H12" s="693"/>
      <c r="I12" s="693"/>
      <c r="J12" s="693"/>
      <c r="K12" s="694"/>
      <c r="L12" s="692">
        <f>F12+1</f>
        <v>46182</v>
      </c>
      <c r="M12" s="693"/>
      <c r="N12" s="693"/>
      <c r="O12" s="693"/>
      <c r="P12" s="693"/>
      <c r="Q12" s="694"/>
      <c r="R12" s="692">
        <f t="shared" ref="R12" si="6">L12+1</f>
        <v>46183</v>
      </c>
      <c r="S12" s="693"/>
      <c r="T12" s="693"/>
      <c r="U12" s="693"/>
      <c r="V12" s="693"/>
      <c r="W12" s="694"/>
      <c r="X12" s="692">
        <f t="shared" ref="X12" si="7">R12+1</f>
        <v>46184</v>
      </c>
      <c r="Y12" s="693"/>
      <c r="Z12" s="693"/>
      <c r="AA12" s="693"/>
      <c r="AB12" s="693"/>
      <c r="AC12" s="694"/>
      <c r="AD12" s="692">
        <f t="shared" ref="AD12" si="8">X12+1</f>
        <v>46185</v>
      </c>
      <c r="AE12" s="693"/>
      <c r="AF12" s="693"/>
      <c r="AG12" s="693"/>
      <c r="AH12" s="693"/>
      <c r="AI12" s="694"/>
      <c r="AJ12" s="695">
        <f t="shared" ref="AJ12" si="9">AD12+1</f>
        <v>46186</v>
      </c>
      <c r="AK12" s="696"/>
      <c r="AL12" s="696"/>
      <c r="AM12" s="696"/>
      <c r="AN12" s="696"/>
      <c r="AO12" s="697"/>
      <c r="AP12" s="695">
        <f t="shared" ref="AP12" si="10">AJ12+1</f>
        <v>46187</v>
      </c>
      <c r="AQ12" s="696"/>
      <c r="AR12" s="696"/>
      <c r="AS12" s="696"/>
      <c r="AT12" s="696"/>
      <c r="AU12" s="697"/>
    </row>
    <row r="13" spans="2:47">
      <c r="B13" s="735"/>
      <c r="C13" s="735"/>
      <c r="D13" s="736"/>
      <c r="E13" s="737"/>
      <c r="F13" s="701" t="s">
        <v>350</v>
      </c>
      <c r="G13" s="699"/>
      <c r="H13" s="699"/>
      <c r="I13" s="699"/>
      <c r="J13" s="699"/>
      <c r="K13" s="700"/>
      <c r="L13" s="698" t="s">
        <v>357</v>
      </c>
      <c r="M13" s="699"/>
      <c r="N13" s="699"/>
      <c r="O13" s="699"/>
      <c r="P13" s="699"/>
      <c r="Q13" s="702"/>
      <c r="R13" s="698" t="s">
        <v>358</v>
      </c>
      <c r="S13" s="699"/>
      <c r="T13" s="699"/>
      <c r="U13" s="699"/>
      <c r="V13" s="699"/>
      <c r="W13" s="702"/>
      <c r="X13" s="698" t="s">
        <v>359</v>
      </c>
      <c r="Y13" s="699"/>
      <c r="Z13" s="699"/>
      <c r="AA13" s="699"/>
      <c r="AB13" s="699"/>
      <c r="AC13" s="700"/>
      <c r="AD13" s="701" t="s">
        <v>360</v>
      </c>
      <c r="AE13" s="699"/>
      <c r="AF13" s="699"/>
      <c r="AG13" s="699"/>
      <c r="AH13" s="699"/>
      <c r="AI13" s="700"/>
      <c r="AJ13" s="689" t="s">
        <v>361</v>
      </c>
      <c r="AK13" s="690"/>
      <c r="AL13" s="690"/>
      <c r="AM13" s="690"/>
      <c r="AN13" s="690"/>
      <c r="AO13" s="691"/>
      <c r="AP13" s="689" t="s">
        <v>362</v>
      </c>
      <c r="AQ13" s="690"/>
      <c r="AR13" s="690"/>
      <c r="AS13" s="690"/>
      <c r="AT13" s="690"/>
      <c r="AU13" s="691"/>
    </row>
    <row r="14" spans="2:47" s="402" customFormat="1" ht="11" customHeight="1">
      <c r="B14" s="735"/>
      <c r="C14" s="735"/>
      <c r="D14" s="736"/>
      <c r="E14" s="737"/>
      <c r="F14" s="446" t="s">
        <v>351</v>
      </c>
      <c r="G14" s="406" t="s">
        <v>352</v>
      </c>
      <c r="H14" s="406" t="s">
        <v>353</v>
      </c>
      <c r="I14" s="406" t="s">
        <v>354</v>
      </c>
      <c r="J14" s="406" t="s">
        <v>355</v>
      </c>
      <c r="K14" s="445" t="s">
        <v>356</v>
      </c>
      <c r="L14" s="405" t="s">
        <v>351</v>
      </c>
      <c r="M14" s="406" t="s">
        <v>352</v>
      </c>
      <c r="N14" s="406" t="s">
        <v>353</v>
      </c>
      <c r="O14" s="406" t="s">
        <v>354</v>
      </c>
      <c r="P14" s="406" t="s">
        <v>355</v>
      </c>
      <c r="Q14" s="407" t="s">
        <v>356</v>
      </c>
      <c r="R14" s="405" t="s">
        <v>351</v>
      </c>
      <c r="S14" s="406" t="s">
        <v>352</v>
      </c>
      <c r="T14" s="406" t="s">
        <v>353</v>
      </c>
      <c r="U14" s="406" t="s">
        <v>354</v>
      </c>
      <c r="V14" s="406" t="s">
        <v>355</v>
      </c>
      <c r="W14" s="407" t="s">
        <v>356</v>
      </c>
      <c r="X14" s="405" t="s">
        <v>351</v>
      </c>
      <c r="Y14" s="406" t="s">
        <v>352</v>
      </c>
      <c r="Z14" s="406" t="s">
        <v>353</v>
      </c>
      <c r="AA14" s="406" t="s">
        <v>354</v>
      </c>
      <c r="AB14" s="406" t="s">
        <v>355</v>
      </c>
      <c r="AC14" s="445" t="s">
        <v>356</v>
      </c>
      <c r="AD14" s="446" t="s">
        <v>351</v>
      </c>
      <c r="AE14" s="406" t="s">
        <v>352</v>
      </c>
      <c r="AF14" s="406" t="s">
        <v>353</v>
      </c>
      <c r="AG14" s="406" t="s">
        <v>354</v>
      </c>
      <c r="AH14" s="406" t="s">
        <v>355</v>
      </c>
      <c r="AI14" s="445" t="s">
        <v>356</v>
      </c>
      <c r="AJ14" s="408" t="s">
        <v>351</v>
      </c>
      <c r="AK14" s="403" t="s">
        <v>352</v>
      </c>
      <c r="AL14" s="403" t="s">
        <v>353</v>
      </c>
      <c r="AM14" s="403" t="s">
        <v>354</v>
      </c>
      <c r="AN14" s="403" t="s">
        <v>355</v>
      </c>
      <c r="AO14" s="404" t="s">
        <v>356</v>
      </c>
      <c r="AP14" s="408" t="s">
        <v>351</v>
      </c>
      <c r="AQ14" s="403" t="s">
        <v>352</v>
      </c>
      <c r="AR14" s="403" t="s">
        <v>353</v>
      </c>
      <c r="AS14" s="403" t="s">
        <v>354</v>
      </c>
      <c r="AT14" s="403" t="s">
        <v>355</v>
      </c>
      <c r="AU14" s="404" t="s">
        <v>356</v>
      </c>
    </row>
    <row r="15" spans="2:47" ht="22" customHeight="1">
      <c r="B15" s="707" t="s">
        <v>307</v>
      </c>
      <c r="C15" s="683" t="s">
        <v>305</v>
      </c>
      <c r="D15" s="409" t="s">
        <v>292</v>
      </c>
      <c r="E15" s="439">
        <f>SUM(F15:AU15)</f>
        <v>50</v>
      </c>
      <c r="F15" s="765" t="s">
        <v>367</v>
      </c>
      <c r="G15" s="766"/>
      <c r="H15" s="427">
        <v>3</v>
      </c>
      <c r="I15" s="427">
        <v>3</v>
      </c>
      <c r="J15" s="427">
        <v>3</v>
      </c>
      <c r="K15" s="428">
        <v>0.5</v>
      </c>
      <c r="L15" s="429">
        <v>1</v>
      </c>
      <c r="M15" s="427">
        <v>3</v>
      </c>
      <c r="N15" s="427">
        <v>3</v>
      </c>
      <c r="O15" s="427"/>
      <c r="P15" s="427"/>
      <c r="Q15" s="430"/>
      <c r="R15" s="429"/>
      <c r="S15" s="427"/>
      <c r="T15" s="427"/>
      <c r="U15" s="427">
        <v>3</v>
      </c>
      <c r="V15" s="427">
        <v>3</v>
      </c>
      <c r="W15" s="430">
        <v>0.5</v>
      </c>
      <c r="X15" s="429">
        <v>1</v>
      </c>
      <c r="Y15" s="427">
        <v>3</v>
      </c>
      <c r="Z15" s="427">
        <v>3</v>
      </c>
      <c r="AA15" s="427"/>
      <c r="AB15" s="427"/>
      <c r="AC15" s="431"/>
      <c r="AD15" s="432"/>
      <c r="AE15" s="427"/>
      <c r="AF15" s="427"/>
      <c r="AG15" s="427">
        <v>3</v>
      </c>
      <c r="AH15" s="427">
        <v>3</v>
      </c>
      <c r="AI15" s="428">
        <v>0.5</v>
      </c>
      <c r="AJ15" s="432">
        <v>1</v>
      </c>
      <c r="AK15" s="427">
        <v>3</v>
      </c>
      <c r="AL15" s="427">
        <v>3</v>
      </c>
      <c r="AM15" s="427">
        <v>3</v>
      </c>
      <c r="AN15" s="427">
        <v>3</v>
      </c>
      <c r="AO15" s="431">
        <v>0.5</v>
      </c>
      <c r="AP15" s="432"/>
      <c r="AQ15" s="427"/>
      <c r="AR15" s="427"/>
      <c r="AS15" s="427"/>
      <c r="AT15" s="427"/>
      <c r="AU15" s="433"/>
    </row>
    <row r="16" spans="2:47" ht="22" customHeight="1">
      <c r="B16" s="708"/>
      <c r="C16" s="684"/>
      <c r="D16" s="410" t="s">
        <v>288</v>
      </c>
      <c r="E16" s="440">
        <f t="shared" ref="E16:E18" si="11">SUM(F16:AU16)</f>
        <v>19</v>
      </c>
      <c r="F16" s="436"/>
      <c r="G16" s="434"/>
      <c r="H16" s="434"/>
      <c r="I16" s="434"/>
      <c r="J16" s="434"/>
      <c r="K16" s="435"/>
      <c r="L16" s="436"/>
      <c r="M16" s="434"/>
      <c r="N16" s="434"/>
      <c r="O16" s="434"/>
      <c r="P16" s="434"/>
      <c r="Q16" s="411"/>
      <c r="R16" s="436">
        <v>1</v>
      </c>
      <c r="S16" s="434">
        <v>3</v>
      </c>
      <c r="T16" s="434"/>
      <c r="U16" s="434"/>
      <c r="V16" s="434"/>
      <c r="W16" s="411"/>
      <c r="X16" s="436"/>
      <c r="Y16" s="434"/>
      <c r="Z16" s="434"/>
      <c r="AA16" s="434"/>
      <c r="AB16" s="434"/>
      <c r="AC16" s="435"/>
      <c r="AD16" s="437">
        <v>1</v>
      </c>
      <c r="AE16" s="434">
        <v>3</v>
      </c>
      <c r="AF16" s="434"/>
      <c r="AG16" s="434"/>
      <c r="AH16" s="434"/>
      <c r="AI16" s="435"/>
      <c r="AJ16" s="437"/>
      <c r="AK16" s="434"/>
      <c r="AL16" s="434"/>
      <c r="AM16" s="434"/>
      <c r="AN16" s="434"/>
      <c r="AO16" s="435"/>
      <c r="AP16" s="437">
        <v>1</v>
      </c>
      <c r="AQ16" s="434">
        <v>3</v>
      </c>
      <c r="AR16" s="434"/>
      <c r="AS16" s="434">
        <v>3</v>
      </c>
      <c r="AT16" s="434">
        <v>3</v>
      </c>
      <c r="AU16" s="438">
        <v>1</v>
      </c>
    </row>
    <row r="17" spans="2:47" ht="22" customHeight="1">
      <c r="B17" s="681" t="s">
        <v>557</v>
      </c>
      <c r="C17" s="683" t="s">
        <v>306</v>
      </c>
      <c r="D17" s="409" t="s">
        <v>292</v>
      </c>
      <c r="E17" s="439">
        <f t="shared" si="11"/>
        <v>40.5</v>
      </c>
      <c r="F17" s="429"/>
      <c r="G17" s="427"/>
      <c r="H17" s="767" t="s">
        <v>367</v>
      </c>
      <c r="I17" s="768"/>
      <c r="J17" s="768"/>
      <c r="K17" s="769"/>
      <c r="L17" s="429"/>
      <c r="M17" s="427"/>
      <c r="N17" s="427"/>
      <c r="O17" s="427">
        <v>3</v>
      </c>
      <c r="P17" s="427">
        <v>3</v>
      </c>
      <c r="Q17" s="430">
        <v>0.5</v>
      </c>
      <c r="R17" s="429">
        <v>1</v>
      </c>
      <c r="S17" s="427">
        <v>3</v>
      </c>
      <c r="T17" s="427">
        <v>3</v>
      </c>
      <c r="U17" s="427"/>
      <c r="V17" s="427"/>
      <c r="W17" s="430"/>
      <c r="X17" s="429"/>
      <c r="Y17" s="427"/>
      <c r="Z17" s="427"/>
      <c r="AA17" s="427">
        <v>3</v>
      </c>
      <c r="AB17" s="427">
        <v>3</v>
      </c>
      <c r="AC17" s="431">
        <v>0.5</v>
      </c>
      <c r="AD17" s="432">
        <v>1</v>
      </c>
      <c r="AE17" s="427">
        <v>3</v>
      </c>
      <c r="AF17" s="427">
        <v>3</v>
      </c>
      <c r="AG17" s="427"/>
      <c r="AH17" s="427"/>
      <c r="AI17" s="428"/>
      <c r="AJ17" s="432"/>
      <c r="AK17" s="427"/>
      <c r="AL17" s="427"/>
      <c r="AM17" s="427"/>
      <c r="AN17" s="427"/>
      <c r="AO17" s="431"/>
      <c r="AP17" s="432">
        <v>1</v>
      </c>
      <c r="AQ17" s="427">
        <v>3</v>
      </c>
      <c r="AR17" s="427">
        <v>3</v>
      </c>
      <c r="AS17" s="427">
        <v>3</v>
      </c>
      <c r="AT17" s="427">
        <v>3</v>
      </c>
      <c r="AU17" s="433">
        <v>0.5</v>
      </c>
    </row>
    <row r="18" spans="2:47" ht="22" customHeight="1">
      <c r="B18" s="682"/>
      <c r="C18" s="684" t="s">
        <v>306</v>
      </c>
      <c r="D18" s="410" t="s">
        <v>288</v>
      </c>
      <c r="E18" s="440">
        <f t="shared" si="11"/>
        <v>21</v>
      </c>
      <c r="F18" s="436">
        <v>1</v>
      </c>
      <c r="G18" s="434">
        <v>3</v>
      </c>
      <c r="H18" s="434"/>
      <c r="I18" s="434"/>
      <c r="J18" s="434"/>
      <c r="K18" s="435"/>
      <c r="L18" s="436"/>
      <c r="M18" s="434"/>
      <c r="N18" s="434"/>
      <c r="O18" s="434"/>
      <c r="P18" s="434"/>
      <c r="Q18" s="411"/>
      <c r="R18" s="436"/>
      <c r="S18" s="434"/>
      <c r="T18" s="434"/>
      <c r="U18" s="434"/>
      <c r="V18" s="434"/>
      <c r="W18" s="411"/>
      <c r="X18" s="436"/>
      <c r="Y18" s="434"/>
      <c r="Z18" s="434"/>
      <c r="AA18" s="434"/>
      <c r="AB18" s="434"/>
      <c r="AC18" s="435"/>
      <c r="AD18" s="437"/>
      <c r="AE18" s="434"/>
      <c r="AF18" s="434"/>
      <c r="AG18" s="434">
        <v>3</v>
      </c>
      <c r="AH18" s="434">
        <v>3</v>
      </c>
      <c r="AI18" s="435"/>
      <c r="AJ18" s="437">
        <v>1</v>
      </c>
      <c r="AK18" s="434">
        <v>3</v>
      </c>
      <c r="AL18" s="434"/>
      <c r="AM18" s="434">
        <v>3</v>
      </c>
      <c r="AN18" s="434">
        <v>3</v>
      </c>
      <c r="AO18" s="435">
        <v>1</v>
      </c>
      <c r="AP18" s="437"/>
      <c r="AQ18" s="434"/>
      <c r="AR18" s="434"/>
      <c r="AS18" s="434"/>
      <c r="AT18" s="434"/>
      <c r="AU18" s="438"/>
    </row>
    <row r="20" spans="2:47" ht="35">
      <c r="B20" s="685" t="s">
        <v>368</v>
      </c>
      <c r="C20" s="686"/>
      <c r="D20" s="686"/>
      <c r="E20" s="686"/>
      <c r="F20" s="687"/>
      <c r="G20" s="687"/>
      <c r="H20" s="687"/>
      <c r="I20" s="687"/>
      <c r="J20" s="687"/>
      <c r="K20" s="687"/>
      <c r="L20" s="687"/>
      <c r="M20" s="687"/>
      <c r="N20" s="687"/>
      <c r="O20" s="687"/>
      <c r="P20" s="687"/>
      <c r="Q20" s="687"/>
      <c r="R20" s="687"/>
      <c r="S20" s="687"/>
      <c r="T20" s="687"/>
      <c r="U20" s="687"/>
      <c r="V20" s="687"/>
      <c r="W20" s="687"/>
      <c r="X20" s="687"/>
      <c r="Y20" s="687"/>
      <c r="Z20" s="687"/>
      <c r="AA20" s="687"/>
      <c r="AB20" s="687"/>
      <c r="AC20" s="687"/>
      <c r="AD20" s="687"/>
      <c r="AE20" s="687"/>
      <c r="AF20" s="687"/>
      <c r="AG20" s="687"/>
      <c r="AH20" s="687"/>
      <c r="AI20" s="687"/>
      <c r="AJ20" s="687"/>
      <c r="AK20" s="687"/>
      <c r="AL20" s="687"/>
      <c r="AM20" s="687"/>
      <c r="AN20" s="687"/>
      <c r="AO20" s="687"/>
      <c r="AP20" s="687"/>
      <c r="AQ20" s="687"/>
      <c r="AR20" s="687"/>
      <c r="AS20" s="687"/>
      <c r="AT20" s="687"/>
      <c r="AU20" s="688"/>
    </row>
    <row r="21" spans="2:47" s="442" customFormat="1">
      <c r="B21" s="735" t="s">
        <v>370</v>
      </c>
      <c r="C21" s="735"/>
      <c r="D21" s="736" t="s">
        <v>364</v>
      </c>
      <c r="E21" s="737" t="s">
        <v>363</v>
      </c>
      <c r="F21" s="728">
        <f>AP12+1</f>
        <v>46188</v>
      </c>
      <c r="G21" s="693"/>
      <c r="H21" s="693"/>
      <c r="I21" s="693"/>
      <c r="J21" s="693"/>
      <c r="K21" s="694"/>
      <c r="L21" s="692">
        <f>F21+1</f>
        <v>46189</v>
      </c>
      <c r="M21" s="693"/>
      <c r="N21" s="693"/>
      <c r="O21" s="693"/>
      <c r="P21" s="693"/>
      <c r="Q21" s="694"/>
      <c r="R21" s="692">
        <f t="shared" ref="R21" si="12">L21+1</f>
        <v>46190</v>
      </c>
      <c r="S21" s="693"/>
      <c r="T21" s="693"/>
      <c r="U21" s="693"/>
      <c r="V21" s="693"/>
      <c r="W21" s="694"/>
      <c r="X21" s="729">
        <f t="shared" ref="X21" si="13">R21+1</f>
        <v>46191</v>
      </c>
      <c r="Y21" s="730"/>
      <c r="Z21" s="730"/>
      <c r="AA21" s="730"/>
      <c r="AB21" s="730"/>
      <c r="AC21" s="731"/>
      <c r="AD21" s="732">
        <f t="shared" ref="AD21" si="14">X21+1</f>
        <v>46192</v>
      </c>
      <c r="AE21" s="733"/>
      <c r="AF21" s="733"/>
      <c r="AG21" s="733"/>
      <c r="AH21" s="733"/>
      <c r="AI21" s="734"/>
      <c r="AJ21" s="725">
        <f t="shared" ref="AJ21" si="15">AD21+1</f>
        <v>46193</v>
      </c>
      <c r="AK21" s="726"/>
      <c r="AL21" s="726"/>
      <c r="AM21" s="726"/>
      <c r="AN21" s="726"/>
      <c r="AO21" s="727"/>
      <c r="AP21" s="725">
        <f t="shared" ref="AP21" si="16">AJ21+1</f>
        <v>46194</v>
      </c>
      <c r="AQ21" s="726"/>
      <c r="AR21" s="726"/>
      <c r="AS21" s="726"/>
      <c r="AT21" s="726"/>
      <c r="AU21" s="727"/>
    </row>
    <row r="22" spans="2:47" ht="19" customHeight="1">
      <c r="B22" s="735"/>
      <c r="C22" s="735"/>
      <c r="D22" s="736"/>
      <c r="E22" s="737"/>
      <c r="F22" s="701" t="s">
        <v>350</v>
      </c>
      <c r="G22" s="699"/>
      <c r="H22" s="699"/>
      <c r="I22" s="699"/>
      <c r="J22" s="699"/>
      <c r="K22" s="700"/>
      <c r="L22" s="698" t="s">
        <v>357</v>
      </c>
      <c r="M22" s="699"/>
      <c r="N22" s="699"/>
      <c r="O22" s="699"/>
      <c r="P22" s="699"/>
      <c r="Q22" s="702"/>
      <c r="R22" s="698" t="s">
        <v>358</v>
      </c>
      <c r="S22" s="699"/>
      <c r="T22" s="699"/>
      <c r="U22" s="699"/>
      <c r="V22" s="699"/>
      <c r="W22" s="702"/>
      <c r="X22" s="703" t="s">
        <v>359</v>
      </c>
      <c r="Y22" s="704"/>
      <c r="Z22" s="704"/>
      <c r="AA22" s="704"/>
      <c r="AB22" s="704"/>
      <c r="AC22" s="705"/>
      <c r="AD22" s="701" t="s">
        <v>360</v>
      </c>
      <c r="AE22" s="699"/>
      <c r="AF22" s="699"/>
      <c r="AG22" s="699"/>
      <c r="AH22" s="699"/>
      <c r="AI22" s="700"/>
      <c r="AJ22" s="689" t="s">
        <v>361</v>
      </c>
      <c r="AK22" s="690"/>
      <c r="AL22" s="690"/>
      <c r="AM22" s="690"/>
      <c r="AN22" s="690"/>
      <c r="AO22" s="691"/>
      <c r="AP22" s="689" t="s">
        <v>362</v>
      </c>
      <c r="AQ22" s="690"/>
      <c r="AR22" s="690"/>
      <c r="AS22" s="690"/>
      <c r="AT22" s="690"/>
      <c r="AU22" s="691"/>
    </row>
    <row r="23" spans="2:47" s="402" customFormat="1" ht="16" customHeight="1">
      <c r="B23" s="735"/>
      <c r="C23" s="735"/>
      <c r="D23" s="736"/>
      <c r="E23" s="737"/>
      <c r="F23" s="446" t="s">
        <v>351</v>
      </c>
      <c r="G23" s="406" t="s">
        <v>352</v>
      </c>
      <c r="H23" s="406" t="s">
        <v>353</v>
      </c>
      <c r="I23" s="406" t="s">
        <v>354</v>
      </c>
      <c r="J23" s="406" t="s">
        <v>355</v>
      </c>
      <c r="K23" s="445" t="s">
        <v>356</v>
      </c>
      <c r="L23" s="405" t="s">
        <v>351</v>
      </c>
      <c r="M23" s="406" t="s">
        <v>352</v>
      </c>
      <c r="N23" s="406" t="s">
        <v>353</v>
      </c>
      <c r="O23" s="406" t="s">
        <v>354</v>
      </c>
      <c r="P23" s="406" t="s">
        <v>355</v>
      </c>
      <c r="Q23" s="407" t="s">
        <v>356</v>
      </c>
      <c r="R23" s="405" t="s">
        <v>351</v>
      </c>
      <c r="S23" s="406" t="s">
        <v>352</v>
      </c>
      <c r="T23" s="406" t="s">
        <v>353</v>
      </c>
      <c r="U23" s="406" t="s">
        <v>354</v>
      </c>
      <c r="V23" s="406" t="s">
        <v>355</v>
      </c>
      <c r="W23" s="407" t="s">
        <v>356</v>
      </c>
      <c r="X23" s="405" t="s">
        <v>351</v>
      </c>
      <c r="Y23" s="406" t="s">
        <v>352</v>
      </c>
      <c r="Z23" s="406" t="s">
        <v>353</v>
      </c>
      <c r="AA23" s="406" t="s">
        <v>354</v>
      </c>
      <c r="AB23" s="406" t="s">
        <v>355</v>
      </c>
      <c r="AC23" s="445" t="s">
        <v>356</v>
      </c>
      <c r="AD23" s="446" t="s">
        <v>351</v>
      </c>
      <c r="AE23" s="406" t="s">
        <v>352</v>
      </c>
      <c r="AF23" s="406" t="s">
        <v>353</v>
      </c>
      <c r="AG23" s="406" t="s">
        <v>354</v>
      </c>
      <c r="AH23" s="406" t="s">
        <v>355</v>
      </c>
      <c r="AI23" s="445" t="s">
        <v>356</v>
      </c>
      <c r="AJ23" s="408" t="s">
        <v>351</v>
      </c>
      <c r="AK23" s="403" t="s">
        <v>352</v>
      </c>
      <c r="AL23" s="403" t="s">
        <v>353</v>
      </c>
      <c r="AM23" s="403" t="s">
        <v>354</v>
      </c>
      <c r="AN23" s="403" t="s">
        <v>355</v>
      </c>
      <c r="AO23" s="404" t="s">
        <v>356</v>
      </c>
      <c r="AP23" s="408" t="s">
        <v>351</v>
      </c>
      <c r="AQ23" s="403" t="s">
        <v>352</v>
      </c>
      <c r="AR23" s="403" t="s">
        <v>353</v>
      </c>
      <c r="AS23" s="403" t="s">
        <v>354</v>
      </c>
      <c r="AT23" s="403" t="s">
        <v>355</v>
      </c>
      <c r="AU23" s="404" t="s">
        <v>356</v>
      </c>
    </row>
    <row r="24" spans="2:47" ht="22" customHeight="1">
      <c r="B24" s="707" t="s">
        <v>307</v>
      </c>
      <c r="C24" s="683" t="s">
        <v>305</v>
      </c>
      <c r="D24" s="409" t="s">
        <v>292</v>
      </c>
      <c r="E24" s="439">
        <f>SUM(F24:AU24)</f>
        <v>0</v>
      </c>
      <c r="F24" s="429"/>
      <c r="G24" s="427"/>
      <c r="H24" s="427"/>
      <c r="I24" s="427"/>
      <c r="J24" s="427"/>
      <c r="K24" s="428"/>
      <c r="L24" s="429"/>
      <c r="M24" s="427"/>
      <c r="N24" s="427"/>
      <c r="O24" s="427"/>
      <c r="P24" s="427"/>
      <c r="Q24" s="430"/>
      <c r="R24" s="429"/>
      <c r="S24" s="427"/>
      <c r="T24" s="427"/>
      <c r="U24" s="427"/>
      <c r="V24" s="427"/>
      <c r="W24" s="430"/>
      <c r="X24" s="429"/>
      <c r="Y24" s="427"/>
      <c r="Z24" s="427"/>
      <c r="AA24" s="427"/>
      <c r="AB24" s="427"/>
      <c r="AC24" s="430"/>
      <c r="AD24" s="429"/>
      <c r="AE24" s="427"/>
      <c r="AF24" s="427"/>
      <c r="AG24" s="427"/>
      <c r="AH24" s="427"/>
      <c r="AI24" s="428"/>
      <c r="AJ24" s="432"/>
      <c r="AK24" s="427"/>
      <c r="AL24" s="427"/>
      <c r="AM24" s="427"/>
      <c r="AN24" s="427"/>
      <c r="AO24" s="428"/>
      <c r="AP24" s="432"/>
      <c r="AQ24" s="427"/>
      <c r="AR24" s="427"/>
      <c r="AS24" s="427"/>
      <c r="AT24" s="427"/>
      <c r="AU24" s="433"/>
    </row>
    <row r="25" spans="2:47" ht="22" customHeight="1">
      <c r="B25" s="708"/>
      <c r="C25" s="684"/>
      <c r="D25" s="410" t="s">
        <v>288</v>
      </c>
      <c r="E25" s="440">
        <f t="shared" ref="E25:E27" si="17">SUM(F25:AU25)</f>
        <v>0</v>
      </c>
      <c r="F25" s="436"/>
      <c r="G25" s="434"/>
      <c r="H25" s="434"/>
      <c r="I25" s="434"/>
      <c r="J25" s="434"/>
      <c r="K25" s="435"/>
      <c r="L25" s="436"/>
      <c r="M25" s="434"/>
      <c r="N25" s="434"/>
      <c r="O25" s="434"/>
      <c r="P25" s="434"/>
      <c r="Q25" s="411"/>
      <c r="R25" s="436"/>
      <c r="S25" s="434"/>
      <c r="T25" s="434"/>
      <c r="U25" s="434"/>
      <c r="V25" s="434"/>
      <c r="W25" s="411"/>
      <c r="X25" s="436"/>
      <c r="Y25" s="434"/>
      <c r="Z25" s="434"/>
      <c r="AA25" s="434"/>
      <c r="AB25" s="434"/>
      <c r="AC25" s="435"/>
      <c r="AD25" s="437"/>
      <c r="AE25" s="434"/>
      <c r="AF25" s="434"/>
      <c r="AG25" s="434"/>
      <c r="AH25" s="434"/>
      <c r="AI25" s="435"/>
      <c r="AJ25" s="437"/>
      <c r="AK25" s="434"/>
      <c r="AL25" s="434"/>
      <c r="AM25" s="434"/>
      <c r="AN25" s="434"/>
      <c r="AO25" s="435"/>
      <c r="AP25" s="437"/>
      <c r="AQ25" s="434"/>
      <c r="AR25" s="434"/>
      <c r="AS25" s="434"/>
      <c r="AT25" s="434"/>
      <c r="AU25" s="438"/>
    </row>
    <row r="26" spans="2:47" ht="22" customHeight="1">
      <c r="B26" s="681" t="s">
        <v>557</v>
      </c>
      <c r="C26" s="683" t="s">
        <v>306</v>
      </c>
      <c r="D26" s="409" t="s">
        <v>292</v>
      </c>
      <c r="E26" s="439">
        <f t="shared" si="17"/>
        <v>0</v>
      </c>
      <c r="F26" s="429"/>
      <c r="G26" s="427"/>
      <c r="H26" s="427"/>
      <c r="I26" s="427"/>
      <c r="J26" s="427"/>
      <c r="K26" s="428"/>
      <c r="L26" s="429"/>
      <c r="M26" s="427"/>
      <c r="N26" s="427"/>
      <c r="O26" s="427"/>
      <c r="P26" s="427"/>
      <c r="Q26" s="430"/>
      <c r="R26" s="429"/>
      <c r="S26" s="427"/>
      <c r="T26" s="427"/>
      <c r="U26" s="427"/>
      <c r="V26" s="427"/>
      <c r="W26" s="430"/>
      <c r="X26" s="429"/>
      <c r="Y26" s="427"/>
      <c r="Z26" s="427"/>
      <c r="AA26" s="427"/>
      <c r="AB26" s="427"/>
      <c r="AC26" s="431"/>
      <c r="AD26" s="432"/>
      <c r="AE26" s="427"/>
      <c r="AF26" s="427"/>
      <c r="AG26" s="427"/>
      <c r="AH26" s="427"/>
      <c r="AI26" s="428"/>
      <c r="AJ26" s="432"/>
      <c r="AK26" s="427"/>
      <c r="AL26" s="427"/>
      <c r="AM26" s="427"/>
      <c r="AN26" s="427"/>
      <c r="AO26" s="431"/>
      <c r="AP26" s="432"/>
      <c r="AQ26" s="427"/>
      <c r="AR26" s="427"/>
      <c r="AS26" s="427"/>
      <c r="AT26" s="427"/>
      <c r="AU26" s="433"/>
    </row>
    <row r="27" spans="2:47" ht="22" customHeight="1">
      <c r="B27" s="682"/>
      <c r="C27" s="684" t="s">
        <v>306</v>
      </c>
      <c r="D27" s="410" t="s">
        <v>288</v>
      </c>
      <c r="E27" s="440">
        <f t="shared" si="17"/>
        <v>0</v>
      </c>
      <c r="F27" s="436"/>
      <c r="G27" s="434"/>
      <c r="H27" s="434"/>
      <c r="I27" s="434"/>
      <c r="J27" s="434"/>
      <c r="K27" s="435"/>
      <c r="L27" s="436"/>
      <c r="M27" s="434"/>
      <c r="N27" s="434"/>
      <c r="O27" s="434"/>
      <c r="P27" s="434"/>
      <c r="Q27" s="411"/>
      <c r="R27" s="436"/>
      <c r="S27" s="434"/>
      <c r="T27" s="434"/>
      <c r="U27" s="434"/>
      <c r="V27" s="434"/>
      <c r="W27" s="411"/>
      <c r="X27" s="436"/>
      <c r="Y27" s="434"/>
      <c r="Z27" s="434"/>
      <c r="AA27" s="434"/>
      <c r="AB27" s="434"/>
      <c r="AC27" s="435"/>
      <c r="AD27" s="437"/>
      <c r="AE27" s="434"/>
      <c r="AF27" s="434"/>
      <c r="AG27" s="434"/>
      <c r="AH27" s="434"/>
      <c r="AI27" s="435"/>
      <c r="AJ27" s="437"/>
      <c r="AK27" s="434"/>
      <c r="AL27" s="434"/>
      <c r="AM27" s="434"/>
      <c r="AN27" s="434"/>
      <c r="AO27" s="435"/>
      <c r="AP27" s="437"/>
      <c r="AQ27" s="434"/>
      <c r="AR27" s="434"/>
      <c r="AS27" s="434"/>
      <c r="AT27" s="434"/>
      <c r="AU27" s="438"/>
    </row>
    <row r="29" spans="2:47" ht="35">
      <c r="B29" s="685" t="s">
        <v>368</v>
      </c>
      <c r="C29" s="686"/>
      <c r="D29" s="686"/>
      <c r="E29" s="686"/>
      <c r="F29" s="687"/>
      <c r="G29" s="687"/>
      <c r="H29" s="687"/>
      <c r="I29" s="687"/>
      <c r="J29" s="687"/>
      <c r="K29" s="687"/>
      <c r="L29" s="687"/>
      <c r="M29" s="687"/>
      <c r="N29" s="687"/>
      <c r="O29" s="687"/>
      <c r="P29" s="687"/>
      <c r="Q29" s="687"/>
      <c r="R29" s="687"/>
      <c r="S29" s="687"/>
      <c r="T29" s="687"/>
      <c r="U29" s="687"/>
      <c r="V29" s="687"/>
      <c r="W29" s="687"/>
      <c r="X29" s="687"/>
      <c r="Y29" s="687"/>
      <c r="Z29" s="687"/>
      <c r="AA29" s="687"/>
      <c r="AB29" s="687"/>
      <c r="AC29" s="687"/>
      <c r="AD29" s="687"/>
      <c r="AE29" s="687"/>
      <c r="AF29" s="687"/>
      <c r="AG29" s="687"/>
      <c r="AH29" s="687"/>
      <c r="AI29" s="687"/>
      <c r="AJ29" s="687"/>
      <c r="AK29" s="687"/>
      <c r="AL29" s="687"/>
      <c r="AM29" s="687"/>
      <c r="AN29" s="687"/>
      <c r="AO29" s="687"/>
      <c r="AP29" s="687"/>
      <c r="AQ29" s="687"/>
      <c r="AR29" s="687"/>
      <c r="AS29" s="687"/>
      <c r="AT29" s="687"/>
      <c r="AU29" s="688"/>
    </row>
    <row r="30" spans="2:47" s="442" customFormat="1" ht="16" customHeight="1">
      <c r="B30" s="735" t="s">
        <v>371</v>
      </c>
      <c r="C30" s="735"/>
      <c r="D30" s="736" t="s">
        <v>364</v>
      </c>
      <c r="E30" s="737" t="s">
        <v>363</v>
      </c>
      <c r="F30" s="728">
        <f>AP21+1</f>
        <v>46195</v>
      </c>
      <c r="G30" s="693"/>
      <c r="H30" s="693"/>
      <c r="I30" s="693"/>
      <c r="J30" s="693"/>
      <c r="K30" s="694"/>
      <c r="L30" s="692">
        <f>F30+1</f>
        <v>46196</v>
      </c>
      <c r="M30" s="693"/>
      <c r="N30" s="693"/>
      <c r="O30" s="693"/>
      <c r="P30" s="693"/>
      <c r="Q30" s="694"/>
      <c r="R30" s="692">
        <f t="shared" ref="R30" si="18">L30+1</f>
        <v>46197</v>
      </c>
      <c r="S30" s="693"/>
      <c r="T30" s="693"/>
      <c r="U30" s="693"/>
      <c r="V30" s="693"/>
      <c r="W30" s="694"/>
      <c r="X30" s="692">
        <f t="shared" ref="X30" si="19">R30+1</f>
        <v>46198</v>
      </c>
      <c r="Y30" s="693"/>
      <c r="Z30" s="693"/>
      <c r="AA30" s="693"/>
      <c r="AB30" s="693"/>
      <c r="AC30" s="694"/>
      <c r="AD30" s="692">
        <f t="shared" ref="AD30" si="20">X30+1</f>
        <v>46199</v>
      </c>
      <c r="AE30" s="693"/>
      <c r="AF30" s="693"/>
      <c r="AG30" s="693"/>
      <c r="AH30" s="693"/>
      <c r="AI30" s="694"/>
      <c r="AJ30" s="695">
        <f t="shared" ref="AJ30" si="21">AD30+1</f>
        <v>46200</v>
      </c>
      <c r="AK30" s="696"/>
      <c r="AL30" s="696"/>
      <c r="AM30" s="696"/>
      <c r="AN30" s="696"/>
      <c r="AO30" s="697"/>
      <c r="AP30" s="695">
        <f t="shared" ref="AP30" si="22">AJ30+1</f>
        <v>46201</v>
      </c>
      <c r="AQ30" s="696"/>
      <c r="AR30" s="696"/>
      <c r="AS30" s="696"/>
      <c r="AT30" s="696"/>
      <c r="AU30" s="697"/>
    </row>
    <row r="31" spans="2:47" ht="19" customHeight="1">
      <c r="B31" s="735"/>
      <c r="C31" s="735"/>
      <c r="D31" s="736"/>
      <c r="E31" s="737"/>
      <c r="F31" s="701" t="s">
        <v>350</v>
      </c>
      <c r="G31" s="699"/>
      <c r="H31" s="699"/>
      <c r="I31" s="699"/>
      <c r="J31" s="699"/>
      <c r="K31" s="700"/>
      <c r="L31" s="698" t="s">
        <v>357</v>
      </c>
      <c r="M31" s="699"/>
      <c r="N31" s="699"/>
      <c r="O31" s="699"/>
      <c r="P31" s="699"/>
      <c r="Q31" s="702"/>
      <c r="R31" s="698" t="s">
        <v>358</v>
      </c>
      <c r="S31" s="699"/>
      <c r="T31" s="699"/>
      <c r="U31" s="699"/>
      <c r="V31" s="699"/>
      <c r="W31" s="702"/>
      <c r="X31" s="698" t="s">
        <v>359</v>
      </c>
      <c r="Y31" s="699"/>
      <c r="Z31" s="699"/>
      <c r="AA31" s="699"/>
      <c r="AB31" s="699"/>
      <c r="AC31" s="700"/>
      <c r="AD31" s="701" t="s">
        <v>360</v>
      </c>
      <c r="AE31" s="699"/>
      <c r="AF31" s="699"/>
      <c r="AG31" s="699"/>
      <c r="AH31" s="699"/>
      <c r="AI31" s="700"/>
      <c r="AJ31" s="689" t="s">
        <v>361</v>
      </c>
      <c r="AK31" s="690"/>
      <c r="AL31" s="690"/>
      <c r="AM31" s="690"/>
      <c r="AN31" s="690"/>
      <c r="AO31" s="691"/>
      <c r="AP31" s="689" t="s">
        <v>362</v>
      </c>
      <c r="AQ31" s="690"/>
      <c r="AR31" s="690"/>
      <c r="AS31" s="690"/>
      <c r="AT31" s="690"/>
      <c r="AU31" s="691"/>
    </row>
    <row r="32" spans="2:47" s="402" customFormat="1" ht="16" customHeight="1">
      <c r="B32" s="735"/>
      <c r="C32" s="735"/>
      <c r="D32" s="736"/>
      <c r="E32" s="737"/>
      <c r="F32" s="446" t="s">
        <v>351</v>
      </c>
      <c r="G32" s="406" t="s">
        <v>352</v>
      </c>
      <c r="H32" s="406" t="s">
        <v>353</v>
      </c>
      <c r="I32" s="406" t="s">
        <v>354</v>
      </c>
      <c r="J32" s="406" t="s">
        <v>355</v>
      </c>
      <c r="K32" s="445" t="s">
        <v>356</v>
      </c>
      <c r="L32" s="405" t="s">
        <v>351</v>
      </c>
      <c r="M32" s="406" t="s">
        <v>352</v>
      </c>
      <c r="N32" s="406" t="s">
        <v>353</v>
      </c>
      <c r="O32" s="406" t="s">
        <v>354</v>
      </c>
      <c r="P32" s="406" t="s">
        <v>355</v>
      </c>
      <c r="Q32" s="407" t="s">
        <v>356</v>
      </c>
      <c r="R32" s="405" t="s">
        <v>351</v>
      </c>
      <c r="S32" s="406" t="s">
        <v>352</v>
      </c>
      <c r="T32" s="406" t="s">
        <v>353</v>
      </c>
      <c r="U32" s="406" t="s">
        <v>354</v>
      </c>
      <c r="V32" s="406" t="s">
        <v>355</v>
      </c>
      <c r="W32" s="407" t="s">
        <v>356</v>
      </c>
      <c r="X32" s="405" t="s">
        <v>351</v>
      </c>
      <c r="Y32" s="406" t="s">
        <v>352</v>
      </c>
      <c r="Z32" s="406" t="s">
        <v>353</v>
      </c>
      <c r="AA32" s="406" t="s">
        <v>354</v>
      </c>
      <c r="AB32" s="406" t="s">
        <v>355</v>
      </c>
      <c r="AC32" s="445" t="s">
        <v>356</v>
      </c>
      <c r="AD32" s="446" t="s">
        <v>351</v>
      </c>
      <c r="AE32" s="406" t="s">
        <v>352</v>
      </c>
      <c r="AF32" s="406" t="s">
        <v>353</v>
      </c>
      <c r="AG32" s="406" t="s">
        <v>354</v>
      </c>
      <c r="AH32" s="406" t="s">
        <v>355</v>
      </c>
      <c r="AI32" s="445" t="s">
        <v>356</v>
      </c>
      <c r="AJ32" s="408" t="s">
        <v>351</v>
      </c>
      <c r="AK32" s="403" t="s">
        <v>352</v>
      </c>
      <c r="AL32" s="403" t="s">
        <v>353</v>
      </c>
      <c r="AM32" s="403" t="s">
        <v>354</v>
      </c>
      <c r="AN32" s="403" t="s">
        <v>355</v>
      </c>
      <c r="AO32" s="404" t="s">
        <v>356</v>
      </c>
      <c r="AP32" s="408" t="s">
        <v>351</v>
      </c>
      <c r="AQ32" s="403" t="s">
        <v>352</v>
      </c>
      <c r="AR32" s="403" t="s">
        <v>353</v>
      </c>
      <c r="AS32" s="403" t="s">
        <v>354</v>
      </c>
      <c r="AT32" s="403" t="s">
        <v>355</v>
      </c>
      <c r="AU32" s="404" t="s">
        <v>356</v>
      </c>
    </row>
    <row r="33" spans="2:47" ht="22" customHeight="1">
      <c r="B33" s="707" t="s">
        <v>307</v>
      </c>
      <c r="C33" s="683" t="s">
        <v>305</v>
      </c>
      <c r="D33" s="409" t="s">
        <v>292</v>
      </c>
      <c r="E33" s="439">
        <f>SUM(F33:AU33)</f>
        <v>56.5</v>
      </c>
      <c r="F33" s="429">
        <v>1</v>
      </c>
      <c r="G33" s="427">
        <v>3</v>
      </c>
      <c r="H33" s="427">
        <v>3</v>
      </c>
      <c r="I33" s="427"/>
      <c r="J33" s="427"/>
      <c r="K33" s="428"/>
      <c r="L33" s="429"/>
      <c r="M33" s="427"/>
      <c r="N33" s="427">
        <v>3</v>
      </c>
      <c r="O33" s="427">
        <v>3</v>
      </c>
      <c r="P33" s="427">
        <v>3</v>
      </c>
      <c r="Q33" s="430">
        <v>0.5</v>
      </c>
      <c r="R33" s="738" t="s">
        <v>435</v>
      </c>
      <c r="S33" s="739"/>
      <c r="T33" s="739"/>
      <c r="U33" s="739"/>
      <c r="V33" s="739"/>
      <c r="W33" s="740"/>
      <c r="X33" s="432">
        <v>1</v>
      </c>
      <c r="Y33" s="427">
        <v>3</v>
      </c>
      <c r="Z33" s="427">
        <v>3</v>
      </c>
      <c r="AA33" s="503">
        <v>3</v>
      </c>
      <c r="AB33" s="502">
        <v>3</v>
      </c>
      <c r="AC33" s="504">
        <v>0.5</v>
      </c>
      <c r="AD33" s="432">
        <v>1</v>
      </c>
      <c r="AE33" s="427">
        <v>3</v>
      </c>
      <c r="AF33" s="427">
        <v>3</v>
      </c>
      <c r="AG33" s="427">
        <v>3</v>
      </c>
      <c r="AH33" s="427">
        <v>3</v>
      </c>
      <c r="AI33" s="428"/>
      <c r="AJ33" s="432"/>
      <c r="AK33" s="427">
        <v>3</v>
      </c>
      <c r="AL33" s="427"/>
      <c r="AM33" s="427">
        <v>3</v>
      </c>
      <c r="AN33" s="427">
        <v>3</v>
      </c>
      <c r="AO33" s="428">
        <v>0.5</v>
      </c>
      <c r="AP33" s="432">
        <v>1</v>
      </c>
      <c r="AQ33" s="427">
        <v>3</v>
      </c>
      <c r="AR33" s="427"/>
      <c r="AS33" s="427"/>
      <c r="AT33" s="427"/>
      <c r="AU33" s="433"/>
    </row>
    <row r="34" spans="2:47" ht="22" customHeight="1">
      <c r="B34" s="708"/>
      <c r="C34" s="684"/>
      <c r="D34" s="410" t="s">
        <v>288</v>
      </c>
      <c r="E34" s="440">
        <f t="shared" ref="E34:E36" si="23">SUM(F34:AU34)</f>
        <v>11</v>
      </c>
      <c r="F34" s="436"/>
      <c r="G34" s="434"/>
      <c r="H34" s="434"/>
      <c r="I34" s="434"/>
      <c r="J34" s="434"/>
      <c r="K34" s="435"/>
      <c r="L34" s="436">
        <v>1</v>
      </c>
      <c r="M34" s="434">
        <v>3</v>
      </c>
      <c r="N34" s="434"/>
      <c r="O34" s="434"/>
      <c r="P34" s="434"/>
      <c r="Q34" s="411"/>
      <c r="R34" s="436"/>
      <c r="S34" s="434"/>
      <c r="T34" s="434"/>
      <c r="U34" s="434"/>
      <c r="V34" s="434"/>
      <c r="W34" s="411"/>
      <c r="X34" s="436"/>
      <c r="Y34" s="434"/>
      <c r="Z34" s="434"/>
      <c r="AA34" s="434"/>
      <c r="AB34" s="434"/>
      <c r="AC34" s="435"/>
      <c r="AD34" s="437"/>
      <c r="AE34" s="434"/>
      <c r="AF34" s="434"/>
      <c r="AG34" s="434"/>
      <c r="AH34" s="434"/>
      <c r="AI34" s="435"/>
      <c r="AJ34" s="437"/>
      <c r="AK34" s="434"/>
      <c r="AL34" s="434"/>
      <c r="AM34" s="434"/>
      <c r="AN34" s="434"/>
      <c r="AO34" s="435"/>
      <c r="AP34" s="437"/>
      <c r="AQ34" s="434"/>
      <c r="AR34" s="434"/>
      <c r="AS34" s="434">
        <v>3</v>
      </c>
      <c r="AT34" s="434">
        <v>3</v>
      </c>
      <c r="AU34" s="438">
        <v>1</v>
      </c>
    </row>
    <row r="35" spans="2:47" ht="22" customHeight="1">
      <c r="B35" s="681" t="s">
        <v>557</v>
      </c>
      <c r="C35" s="683" t="s">
        <v>306</v>
      </c>
      <c r="D35" s="409" t="s">
        <v>292</v>
      </c>
      <c r="E35" s="439">
        <f t="shared" si="23"/>
        <v>50</v>
      </c>
      <c r="F35" s="429"/>
      <c r="G35" s="427"/>
      <c r="H35" s="427"/>
      <c r="I35" s="427">
        <v>3</v>
      </c>
      <c r="J35" s="427">
        <v>3</v>
      </c>
      <c r="K35" s="428">
        <v>0.5</v>
      </c>
      <c r="L35" s="429"/>
      <c r="M35" s="427"/>
      <c r="N35" s="427"/>
      <c r="O35" s="427">
        <v>3</v>
      </c>
      <c r="P35" s="427">
        <v>3</v>
      </c>
      <c r="Q35" s="430">
        <v>0.5</v>
      </c>
      <c r="R35" s="429">
        <v>1</v>
      </c>
      <c r="S35" s="427">
        <v>3</v>
      </c>
      <c r="T35" s="427">
        <v>3</v>
      </c>
      <c r="U35" s="427"/>
      <c r="V35" s="427"/>
      <c r="W35" s="430"/>
      <c r="X35" s="429"/>
      <c r="Y35" s="427"/>
      <c r="Z35" s="427"/>
      <c r="AA35" s="427">
        <v>3</v>
      </c>
      <c r="AB35" s="427">
        <v>3</v>
      </c>
      <c r="AC35" s="431">
        <v>0.5</v>
      </c>
      <c r="AD35" s="432">
        <v>1</v>
      </c>
      <c r="AE35" s="427">
        <v>3</v>
      </c>
      <c r="AF35" s="427">
        <v>3</v>
      </c>
      <c r="AG35" s="427"/>
      <c r="AH35" s="427"/>
      <c r="AI35" s="428"/>
      <c r="AJ35" s="432"/>
      <c r="AK35" s="427"/>
      <c r="AL35" s="427"/>
      <c r="AM35" s="427">
        <v>3</v>
      </c>
      <c r="AN35" s="427">
        <v>3</v>
      </c>
      <c r="AO35" s="431">
        <v>0.5</v>
      </c>
      <c r="AP35" s="432">
        <v>1</v>
      </c>
      <c r="AQ35" s="427">
        <v>3</v>
      </c>
      <c r="AR35" s="427">
        <v>3</v>
      </c>
      <c r="AS35" s="427">
        <v>3</v>
      </c>
      <c r="AT35" s="427"/>
      <c r="AU35" s="433"/>
    </row>
    <row r="36" spans="2:47" ht="22" customHeight="1">
      <c r="B36" s="682"/>
      <c r="C36" s="684" t="s">
        <v>306</v>
      </c>
      <c r="D36" s="410" t="s">
        <v>288</v>
      </c>
      <c r="E36" s="440">
        <f t="shared" si="23"/>
        <v>51</v>
      </c>
      <c r="F36" s="436"/>
      <c r="G36" s="434"/>
      <c r="H36" s="434"/>
      <c r="I36" s="434">
        <v>3</v>
      </c>
      <c r="J36" s="434">
        <v>3</v>
      </c>
      <c r="K36" s="435">
        <v>1</v>
      </c>
      <c r="L36" s="436">
        <v>1</v>
      </c>
      <c r="M36" s="434">
        <v>3</v>
      </c>
      <c r="N36" s="434">
        <v>3</v>
      </c>
      <c r="O36" s="434"/>
      <c r="P36" s="434"/>
      <c r="Q36" s="411"/>
      <c r="R36" s="436"/>
      <c r="S36" s="434"/>
      <c r="T36" s="434"/>
      <c r="U36" s="434">
        <v>3</v>
      </c>
      <c r="V36" s="434">
        <v>3</v>
      </c>
      <c r="W36" s="411">
        <v>1</v>
      </c>
      <c r="X36" s="436">
        <v>1</v>
      </c>
      <c r="Y36" s="434">
        <v>3</v>
      </c>
      <c r="Z36" s="434">
        <v>3</v>
      </c>
      <c r="AA36" s="434"/>
      <c r="AB36" s="434"/>
      <c r="AC36" s="435"/>
      <c r="AD36" s="437"/>
      <c r="AE36" s="434"/>
      <c r="AF36" s="434"/>
      <c r="AG36" s="434">
        <v>3</v>
      </c>
      <c r="AH36" s="434">
        <v>3</v>
      </c>
      <c r="AI36" s="435">
        <v>1</v>
      </c>
      <c r="AJ36" s="437">
        <v>1</v>
      </c>
      <c r="AK36" s="434">
        <v>2</v>
      </c>
      <c r="AL36" s="434"/>
      <c r="AM36" s="434">
        <v>3</v>
      </c>
      <c r="AN36" s="434">
        <v>3</v>
      </c>
      <c r="AO36" s="435"/>
      <c r="AP36" s="437"/>
      <c r="AQ36" s="434"/>
      <c r="AR36" s="434"/>
      <c r="AS36" s="434">
        <v>3</v>
      </c>
      <c r="AT36" s="434">
        <v>3</v>
      </c>
      <c r="AU36" s="438">
        <v>1</v>
      </c>
    </row>
    <row r="38" spans="2:47" ht="35">
      <c r="B38" s="744" t="s">
        <v>368</v>
      </c>
      <c r="C38" s="745"/>
      <c r="D38" s="745"/>
      <c r="E38" s="745"/>
      <c r="F38" s="745"/>
      <c r="G38" s="745"/>
      <c r="H38" s="745"/>
      <c r="I38" s="745"/>
      <c r="J38" s="745"/>
      <c r="K38" s="745"/>
      <c r="L38" s="745"/>
      <c r="M38" s="745"/>
      <c r="N38" s="745"/>
      <c r="O38" s="745"/>
      <c r="P38" s="745"/>
      <c r="Q38" s="745"/>
      <c r="R38" s="745"/>
      <c r="S38" s="745"/>
      <c r="T38" s="745"/>
      <c r="U38" s="745"/>
      <c r="V38" s="745"/>
      <c r="W38" s="745"/>
      <c r="X38" s="745"/>
      <c r="Y38" s="745"/>
      <c r="Z38" s="745"/>
      <c r="AA38" s="745"/>
      <c r="AB38" s="745"/>
      <c r="AC38" s="745"/>
      <c r="AD38" s="745"/>
      <c r="AE38" s="745"/>
      <c r="AF38" s="745"/>
      <c r="AG38" s="745"/>
      <c r="AH38" s="745"/>
      <c r="AI38" s="745"/>
      <c r="AJ38" s="745"/>
      <c r="AK38" s="745"/>
      <c r="AL38" s="745"/>
      <c r="AM38" s="745"/>
      <c r="AN38" s="745"/>
      <c r="AO38" s="745"/>
      <c r="AP38" s="745"/>
      <c r="AQ38" s="745"/>
      <c r="AR38" s="745"/>
      <c r="AS38" s="745"/>
      <c r="AT38" s="745"/>
      <c r="AU38" s="746"/>
    </row>
    <row r="39" spans="2:47" s="442" customFormat="1" ht="16" customHeight="1">
      <c r="B39" s="753" t="s">
        <v>372</v>
      </c>
      <c r="C39" s="754"/>
      <c r="D39" s="759" t="s">
        <v>364</v>
      </c>
      <c r="E39" s="762" t="s">
        <v>363</v>
      </c>
      <c r="F39" s="728">
        <f>AP30+1</f>
        <v>46202</v>
      </c>
      <c r="G39" s="693"/>
      <c r="H39" s="693"/>
      <c r="I39" s="693"/>
      <c r="J39" s="693"/>
      <c r="K39" s="694"/>
      <c r="L39" s="692">
        <f>F39+1</f>
        <v>46203</v>
      </c>
      <c r="M39" s="693"/>
      <c r="N39" s="693"/>
      <c r="O39" s="693"/>
      <c r="P39" s="693"/>
      <c r="Q39" s="694"/>
      <c r="R39" s="692">
        <f t="shared" ref="R39" si="24">L39+1</f>
        <v>46204</v>
      </c>
      <c r="S39" s="693"/>
      <c r="T39" s="693"/>
      <c r="U39" s="693"/>
      <c r="V39" s="693"/>
      <c r="W39" s="694"/>
      <c r="X39" s="692">
        <f t="shared" ref="X39" si="25">R39+1</f>
        <v>46205</v>
      </c>
      <c r="Y39" s="693"/>
      <c r="Z39" s="693"/>
      <c r="AA39" s="693"/>
      <c r="AB39" s="693"/>
      <c r="AC39" s="694"/>
      <c r="AD39" s="692">
        <f t="shared" ref="AD39" si="26">X39+1</f>
        <v>46206</v>
      </c>
      <c r="AE39" s="693"/>
      <c r="AF39" s="693"/>
      <c r="AG39" s="693"/>
      <c r="AH39" s="693"/>
      <c r="AI39" s="694"/>
      <c r="AJ39" s="695">
        <f t="shared" ref="AJ39" si="27">AD39+1</f>
        <v>46207</v>
      </c>
      <c r="AK39" s="696"/>
      <c r="AL39" s="696"/>
      <c r="AM39" s="696"/>
      <c r="AN39" s="696"/>
      <c r="AO39" s="697"/>
      <c r="AP39" s="695">
        <f t="shared" ref="AP39" si="28">AJ39+1</f>
        <v>46208</v>
      </c>
      <c r="AQ39" s="696"/>
      <c r="AR39" s="696"/>
      <c r="AS39" s="696"/>
      <c r="AT39" s="696"/>
      <c r="AU39" s="697"/>
    </row>
    <row r="40" spans="2:47" ht="19" customHeight="1">
      <c r="B40" s="755"/>
      <c r="C40" s="756"/>
      <c r="D40" s="760"/>
      <c r="E40" s="763"/>
      <c r="F40" s="747" t="s">
        <v>350</v>
      </c>
      <c r="G40" s="748"/>
      <c r="H40" s="748"/>
      <c r="I40" s="748"/>
      <c r="J40" s="748"/>
      <c r="K40" s="749"/>
      <c r="L40" s="750" t="s">
        <v>357</v>
      </c>
      <c r="M40" s="748"/>
      <c r="N40" s="748"/>
      <c r="O40" s="748"/>
      <c r="P40" s="748"/>
      <c r="Q40" s="751"/>
      <c r="R40" s="752" t="s">
        <v>358</v>
      </c>
      <c r="S40" s="748"/>
      <c r="T40" s="748"/>
      <c r="U40" s="748"/>
      <c r="V40" s="748"/>
      <c r="W40" s="751"/>
      <c r="X40" s="752" t="s">
        <v>359</v>
      </c>
      <c r="Y40" s="748"/>
      <c r="Z40" s="748"/>
      <c r="AA40" s="748"/>
      <c r="AB40" s="748"/>
      <c r="AC40" s="749"/>
      <c r="AD40" s="750" t="s">
        <v>360</v>
      </c>
      <c r="AE40" s="748"/>
      <c r="AF40" s="748"/>
      <c r="AG40" s="748"/>
      <c r="AH40" s="748"/>
      <c r="AI40" s="749"/>
      <c r="AJ40" s="741" t="s">
        <v>361</v>
      </c>
      <c r="AK40" s="742"/>
      <c r="AL40" s="742"/>
      <c r="AM40" s="742"/>
      <c r="AN40" s="742"/>
      <c r="AO40" s="743"/>
      <c r="AP40" s="741" t="s">
        <v>362</v>
      </c>
      <c r="AQ40" s="742"/>
      <c r="AR40" s="742"/>
      <c r="AS40" s="742"/>
      <c r="AT40" s="742"/>
      <c r="AU40" s="743"/>
    </row>
    <row r="41" spans="2:47" s="402" customFormat="1" ht="16" customHeight="1">
      <c r="B41" s="757"/>
      <c r="C41" s="758"/>
      <c r="D41" s="761"/>
      <c r="E41" s="764"/>
      <c r="F41" s="447" t="s">
        <v>351</v>
      </c>
      <c r="G41" s="447" t="s">
        <v>352</v>
      </c>
      <c r="H41" s="447" t="s">
        <v>353</v>
      </c>
      <c r="I41" s="447" t="s">
        <v>354</v>
      </c>
      <c r="J41" s="447" t="s">
        <v>355</v>
      </c>
      <c r="K41" s="448" t="s">
        <v>356</v>
      </c>
      <c r="L41" s="447" t="s">
        <v>351</v>
      </c>
      <c r="M41" s="447" t="s">
        <v>352</v>
      </c>
      <c r="N41" s="447" t="s">
        <v>353</v>
      </c>
      <c r="O41" s="447" t="s">
        <v>354</v>
      </c>
      <c r="P41" s="447" t="s">
        <v>355</v>
      </c>
      <c r="Q41" s="449" t="s">
        <v>356</v>
      </c>
      <c r="R41" s="450" t="s">
        <v>351</v>
      </c>
      <c r="S41" s="447" t="s">
        <v>352</v>
      </c>
      <c r="T41" s="447" t="s">
        <v>353</v>
      </c>
      <c r="U41" s="447" t="s">
        <v>354</v>
      </c>
      <c r="V41" s="447" t="s">
        <v>355</v>
      </c>
      <c r="W41" s="449" t="s">
        <v>356</v>
      </c>
      <c r="X41" s="450" t="s">
        <v>351</v>
      </c>
      <c r="Y41" s="447" t="s">
        <v>352</v>
      </c>
      <c r="Z41" s="447" t="s">
        <v>353</v>
      </c>
      <c r="AA41" s="447" t="s">
        <v>354</v>
      </c>
      <c r="AB41" s="447" t="s">
        <v>355</v>
      </c>
      <c r="AC41" s="448" t="s">
        <v>356</v>
      </c>
      <c r="AD41" s="447" t="s">
        <v>351</v>
      </c>
      <c r="AE41" s="447" t="s">
        <v>352</v>
      </c>
      <c r="AF41" s="447" t="s">
        <v>353</v>
      </c>
      <c r="AG41" s="447" t="s">
        <v>354</v>
      </c>
      <c r="AH41" s="447" t="s">
        <v>355</v>
      </c>
      <c r="AI41" s="448" t="s">
        <v>356</v>
      </c>
      <c r="AJ41" s="451" t="s">
        <v>351</v>
      </c>
      <c r="AK41" s="451" t="s">
        <v>352</v>
      </c>
      <c r="AL41" s="451" t="s">
        <v>353</v>
      </c>
      <c r="AM41" s="451" t="s">
        <v>354</v>
      </c>
      <c r="AN41" s="451" t="s">
        <v>355</v>
      </c>
      <c r="AO41" s="452" t="s">
        <v>356</v>
      </c>
      <c r="AP41" s="451" t="s">
        <v>351</v>
      </c>
      <c r="AQ41" s="451" t="s">
        <v>352</v>
      </c>
      <c r="AR41" s="451" t="s">
        <v>353</v>
      </c>
      <c r="AS41" s="451" t="s">
        <v>354</v>
      </c>
      <c r="AT41" s="451" t="s">
        <v>355</v>
      </c>
      <c r="AU41" s="452" t="s">
        <v>356</v>
      </c>
    </row>
    <row r="42" spans="2:47" ht="22" customHeight="1">
      <c r="B42" s="707" t="s">
        <v>307</v>
      </c>
      <c r="C42" s="683" t="s">
        <v>305</v>
      </c>
      <c r="D42" s="409" t="s">
        <v>292</v>
      </c>
      <c r="E42" s="439">
        <f>SUM(F42:AU42)</f>
        <v>53.5</v>
      </c>
      <c r="F42" s="429"/>
      <c r="G42" s="427"/>
      <c r="H42" s="427"/>
      <c r="I42" s="427">
        <v>3</v>
      </c>
      <c r="J42" s="427">
        <v>3</v>
      </c>
      <c r="K42" s="428">
        <v>0.5</v>
      </c>
      <c r="L42" s="429">
        <v>1</v>
      </c>
      <c r="M42" s="427">
        <v>3</v>
      </c>
      <c r="N42" s="427">
        <v>3</v>
      </c>
      <c r="O42" s="427">
        <v>3</v>
      </c>
      <c r="P42" s="427"/>
      <c r="Q42" s="430"/>
      <c r="R42" s="738" t="s">
        <v>435</v>
      </c>
      <c r="S42" s="739"/>
      <c r="T42" s="739"/>
      <c r="U42" s="739"/>
      <c r="V42" s="739"/>
      <c r="W42" s="740"/>
      <c r="X42" s="429">
        <v>1</v>
      </c>
      <c r="Y42" s="427">
        <v>3</v>
      </c>
      <c r="Z42" s="427">
        <v>3</v>
      </c>
      <c r="AA42" s="427">
        <v>3</v>
      </c>
      <c r="AB42" s="427">
        <v>3</v>
      </c>
      <c r="AC42" s="431">
        <v>0.5</v>
      </c>
      <c r="AD42" s="432">
        <v>1</v>
      </c>
      <c r="AE42" s="427">
        <v>3</v>
      </c>
      <c r="AF42" s="427">
        <v>3</v>
      </c>
      <c r="AG42" s="427">
        <v>3</v>
      </c>
      <c r="AH42" s="427"/>
      <c r="AI42" s="428"/>
      <c r="AJ42" s="432"/>
      <c r="AK42" s="427">
        <v>3</v>
      </c>
      <c r="AL42" s="427"/>
      <c r="AM42" s="427">
        <v>3</v>
      </c>
      <c r="AN42" s="427">
        <v>3</v>
      </c>
      <c r="AO42" s="431">
        <v>0.5</v>
      </c>
      <c r="AP42" s="432">
        <v>1</v>
      </c>
      <c r="AQ42" s="427">
        <v>3</v>
      </c>
      <c r="AR42" s="427"/>
      <c r="AS42" s="427"/>
      <c r="AT42" s="427"/>
      <c r="AU42" s="433"/>
    </row>
    <row r="43" spans="2:47" ht="22" customHeight="1">
      <c r="B43" s="708"/>
      <c r="C43" s="684"/>
      <c r="D43" s="410" t="s">
        <v>288</v>
      </c>
      <c r="E43" s="440">
        <f t="shared" ref="E43:E45" si="29">SUM(F43:AU43)</f>
        <v>7</v>
      </c>
      <c r="F43" s="436"/>
      <c r="G43" s="434"/>
      <c r="H43" s="434"/>
      <c r="I43" s="434"/>
      <c r="J43" s="434"/>
      <c r="K43" s="435"/>
      <c r="L43" s="436"/>
      <c r="M43" s="434"/>
      <c r="N43" s="434"/>
      <c r="O43" s="434"/>
      <c r="P43" s="434"/>
      <c r="Q43" s="411"/>
      <c r="R43" s="436"/>
      <c r="S43" s="434"/>
      <c r="T43" s="434"/>
      <c r="U43" s="434"/>
      <c r="V43" s="434"/>
      <c r="W43" s="411"/>
      <c r="X43" s="436"/>
      <c r="Y43" s="434"/>
      <c r="Z43" s="434"/>
      <c r="AA43" s="434"/>
      <c r="AB43" s="434"/>
      <c r="AC43" s="435"/>
      <c r="AD43" s="437"/>
      <c r="AE43" s="434"/>
      <c r="AF43" s="434"/>
      <c r="AG43" s="434"/>
      <c r="AH43" s="434"/>
      <c r="AI43" s="435"/>
      <c r="AJ43" s="437"/>
      <c r="AK43" s="434"/>
      <c r="AL43" s="434"/>
      <c r="AM43" s="434"/>
      <c r="AN43" s="434"/>
      <c r="AO43" s="435"/>
      <c r="AP43" s="437"/>
      <c r="AQ43" s="434"/>
      <c r="AR43" s="434"/>
      <c r="AS43" s="434">
        <v>3</v>
      </c>
      <c r="AT43" s="434">
        <v>3</v>
      </c>
      <c r="AU43" s="438">
        <v>1</v>
      </c>
    </row>
    <row r="44" spans="2:47" ht="22" customHeight="1">
      <c r="B44" s="681" t="s">
        <v>557</v>
      </c>
      <c r="C44" s="683" t="s">
        <v>306</v>
      </c>
      <c r="D44" s="409" t="s">
        <v>292</v>
      </c>
      <c r="E44" s="439">
        <f t="shared" si="29"/>
        <v>50</v>
      </c>
      <c r="F44" s="429"/>
      <c r="G44" s="427"/>
      <c r="H44" s="427"/>
      <c r="I44" s="427">
        <v>3</v>
      </c>
      <c r="J44" s="427">
        <v>3</v>
      </c>
      <c r="K44" s="428">
        <v>0.5</v>
      </c>
      <c r="L44" s="429"/>
      <c r="M44" s="427"/>
      <c r="N44" s="427"/>
      <c r="O44" s="427">
        <v>3</v>
      </c>
      <c r="P44" s="427">
        <v>3</v>
      </c>
      <c r="Q44" s="430">
        <v>0.5</v>
      </c>
      <c r="R44" s="429">
        <v>1</v>
      </c>
      <c r="S44" s="427">
        <v>3</v>
      </c>
      <c r="T44" s="427">
        <v>3</v>
      </c>
      <c r="U44" s="427"/>
      <c r="V44" s="427"/>
      <c r="W44" s="430"/>
      <c r="X44" s="429"/>
      <c r="Y44" s="427"/>
      <c r="Z44" s="427"/>
      <c r="AA44" s="427">
        <v>3</v>
      </c>
      <c r="AB44" s="427">
        <v>3</v>
      </c>
      <c r="AC44" s="431">
        <v>0.5</v>
      </c>
      <c r="AD44" s="432">
        <v>1</v>
      </c>
      <c r="AE44" s="427">
        <v>3</v>
      </c>
      <c r="AF44" s="427">
        <v>3</v>
      </c>
      <c r="AG44" s="427"/>
      <c r="AH44" s="427"/>
      <c r="AI44" s="428"/>
      <c r="AJ44" s="432"/>
      <c r="AK44" s="427"/>
      <c r="AL44" s="427"/>
      <c r="AM44" s="427">
        <v>3</v>
      </c>
      <c r="AN44" s="427">
        <v>3</v>
      </c>
      <c r="AO44" s="431">
        <v>0.5</v>
      </c>
      <c r="AP44" s="432">
        <v>1</v>
      </c>
      <c r="AQ44" s="427">
        <v>3</v>
      </c>
      <c r="AR44" s="427">
        <v>3</v>
      </c>
      <c r="AS44" s="427">
        <v>3</v>
      </c>
      <c r="AT44" s="427"/>
      <c r="AU44" s="433"/>
    </row>
    <row r="45" spans="2:47" ht="22" customHeight="1">
      <c r="B45" s="682"/>
      <c r="C45" s="684" t="s">
        <v>306</v>
      </c>
      <c r="D45" s="410" t="s">
        <v>288</v>
      </c>
      <c r="E45" s="440">
        <f t="shared" si="29"/>
        <v>51</v>
      </c>
      <c r="F45" s="436"/>
      <c r="G45" s="434"/>
      <c r="H45" s="434"/>
      <c r="I45" s="434">
        <v>3</v>
      </c>
      <c r="J45" s="434">
        <v>3</v>
      </c>
      <c r="K45" s="435">
        <v>1</v>
      </c>
      <c r="L45" s="436">
        <v>1</v>
      </c>
      <c r="M45" s="434">
        <v>3</v>
      </c>
      <c r="N45" s="434">
        <v>3</v>
      </c>
      <c r="O45" s="434"/>
      <c r="P45" s="434"/>
      <c r="Q45" s="411"/>
      <c r="R45" s="436"/>
      <c r="S45" s="434"/>
      <c r="T45" s="434"/>
      <c r="U45" s="434">
        <v>3</v>
      </c>
      <c r="V45" s="434">
        <v>3</v>
      </c>
      <c r="W45" s="411">
        <v>1</v>
      </c>
      <c r="X45" s="436">
        <v>1</v>
      </c>
      <c r="Y45" s="434">
        <v>3</v>
      </c>
      <c r="Z45" s="434">
        <v>3</v>
      </c>
      <c r="AA45" s="434"/>
      <c r="AB45" s="434"/>
      <c r="AC45" s="435"/>
      <c r="AD45" s="437"/>
      <c r="AE45" s="434"/>
      <c r="AF45" s="434"/>
      <c r="AG45" s="434">
        <v>3</v>
      </c>
      <c r="AH45" s="434">
        <v>3</v>
      </c>
      <c r="AI45" s="435">
        <v>1</v>
      </c>
      <c r="AJ45" s="437">
        <v>1</v>
      </c>
      <c r="AK45" s="434">
        <v>2</v>
      </c>
      <c r="AL45" s="434"/>
      <c r="AM45" s="434">
        <v>3</v>
      </c>
      <c r="AN45" s="434">
        <v>3</v>
      </c>
      <c r="AO45" s="435"/>
      <c r="AP45" s="437"/>
      <c r="AQ45" s="434"/>
      <c r="AR45" s="434"/>
      <c r="AS45" s="434">
        <v>3</v>
      </c>
      <c r="AT45" s="434">
        <v>3</v>
      </c>
      <c r="AU45" s="438">
        <v>1</v>
      </c>
    </row>
    <row r="49" spans="27:27">
      <c r="AA49" s="587"/>
    </row>
  </sheetData>
  <mergeCells count="113">
    <mergeCell ref="C15:C16"/>
    <mergeCell ref="B15:B16"/>
    <mergeCell ref="B12:C14"/>
    <mergeCell ref="B21:C23"/>
    <mergeCell ref="D21:D23"/>
    <mergeCell ref="E21:E23"/>
    <mergeCell ref="L21:Q21"/>
    <mergeCell ref="R21:W21"/>
    <mergeCell ref="F21:K21"/>
    <mergeCell ref="D12:D14"/>
    <mergeCell ref="E12:E14"/>
    <mergeCell ref="F12:K12"/>
    <mergeCell ref="L12:Q12"/>
    <mergeCell ref="R12:W12"/>
    <mergeCell ref="F15:G15"/>
    <mergeCell ref="H17:K17"/>
    <mergeCell ref="AP40:AU40"/>
    <mergeCell ref="B42:B43"/>
    <mergeCell ref="C42:C43"/>
    <mergeCell ref="B38:AU38"/>
    <mergeCell ref="F40:K40"/>
    <mergeCell ref="L40:Q40"/>
    <mergeCell ref="R40:W40"/>
    <mergeCell ref="X40:AC40"/>
    <mergeCell ref="AD40:AI40"/>
    <mergeCell ref="AJ40:AO40"/>
    <mergeCell ref="F39:K39"/>
    <mergeCell ref="B39:C41"/>
    <mergeCell ref="D39:D41"/>
    <mergeCell ref="E39:E41"/>
    <mergeCell ref="AP39:AU39"/>
    <mergeCell ref="R42:W42"/>
    <mergeCell ref="B33:B34"/>
    <mergeCell ref="L39:Q39"/>
    <mergeCell ref="R39:W39"/>
    <mergeCell ref="X39:AC39"/>
    <mergeCell ref="AD39:AI39"/>
    <mergeCell ref="AJ39:AO39"/>
    <mergeCell ref="F31:K31"/>
    <mergeCell ref="L31:Q31"/>
    <mergeCell ref="R31:W31"/>
    <mergeCell ref="X31:AC31"/>
    <mergeCell ref="AD31:AI31"/>
    <mergeCell ref="AJ31:AO31"/>
    <mergeCell ref="C33:C34"/>
    <mergeCell ref="B30:C32"/>
    <mergeCell ref="D30:D32"/>
    <mergeCell ref="E30:E32"/>
    <mergeCell ref="R33:W33"/>
    <mergeCell ref="AJ22:AO22"/>
    <mergeCell ref="AP22:AU22"/>
    <mergeCell ref="AP21:AU21"/>
    <mergeCell ref="F30:K30"/>
    <mergeCell ref="L30:Q30"/>
    <mergeCell ref="R30:W30"/>
    <mergeCell ref="X30:AC30"/>
    <mergeCell ref="AD30:AI30"/>
    <mergeCell ref="AJ30:AO30"/>
    <mergeCell ref="AP30:AU30"/>
    <mergeCell ref="X21:AC21"/>
    <mergeCell ref="AD21:AI21"/>
    <mergeCell ref="AJ21:AO21"/>
    <mergeCell ref="B29:AU29"/>
    <mergeCell ref="B24:B25"/>
    <mergeCell ref="C24:C25"/>
    <mergeCell ref="L22:Q22"/>
    <mergeCell ref="R22:W22"/>
    <mergeCell ref="X22:AC22"/>
    <mergeCell ref="AD22:AI22"/>
    <mergeCell ref="B2:AU2"/>
    <mergeCell ref="B6:B7"/>
    <mergeCell ref="C6:C7"/>
    <mergeCell ref="F4:K4"/>
    <mergeCell ref="AP4:AU4"/>
    <mergeCell ref="L4:Q4"/>
    <mergeCell ref="R4:W4"/>
    <mergeCell ref="X4:AC4"/>
    <mergeCell ref="AD4:AI4"/>
    <mergeCell ref="F3:K3"/>
    <mergeCell ref="L3:Q3"/>
    <mergeCell ref="R3:W3"/>
    <mergeCell ref="X3:AC3"/>
    <mergeCell ref="AD3:AI3"/>
    <mergeCell ref="AJ3:AO3"/>
    <mergeCell ref="AP3:AU3"/>
    <mergeCell ref="AJ4:AO4"/>
    <mergeCell ref="E4:E5"/>
    <mergeCell ref="D4:D5"/>
    <mergeCell ref="B4:C5"/>
    <mergeCell ref="B8:B9"/>
    <mergeCell ref="B17:B18"/>
    <mergeCell ref="B26:B27"/>
    <mergeCell ref="B35:B36"/>
    <mergeCell ref="B44:B45"/>
    <mergeCell ref="C17:C18"/>
    <mergeCell ref="C26:C27"/>
    <mergeCell ref="C35:C36"/>
    <mergeCell ref="C44:C45"/>
    <mergeCell ref="B11:AU11"/>
    <mergeCell ref="AJ13:AO13"/>
    <mergeCell ref="AD12:AI12"/>
    <mergeCell ref="AJ12:AO12"/>
    <mergeCell ref="AP12:AU12"/>
    <mergeCell ref="X13:AC13"/>
    <mergeCell ref="AD13:AI13"/>
    <mergeCell ref="X12:AC12"/>
    <mergeCell ref="AP13:AU13"/>
    <mergeCell ref="F13:K13"/>
    <mergeCell ref="L13:Q13"/>
    <mergeCell ref="R13:W13"/>
    <mergeCell ref="AP31:AU31"/>
    <mergeCell ref="B20:AU20"/>
    <mergeCell ref="F22:K22"/>
  </mergeCells>
  <phoneticPr fontId="45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DC378-82AC-C640-A59D-361B966E7732}">
  <sheetPr codeName="Sheet7"/>
  <dimension ref="A1:K51"/>
  <sheetViews>
    <sheetView topLeftCell="A8" workbookViewId="0">
      <selection activeCell="A34" sqref="A34:K50"/>
    </sheetView>
  </sheetViews>
  <sheetFormatPr baseColWidth="10" defaultRowHeight="16"/>
  <cols>
    <col min="1" max="1" width="8.6640625" customWidth="1"/>
    <col min="2" max="2" width="29.6640625" bestFit="1" customWidth="1"/>
    <col min="3" max="3" width="10.33203125" bestFit="1" customWidth="1"/>
    <col min="4" max="5" width="12.1640625" bestFit="1" customWidth="1"/>
    <col min="6" max="7" width="18.1640625" bestFit="1" customWidth="1"/>
    <col min="8" max="8" width="21.6640625" bestFit="1" customWidth="1"/>
    <col min="9" max="9" width="8.83203125" bestFit="1" customWidth="1"/>
    <col min="10" max="10" width="12" bestFit="1" customWidth="1"/>
    <col min="11" max="11" width="18" bestFit="1" customWidth="1"/>
  </cols>
  <sheetData>
    <row r="1" spans="1:11">
      <c r="A1" s="12"/>
      <c r="B1" s="13" t="s">
        <v>238</v>
      </c>
      <c r="C1" s="13" t="s">
        <v>110</v>
      </c>
      <c r="D1" s="13" t="s">
        <v>18</v>
      </c>
      <c r="E1" s="13" t="s">
        <v>239</v>
      </c>
      <c r="F1" s="13" t="s">
        <v>240</v>
      </c>
      <c r="G1" s="13" t="s">
        <v>241</v>
      </c>
      <c r="H1" s="13" t="s">
        <v>242</v>
      </c>
      <c r="I1" s="13" t="s">
        <v>111</v>
      </c>
      <c r="J1" s="13" t="s">
        <v>348</v>
      </c>
      <c r="K1" s="13" t="s">
        <v>414</v>
      </c>
    </row>
    <row r="2" spans="1:11">
      <c r="A2" s="12"/>
      <c r="B2" s="12" t="s">
        <v>20</v>
      </c>
      <c r="C2" s="12">
        <v>279</v>
      </c>
      <c r="D2" s="48">
        <v>1280.26</v>
      </c>
      <c r="E2" s="48">
        <v>5376</v>
      </c>
      <c r="F2" s="12">
        <v>236.39</v>
      </c>
      <c r="G2" s="228">
        <v>0.24</v>
      </c>
      <c r="H2" s="229">
        <v>0.22</v>
      </c>
      <c r="I2" s="12">
        <v>3.7</v>
      </c>
      <c r="J2" s="12">
        <v>116</v>
      </c>
      <c r="K2" s="227">
        <v>0.1129</v>
      </c>
    </row>
    <row r="3" spans="1:11">
      <c r="A3" s="963"/>
      <c r="B3" s="12" t="s">
        <v>243</v>
      </c>
      <c r="C3" s="12">
        <v>44</v>
      </c>
      <c r="D3" s="12">
        <v>460.39</v>
      </c>
      <c r="E3" s="48">
        <v>1581.01</v>
      </c>
      <c r="F3" s="12">
        <v>103.17</v>
      </c>
      <c r="G3" s="228">
        <v>0.28999999999999998</v>
      </c>
      <c r="H3" s="229">
        <v>0.47</v>
      </c>
      <c r="I3" s="12">
        <v>9.8699999999999992</v>
      </c>
      <c r="J3" s="12">
        <v>88</v>
      </c>
      <c r="K3" s="227">
        <v>0.20169999999999999</v>
      </c>
    </row>
    <row r="4" spans="1:11">
      <c r="A4" s="963"/>
      <c r="B4" s="12" t="s">
        <v>244</v>
      </c>
      <c r="C4" s="12">
        <v>96</v>
      </c>
      <c r="D4" s="12">
        <v>391.75</v>
      </c>
      <c r="E4" s="48">
        <v>1602.83</v>
      </c>
      <c r="F4" s="12">
        <v>85.9</v>
      </c>
      <c r="G4" s="228">
        <v>0.24</v>
      </c>
      <c r="H4" s="32">
        <v>-0.09</v>
      </c>
      <c r="I4" s="12">
        <v>2.1800000000000002</v>
      </c>
      <c r="J4" s="12">
        <v>18</v>
      </c>
      <c r="K4" s="227">
        <v>8.4199999999999997E-2</v>
      </c>
    </row>
    <row r="5" spans="1:11">
      <c r="A5" s="963"/>
      <c r="B5" s="12" t="s">
        <v>255</v>
      </c>
      <c r="C5" s="12">
        <v>70</v>
      </c>
      <c r="D5" s="12">
        <v>181.8</v>
      </c>
      <c r="E5" s="12">
        <v>123.18</v>
      </c>
      <c r="F5" s="12">
        <v>1.82</v>
      </c>
      <c r="G5" s="229">
        <v>1.48</v>
      </c>
      <c r="H5" s="229">
        <v>46.92</v>
      </c>
      <c r="I5" s="12">
        <v>2.6</v>
      </c>
      <c r="J5" s="12">
        <v>11</v>
      </c>
      <c r="K5" s="227">
        <v>6.2100000000000002E-2</v>
      </c>
    </row>
    <row r="6" spans="1:11">
      <c r="A6" s="963"/>
      <c r="B6" s="12" t="s">
        <v>246</v>
      </c>
      <c r="C6" s="12">
        <v>9</v>
      </c>
      <c r="D6" s="12">
        <v>105.41</v>
      </c>
      <c r="E6" s="12">
        <v>962.98</v>
      </c>
      <c r="F6" s="12">
        <v>18.97</v>
      </c>
      <c r="G6" s="228">
        <v>0.11</v>
      </c>
      <c r="H6" s="32">
        <v>-0.34</v>
      </c>
      <c r="I6" s="12">
        <v>11.71</v>
      </c>
      <c r="J6" s="12">
        <v>0</v>
      </c>
      <c r="K6" s="227">
        <v>0</v>
      </c>
    </row>
    <row r="7" spans="1:11">
      <c r="A7" s="963"/>
      <c r="B7" s="12" t="s">
        <v>247</v>
      </c>
      <c r="C7" s="12">
        <v>8</v>
      </c>
      <c r="D7" s="12">
        <v>63.35</v>
      </c>
      <c r="E7" s="12">
        <v>472.75</v>
      </c>
      <c r="F7" s="12">
        <v>10.19</v>
      </c>
      <c r="G7" s="228">
        <v>0.13</v>
      </c>
      <c r="H7" s="229">
        <v>11.22</v>
      </c>
      <c r="I7" s="12">
        <v>7.92</v>
      </c>
      <c r="J7" s="12">
        <v>0</v>
      </c>
      <c r="K7" s="227">
        <v>0</v>
      </c>
    </row>
    <row r="8" spans="1:11">
      <c r="A8" s="963"/>
      <c r="B8" s="12" t="s">
        <v>245</v>
      </c>
      <c r="C8" s="12">
        <v>1</v>
      </c>
      <c r="D8" s="12">
        <v>20.54</v>
      </c>
      <c r="E8" s="12">
        <v>188.75</v>
      </c>
      <c r="F8" s="12">
        <v>2.4700000000000002</v>
      </c>
      <c r="G8" s="228">
        <v>0.11</v>
      </c>
      <c r="H8" s="32">
        <v>-0.72</v>
      </c>
      <c r="I8" s="12">
        <v>17.12</v>
      </c>
      <c r="J8" s="12">
        <v>0</v>
      </c>
      <c r="K8" s="227">
        <v>0</v>
      </c>
    </row>
    <row r="9" spans="1:11">
      <c r="A9" s="963"/>
      <c r="B9" s="12" t="s">
        <v>248</v>
      </c>
      <c r="C9" s="12">
        <v>28</v>
      </c>
      <c r="D9" s="12">
        <v>32.19</v>
      </c>
      <c r="E9" s="12">
        <v>151.41999999999999</v>
      </c>
      <c r="F9" s="12">
        <v>8.0500000000000007</v>
      </c>
      <c r="G9" s="228">
        <v>0.21</v>
      </c>
      <c r="H9" s="32">
        <v>-0.04</v>
      </c>
      <c r="I9" s="12">
        <v>0.35</v>
      </c>
      <c r="J9" s="12">
        <v>0</v>
      </c>
      <c r="K9" s="227">
        <v>0</v>
      </c>
    </row>
    <row r="10" spans="1:11">
      <c r="A10" s="963"/>
      <c r="B10" s="12" t="s">
        <v>256</v>
      </c>
      <c r="C10" s="12">
        <v>2</v>
      </c>
      <c r="D10" s="12">
        <v>16.260000000000002</v>
      </c>
      <c r="E10" s="12">
        <v>7.35</v>
      </c>
      <c r="F10" s="12">
        <v>4.0599999999999996</v>
      </c>
      <c r="G10" s="229">
        <v>2.21</v>
      </c>
      <c r="H10" s="32">
        <v>-0.34</v>
      </c>
      <c r="I10" s="12">
        <v>4.0599999999999996</v>
      </c>
      <c r="J10" s="12">
        <v>0</v>
      </c>
      <c r="K10" s="227">
        <v>0</v>
      </c>
    </row>
    <row r="11" spans="1:11">
      <c r="A11" s="963"/>
      <c r="B11" s="12" t="s">
        <v>261</v>
      </c>
      <c r="C11" s="12">
        <v>1</v>
      </c>
      <c r="D11" s="12">
        <v>3.31</v>
      </c>
      <c r="E11" s="12">
        <v>43.61</v>
      </c>
      <c r="F11" s="12">
        <v>0.59</v>
      </c>
      <c r="G11" s="228">
        <v>0.08</v>
      </c>
      <c r="H11" s="32">
        <v>0</v>
      </c>
      <c r="I11" s="12">
        <v>1.1000000000000001</v>
      </c>
      <c r="J11" s="12">
        <v>0</v>
      </c>
      <c r="K11" s="227">
        <v>0</v>
      </c>
    </row>
    <row r="12" spans="1:11">
      <c r="A12" s="963"/>
      <c r="B12" s="12" t="s">
        <v>249</v>
      </c>
      <c r="C12" s="12">
        <v>13</v>
      </c>
      <c r="D12" s="12">
        <v>0.93</v>
      </c>
      <c r="E12" s="12">
        <v>71.819999999999993</v>
      </c>
      <c r="F12" s="12">
        <v>0.05</v>
      </c>
      <c r="G12" s="228">
        <v>0.01</v>
      </c>
      <c r="H12" s="229">
        <v>4.67</v>
      </c>
      <c r="I12" s="12">
        <v>7.0000000000000007E-2</v>
      </c>
      <c r="J12" s="12">
        <v>0</v>
      </c>
      <c r="K12" s="227">
        <v>0</v>
      </c>
    </row>
    <row r="13" spans="1:11">
      <c r="A13" s="963"/>
      <c r="B13" s="12" t="s">
        <v>251</v>
      </c>
      <c r="C13" s="12">
        <v>1</v>
      </c>
      <c r="D13" s="12">
        <v>1.78</v>
      </c>
      <c r="E13" s="12">
        <v>71.87</v>
      </c>
      <c r="F13" s="12">
        <v>0.36</v>
      </c>
      <c r="G13" s="228">
        <v>0.02</v>
      </c>
      <c r="H13" s="229">
        <v>0.72</v>
      </c>
      <c r="I13" s="12">
        <v>0.33</v>
      </c>
      <c r="J13" s="12">
        <v>0</v>
      </c>
      <c r="K13" s="227">
        <v>0</v>
      </c>
    </row>
    <row r="14" spans="1:11">
      <c r="A14" s="963"/>
      <c r="B14" s="12" t="s">
        <v>254</v>
      </c>
      <c r="C14" s="12">
        <v>1</v>
      </c>
      <c r="D14" s="12">
        <v>0.33</v>
      </c>
      <c r="E14" s="12">
        <v>43.98</v>
      </c>
      <c r="F14" s="12">
        <v>7.0000000000000007E-2</v>
      </c>
      <c r="G14" s="228">
        <v>0.01</v>
      </c>
      <c r="H14" s="32">
        <v>0</v>
      </c>
      <c r="I14" s="12">
        <v>0.11</v>
      </c>
      <c r="J14" s="12">
        <v>0</v>
      </c>
      <c r="K14" s="227">
        <v>0</v>
      </c>
    </row>
    <row r="15" spans="1:11">
      <c r="A15" s="963"/>
      <c r="B15" s="12" t="s">
        <v>258</v>
      </c>
      <c r="C15" s="12">
        <v>3</v>
      </c>
      <c r="D15" s="12">
        <v>0.05</v>
      </c>
      <c r="E15" s="12">
        <v>34.25</v>
      </c>
      <c r="F15" s="12">
        <v>0.05</v>
      </c>
      <c r="G15" s="228">
        <v>0</v>
      </c>
      <c r="H15" s="229">
        <v>2.67</v>
      </c>
      <c r="I15" s="12">
        <v>0.02</v>
      </c>
      <c r="J15" s="12">
        <v>0</v>
      </c>
      <c r="K15" s="227">
        <v>0</v>
      </c>
    </row>
    <row r="16" spans="1:11">
      <c r="A16" s="963"/>
      <c r="B16" s="12" t="s">
        <v>253</v>
      </c>
      <c r="C16" s="12">
        <v>0</v>
      </c>
      <c r="D16" s="12">
        <v>0</v>
      </c>
      <c r="E16" s="12">
        <v>2.8</v>
      </c>
      <c r="F16" s="12">
        <v>0</v>
      </c>
      <c r="G16" s="228">
        <v>0</v>
      </c>
      <c r="H16" s="32">
        <v>0</v>
      </c>
      <c r="I16" s="12">
        <v>0</v>
      </c>
      <c r="J16" s="12">
        <v>0</v>
      </c>
      <c r="K16" s="227">
        <v>0</v>
      </c>
    </row>
    <row r="17" spans="1:11">
      <c r="A17" s="963"/>
      <c r="B17" s="12" t="s">
        <v>252</v>
      </c>
      <c r="C17" s="12">
        <v>0</v>
      </c>
      <c r="D17" s="12">
        <v>0</v>
      </c>
      <c r="E17" s="12">
        <v>7.53</v>
      </c>
      <c r="F17" s="12">
        <v>0</v>
      </c>
      <c r="G17" s="228">
        <v>0</v>
      </c>
      <c r="H17" s="32">
        <v>0</v>
      </c>
      <c r="I17" s="12">
        <v>0</v>
      </c>
      <c r="J17" s="12">
        <v>0</v>
      </c>
      <c r="K17" s="227">
        <v>0</v>
      </c>
    </row>
    <row r="18" spans="1:11">
      <c r="A18" s="963"/>
      <c r="B18" s="12" t="s">
        <v>257</v>
      </c>
      <c r="C18" s="12">
        <v>0</v>
      </c>
      <c r="D18" s="12">
        <v>0</v>
      </c>
      <c r="E18" s="12">
        <v>0.4</v>
      </c>
      <c r="F18" s="12">
        <v>0</v>
      </c>
      <c r="G18" s="228">
        <v>0</v>
      </c>
      <c r="H18" s="32">
        <v>0</v>
      </c>
      <c r="I18" s="12">
        <v>0</v>
      </c>
      <c r="J18" s="12">
        <v>0</v>
      </c>
      <c r="K18" s="227">
        <v>0</v>
      </c>
    </row>
    <row r="19" spans="1:11">
      <c r="A19" s="963"/>
      <c r="B19" s="12" t="s">
        <v>250</v>
      </c>
      <c r="C19" s="12">
        <v>2</v>
      </c>
      <c r="D19" s="12">
        <v>2.17</v>
      </c>
      <c r="E19" s="12">
        <v>4.7699999999999996</v>
      </c>
      <c r="F19" s="12">
        <v>0.65</v>
      </c>
      <c r="G19" s="228">
        <v>0.45</v>
      </c>
      <c r="H19" s="229">
        <v>1.59</v>
      </c>
      <c r="I19" s="12">
        <v>0</v>
      </c>
      <c r="J19" s="12">
        <v>0</v>
      </c>
      <c r="K19" s="227">
        <v>0</v>
      </c>
    </row>
    <row r="20" spans="1:11">
      <c r="A20" s="963"/>
      <c r="B20" s="12" t="s">
        <v>259</v>
      </c>
      <c r="C20" s="12">
        <v>0</v>
      </c>
      <c r="D20" s="12">
        <v>0</v>
      </c>
      <c r="E20" s="12">
        <v>7.0000000000000007E-2</v>
      </c>
      <c r="F20" s="12">
        <v>0</v>
      </c>
      <c r="G20" s="228">
        <v>0</v>
      </c>
      <c r="H20" s="32">
        <v>0</v>
      </c>
      <c r="I20" s="12">
        <v>0</v>
      </c>
      <c r="J20" s="12">
        <v>0</v>
      </c>
      <c r="K20" s="227">
        <v>0</v>
      </c>
    </row>
    <row r="21" spans="1:11">
      <c r="A21" s="963"/>
      <c r="B21" s="12" t="s">
        <v>260</v>
      </c>
      <c r="C21" s="12">
        <v>0</v>
      </c>
      <c r="D21" s="12">
        <v>0</v>
      </c>
      <c r="E21" s="12">
        <v>4.62</v>
      </c>
      <c r="F21" s="12">
        <v>0</v>
      </c>
      <c r="G21" s="228">
        <v>0</v>
      </c>
      <c r="H21" s="32">
        <v>0</v>
      </c>
      <c r="I21" s="12">
        <v>0</v>
      </c>
      <c r="J21" s="12">
        <v>0</v>
      </c>
      <c r="K21" s="227">
        <v>0</v>
      </c>
    </row>
    <row r="22" spans="1:11">
      <c r="A22" t="s">
        <v>309</v>
      </c>
    </row>
    <row r="31" spans="1:11" ht="37">
      <c r="A31" s="951" t="s">
        <v>345</v>
      </c>
      <c r="B31" s="951"/>
      <c r="C31" s="951"/>
      <c r="D31" s="951"/>
      <c r="E31" s="951"/>
      <c r="F31" s="951"/>
      <c r="G31" s="951"/>
      <c r="H31" s="951"/>
      <c r="I31" s="951"/>
      <c r="J31" s="951"/>
      <c r="K31" s="951"/>
    </row>
    <row r="34" spans="1:11">
      <c r="A34" s="12"/>
      <c r="B34" s="13" t="s">
        <v>238</v>
      </c>
      <c r="C34" s="13" t="s">
        <v>110</v>
      </c>
      <c r="D34" s="13" t="s">
        <v>18</v>
      </c>
      <c r="E34" s="13" t="s">
        <v>239</v>
      </c>
      <c r="F34" s="13" t="s">
        <v>240</v>
      </c>
      <c r="G34" s="13" t="s">
        <v>241</v>
      </c>
      <c r="H34" s="13" t="s">
        <v>242</v>
      </c>
      <c r="I34" s="13" t="s">
        <v>111</v>
      </c>
      <c r="J34" s="13" t="s">
        <v>348</v>
      </c>
      <c r="K34" s="13" t="s">
        <v>414</v>
      </c>
    </row>
    <row r="35" spans="1:11">
      <c r="A35" s="12"/>
      <c r="B35" s="12" t="s">
        <v>20</v>
      </c>
      <c r="C35" s="12">
        <v>188</v>
      </c>
      <c r="D35" s="12">
        <v>565.16999999999996</v>
      </c>
      <c r="E35" s="48">
        <v>4039</v>
      </c>
      <c r="F35" s="12">
        <v>83.89</v>
      </c>
      <c r="G35" s="228">
        <v>0.14000000000000001</v>
      </c>
      <c r="H35" s="32">
        <v>-0.28999999999999998</v>
      </c>
      <c r="I35" s="12">
        <v>2.15</v>
      </c>
      <c r="J35" s="12">
        <v>124</v>
      </c>
      <c r="K35" s="227">
        <v>0.30630000000000002</v>
      </c>
    </row>
    <row r="36" spans="1:11">
      <c r="A36" s="963"/>
      <c r="B36" s="12" t="s">
        <v>247</v>
      </c>
      <c r="C36" s="12">
        <v>34</v>
      </c>
      <c r="D36" s="12">
        <v>363.66</v>
      </c>
      <c r="E36" s="48">
        <v>2663.43</v>
      </c>
      <c r="F36" s="12">
        <v>40.17</v>
      </c>
      <c r="G36" s="228">
        <v>0.14000000000000001</v>
      </c>
      <c r="H36" s="32">
        <v>-0.26</v>
      </c>
      <c r="I36" s="12">
        <v>9.66</v>
      </c>
      <c r="J36" s="12">
        <v>118</v>
      </c>
      <c r="K36" s="227">
        <v>0.35870000000000002</v>
      </c>
    </row>
    <row r="37" spans="1:11">
      <c r="A37" s="963"/>
      <c r="B37" s="12" t="s">
        <v>248</v>
      </c>
      <c r="C37" s="12">
        <v>118</v>
      </c>
      <c r="D37" s="12">
        <v>121.53</v>
      </c>
      <c r="E37" s="12">
        <v>446.46</v>
      </c>
      <c r="F37" s="12">
        <v>30.38</v>
      </c>
      <c r="G37" s="228">
        <v>0.27</v>
      </c>
      <c r="H37" s="229">
        <v>0.5</v>
      </c>
      <c r="I37" s="12">
        <v>0.3</v>
      </c>
      <c r="J37" s="12">
        <v>6</v>
      </c>
      <c r="K37" s="227">
        <v>0.16120000000000001</v>
      </c>
    </row>
    <row r="38" spans="1:11">
      <c r="A38" s="963"/>
      <c r="B38" s="12" t="s">
        <v>245</v>
      </c>
      <c r="C38" s="12">
        <v>1</v>
      </c>
      <c r="D38" s="12">
        <v>24.54</v>
      </c>
      <c r="E38" s="12">
        <v>165.67</v>
      </c>
      <c r="F38" s="12">
        <v>2.95</v>
      </c>
      <c r="G38" s="228">
        <v>0.15</v>
      </c>
      <c r="H38" s="32">
        <v>-0.59</v>
      </c>
      <c r="I38" s="12">
        <v>20.45</v>
      </c>
      <c r="J38" s="12">
        <v>0</v>
      </c>
      <c r="K38" s="227">
        <v>0</v>
      </c>
    </row>
    <row r="39" spans="1:11">
      <c r="A39" s="963"/>
      <c r="B39" s="12" t="s">
        <v>260</v>
      </c>
      <c r="C39" s="12">
        <v>1</v>
      </c>
      <c r="D39" s="12">
        <v>10.199999999999999</v>
      </c>
      <c r="E39" s="12">
        <v>24.92</v>
      </c>
      <c r="F39" s="12">
        <v>1.43</v>
      </c>
      <c r="G39" s="228">
        <v>0.41</v>
      </c>
      <c r="H39" s="32">
        <v>-0.16</v>
      </c>
      <c r="I39" s="12">
        <v>8.5</v>
      </c>
      <c r="J39" s="12">
        <v>0</v>
      </c>
      <c r="K39" s="227">
        <v>0</v>
      </c>
    </row>
    <row r="40" spans="1:11">
      <c r="A40" s="963"/>
      <c r="B40" s="12" t="s">
        <v>251</v>
      </c>
      <c r="C40" s="12">
        <v>8</v>
      </c>
      <c r="D40" s="12">
        <v>30.12</v>
      </c>
      <c r="E40" s="12">
        <v>142.6</v>
      </c>
      <c r="F40" s="12">
        <v>6.02</v>
      </c>
      <c r="G40" s="228">
        <v>0.21</v>
      </c>
      <c r="H40" s="32">
        <v>-0.55000000000000004</v>
      </c>
      <c r="I40" s="12">
        <v>0.69</v>
      </c>
      <c r="J40" s="12">
        <v>0</v>
      </c>
      <c r="K40" s="227">
        <v>0</v>
      </c>
    </row>
    <row r="41" spans="1:11">
      <c r="A41" s="963"/>
      <c r="B41" s="12" t="s">
        <v>261</v>
      </c>
      <c r="C41" s="12">
        <v>1</v>
      </c>
      <c r="D41" s="12">
        <v>8.67</v>
      </c>
      <c r="E41" s="12">
        <v>268.66000000000003</v>
      </c>
      <c r="F41" s="12">
        <v>1.56</v>
      </c>
      <c r="G41" s="228">
        <v>0.03</v>
      </c>
      <c r="H41" s="32">
        <v>-0.83</v>
      </c>
      <c r="I41" s="12">
        <v>2.89</v>
      </c>
      <c r="J41" s="12">
        <v>0</v>
      </c>
      <c r="K41" s="227">
        <v>0</v>
      </c>
    </row>
    <row r="42" spans="1:11">
      <c r="A42" s="963"/>
      <c r="B42" s="12" t="s">
        <v>249</v>
      </c>
      <c r="C42" s="12">
        <v>24</v>
      </c>
      <c r="D42" s="12">
        <v>5.22</v>
      </c>
      <c r="E42" s="12">
        <v>85.13</v>
      </c>
      <c r="F42" s="12">
        <v>1.1499999999999999</v>
      </c>
      <c r="G42" s="228">
        <v>0.06</v>
      </c>
      <c r="H42" s="32">
        <v>-0.47</v>
      </c>
      <c r="I42" s="12">
        <v>7.0000000000000007E-2</v>
      </c>
      <c r="J42" s="12">
        <v>0</v>
      </c>
      <c r="K42" s="227">
        <v>0</v>
      </c>
    </row>
    <row r="43" spans="1:11">
      <c r="A43" s="963"/>
      <c r="B43" s="12" t="s">
        <v>250</v>
      </c>
      <c r="C43" s="12">
        <v>1</v>
      </c>
      <c r="D43" s="12">
        <v>1.22</v>
      </c>
      <c r="E43" s="12">
        <v>7.75</v>
      </c>
      <c r="F43" s="12">
        <v>0.22</v>
      </c>
      <c r="G43" s="228">
        <v>0.16</v>
      </c>
      <c r="H43" s="32">
        <v>-0.37</v>
      </c>
      <c r="I43" s="12">
        <v>0.37</v>
      </c>
      <c r="J43" s="12">
        <v>0</v>
      </c>
      <c r="K43" s="227">
        <v>0</v>
      </c>
    </row>
    <row r="44" spans="1:11">
      <c r="A44" s="963"/>
      <c r="B44" s="12" t="s">
        <v>243</v>
      </c>
      <c r="C44" s="12">
        <v>0</v>
      </c>
      <c r="D44" s="12">
        <v>0</v>
      </c>
      <c r="E44" s="12">
        <v>17.670000000000002</v>
      </c>
      <c r="F44" s="12">
        <v>0</v>
      </c>
      <c r="G44" s="228">
        <v>0</v>
      </c>
      <c r="H44" s="32">
        <v>0</v>
      </c>
      <c r="I44" s="12">
        <v>0</v>
      </c>
      <c r="J44" s="12">
        <v>0</v>
      </c>
      <c r="K44" s="227">
        <v>0</v>
      </c>
    </row>
    <row r="45" spans="1:11">
      <c r="A45" s="963"/>
      <c r="B45" s="12" t="s">
        <v>244</v>
      </c>
      <c r="C45" s="12">
        <v>0</v>
      </c>
      <c r="D45" s="12">
        <v>0</v>
      </c>
      <c r="E45" s="12">
        <v>9.43</v>
      </c>
      <c r="F45" s="12">
        <v>0</v>
      </c>
      <c r="G45" s="228">
        <v>0</v>
      </c>
      <c r="H45" s="32">
        <v>0</v>
      </c>
      <c r="I45" s="12">
        <v>0</v>
      </c>
      <c r="J45" s="12">
        <v>0</v>
      </c>
      <c r="K45" s="227">
        <v>0</v>
      </c>
    </row>
    <row r="46" spans="1:11">
      <c r="A46" s="963"/>
      <c r="B46" s="12" t="s">
        <v>255</v>
      </c>
      <c r="C46" s="12">
        <v>0</v>
      </c>
      <c r="D46" s="12">
        <v>0</v>
      </c>
      <c r="E46" s="12">
        <v>112.41</v>
      </c>
      <c r="F46" s="12">
        <v>0</v>
      </c>
      <c r="G46" s="228">
        <v>0</v>
      </c>
      <c r="H46" s="32">
        <v>-1</v>
      </c>
      <c r="I46" s="12">
        <v>0</v>
      </c>
      <c r="J46" s="12">
        <v>0</v>
      </c>
      <c r="K46" s="227">
        <v>0</v>
      </c>
    </row>
    <row r="47" spans="1:11">
      <c r="A47" s="963"/>
      <c r="B47" s="12" t="s">
        <v>254</v>
      </c>
      <c r="C47" s="12">
        <v>0</v>
      </c>
      <c r="D47" s="12">
        <v>0</v>
      </c>
      <c r="E47" s="12">
        <v>41.68</v>
      </c>
      <c r="F47" s="12">
        <v>0</v>
      </c>
      <c r="G47" s="228">
        <v>0</v>
      </c>
      <c r="H47" s="32">
        <v>-1</v>
      </c>
      <c r="I47" s="12">
        <v>0</v>
      </c>
      <c r="J47" s="12">
        <v>0</v>
      </c>
      <c r="K47" s="227">
        <v>0</v>
      </c>
    </row>
    <row r="48" spans="1:11">
      <c r="A48" s="963"/>
      <c r="B48" s="12" t="s">
        <v>256</v>
      </c>
      <c r="C48" s="12">
        <v>0</v>
      </c>
      <c r="D48" s="12">
        <v>0</v>
      </c>
      <c r="E48" s="12">
        <v>3.5</v>
      </c>
      <c r="F48" s="12">
        <v>0</v>
      </c>
      <c r="G48" s="228">
        <v>0</v>
      </c>
      <c r="H48" s="32">
        <v>0</v>
      </c>
      <c r="I48" s="12">
        <v>0</v>
      </c>
      <c r="J48" s="12">
        <v>0</v>
      </c>
      <c r="K48" s="227">
        <v>0</v>
      </c>
    </row>
    <row r="49" spans="1:11">
      <c r="A49" s="963"/>
      <c r="B49" s="12" t="s">
        <v>257</v>
      </c>
      <c r="C49" s="12">
        <v>0</v>
      </c>
      <c r="D49" s="12">
        <v>0</v>
      </c>
      <c r="E49" s="12">
        <v>0.19</v>
      </c>
      <c r="F49" s="12">
        <v>0</v>
      </c>
      <c r="G49" s="228">
        <v>0</v>
      </c>
      <c r="H49" s="32">
        <v>0</v>
      </c>
      <c r="I49" s="12">
        <v>0</v>
      </c>
      <c r="J49" s="12">
        <v>0</v>
      </c>
      <c r="K49" s="227">
        <v>0</v>
      </c>
    </row>
    <row r="50" spans="1:11">
      <c r="A50" s="963"/>
      <c r="B50" s="12" t="s">
        <v>258</v>
      </c>
      <c r="C50" s="12">
        <v>0</v>
      </c>
      <c r="D50" s="12">
        <v>0</v>
      </c>
      <c r="E50" s="12">
        <v>49.48</v>
      </c>
      <c r="F50" s="12">
        <v>0</v>
      </c>
      <c r="G50" s="228">
        <v>0</v>
      </c>
      <c r="H50" s="32">
        <v>0</v>
      </c>
      <c r="I50" s="12">
        <v>0</v>
      </c>
      <c r="J50" s="12">
        <v>0</v>
      </c>
      <c r="K50" s="227">
        <v>0</v>
      </c>
    </row>
    <row r="51" spans="1:11">
      <c r="A51" t="s">
        <v>309</v>
      </c>
    </row>
  </sheetData>
  <mergeCells count="1">
    <mergeCell ref="A31:K3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6402-C367-3641-9EA4-853AA12BCADA}">
  <sheetPr codeName="Sheet8"/>
  <dimension ref="A1:AJ71"/>
  <sheetViews>
    <sheetView topLeftCell="E1" zoomScale="80" zoomScaleNormal="80" workbookViewId="0">
      <selection activeCell="I11" sqref="I11"/>
    </sheetView>
  </sheetViews>
  <sheetFormatPr baseColWidth="10" defaultColWidth="11" defaultRowHeight="13"/>
  <cols>
    <col min="1" max="1" width="50.83203125" style="22" bestFit="1" customWidth="1"/>
    <col min="2" max="2" width="6.5" style="21" customWidth="1"/>
    <col min="3" max="3" width="42.6640625" style="50" bestFit="1" customWidth="1"/>
    <col min="4" max="4" width="10" style="21" customWidth="1"/>
    <col min="5" max="5" width="13.6640625" style="21" bestFit="1" customWidth="1"/>
    <col min="6" max="7" width="11" style="21"/>
    <col min="8" max="8" width="11" style="22"/>
    <col min="9" max="9" width="32.6640625" style="22" bestFit="1" customWidth="1"/>
    <col min="10" max="32" width="7.83203125" style="22" customWidth="1"/>
    <col min="33" max="35" width="6" style="22" customWidth="1"/>
    <col min="36" max="36" width="16.33203125" style="22" customWidth="1"/>
    <col min="37" max="16384" width="11" style="22"/>
  </cols>
  <sheetData>
    <row r="1" spans="1:36" ht="19" customHeight="1">
      <c r="A1" s="144"/>
      <c r="B1" s="385" t="s">
        <v>63</v>
      </c>
      <c r="C1" s="382" t="s">
        <v>42</v>
      </c>
      <c r="D1" s="383" t="s">
        <v>29</v>
      </c>
      <c r="E1" s="383" t="s">
        <v>1</v>
      </c>
      <c r="F1" s="384" t="s">
        <v>10</v>
      </c>
      <c r="G1" s="453" t="s">
        <v>14</v>
      </c>
      <c r="I1" s="263" t="s">
        <v>335</v>
      </c>
      <c r="J1" s="263"/>
      <c r="K1" s="263"/>
      <c r="L1" s="263"/>
      <c r="M1" s="263"/>
      <c r="N1" s="263"/>
      <c r="O1" s="263"/>
      <c r="P1" s="263"/>
      <c r="Q1" s="263"/>
      <c r="R1" s="263"/>
      <c r="S1" s="263"/>
      <c r="T1" s="263"/>
      <c r="U1" s="263"/>
      <c r="V1" s="263"/>
      <c r="W1" s="263"/>
      <c r="X1" s="263"/>
      <c r="Y1" s="263"/>
      <c r="Z1" s="263"/>
      <c r="AA1" s="263"/>
      <c r="AB1" s="263"/>
      <c r="AC1" s="263"/>
      <c r="AD1" s="263"/>
      <c r="AE1" s="263"/>
      <c r="AF1" s="263"/>
      <c r="AG1" s="263"/>
      <c r="AH1" s="332"/>
      <c r="AI1" s="332"/>
      <c r="AJ1" s="332"/>
    </row>
    <row r="2" spans="1:36" ht="19" customHeight="1">
      <c r="B2" s="21">
        <v>1</v>
      </c>
      <c r="C2" s="12" t="s">
        <v>508</v>
      </c>
      <c r="D2" s="454" t="s">
        <v>52</v>
      </c>
      <c r="E2" s="455" t="s">
        <v>528</v>
      </c>
      <c r="F2" s="21">
        <f>SUMIFS(DATA_THIDUA_ST!C:C,DATA_THIDUA_ST!A:A,KB!C:C)</f>
        <v>225.9</v>
      </c>
      <c r="G2" s="456">
        <f>SUMIFS(DATA_THIDUA_ST!E:E,DATA_THIDUA_ST!A:A,Table2[[#This Row],[Nhóm Thi Đua]])</f>
        <v>1.3312999999999999</v>
      </c>
      <c r="I2" s="136"/>
      <c r="J2" s="507" t="s">
        <v>52</v>
      </c>
      <c r="K2" s="507" t="s">
        <v>33</v>
      </c>
      <c r="L2" s="507" t="s">
        <v>112</v>
      </c>
      <c r="M2" s="507" t="s">
        <v>30</v>
      </c>
      <c r="N2" s="507" t="s">
        <v>32</v>
      </c>
      <c r="O2" s="508" t="s">
        <v>64</v>
      </c>
      <c r="P2" s="509" t="s">
        <v>168</v>
      </c>
      <c r="Q2" s="507" t="s">
        <v>169</v>
      </c>
      <c r="R2" s="508" t="s">
        <v>147</v>
      </c>
      <c r="S2" s="508" t="s">
        <v>26</v>
      </c>
      <c r="T2" s="508" t="s">
        <v>229</v>
      </c>
      <c r="U2" s="507" t="s">
        <v>524</v>
      </c>
      <c r="V2" s="507" t="s">
        <v>104</v>
      </c>
      <c r="W2" s="507" t="s">
        <v>25</v>
      </c>
      <c r="X2" s="508" t="s">
        <v>70</v>
      </c>
      <c r="Y2" s="508" t="s">
        <v>171</v>
      </c>
      <c r="Z2" s="508" t="s">
        <v>231</v>
      </c>
      <c r="AA2" s="509" t="s">
        <v>31</v>
      </c>
      <c r="AB2" s="507" t="s">
        <v>228</v>
      </c>
      <c r="AC2" s="510" t="s">
        <v>232</v>
      </c>
      <c r="AD2" s="584" t="s">
        <v>128</v>
      </c>
      <c r="AE2" s="583" t="s">
        <v>61</v>
      </c>
      <c r="AF2" s="583" t="s">
        <v>103</v>
      </c>
      <c r="AG2" s="583"/>
      <c r="AH2" s="670"/>
      <c r="AI2" s="670"/>
      <c r="AJ2" s="137"/>
    </row>
    <row r="3" spans="1:36" ht="19" customHeight="1">
      <c r="B3" s="21">
        <v>3</v>
      </c>
      <c r="C3" s="12" t="s">
        <v>514</v>
      </c>
      <c r="D3" s="454" t="s">
        <v>33</v>
      </c>
      <c r="E3" s="455" t="s">
        <v>528</v>
      </c>
      <c r="F3" s="21">
        <f>SUMIFS(DATA_THIDUA_ST!C:C,DATA_THIDUA_ST!A:A,KB!C:C)</f>
        <v>253.3</v>
      </c>
      <c r="G3" s="456">
        <f>SUMIFS(DATA_THIDUA_ST!E:E,DATA_THIDUA_ST!A:A,Table2[[#This Row],[Nhóm Thi Đua]])</f>
        <v>0.60699999999999998</v>
      </c>
      <c r="I3" s="315" t="s">
        <v>56</v>
      </c>
      <c r="J3" s="135" t="s">
        <v>191</v>
      </c>
      <c r="K3" s="134" t="s">
        <v>192</v>
      </c>
      <c r="L3" s="135" t="s">
        <v>192</v>
      </c>
      <c r="M3" s="135" t="s">
        <v>192</v>
      </c>
      <c r="N3" s="135" t="s">
        <v>194</v>
      </c>
      <c r="O3" s="135" t="s">
        <v>194</v>
      </c>
      <c r="P3" s="135" t="s">
        <v>194</v>
      </c>
      <c r="Q3" s="135" t="s">
        <v>192</v>
      </c>
      <c r="R3" s="135" t="s">
        <v>194</v>
      </c>
      <c r="S3" s="135" t="s">
        <v>194</v>
      </c>
      <c r="T3" s="135" t="s">
        <v>194</v>
      </c>
      <c r="U3" s="134" t="s">
        <v>194</v>
      </c>
      <c r="V3" s="135" t="s">
        <v>191</v>
      </c>
      <c r="W3" s="135" t="s">
        <v>192</v>
      </c>
      <c r="X3" s="134" t="s">
        <v>194</v>
      </c>
      <c r="Y3" s="135" t="s">
        <v>192</v>
      </c>
      <c r="Z3" s="135" t="s">
        <v>192</v>
      </c>
      <c r="AA3" s="135" t="s">
        <v>192</v>
      </c>
      <c r="AB3" s="135" t="s">
        <v>194</v>
      </c>
      <c r="AC3" s="135" t="s">
        <v>194</v>
      </c>
      <c r="AD3" s="134" t="s">
        <v>191</v>
      </c>
      <c r="AE3" s="618" t="s">
        <v>191</v>
      </c>
      <c r="AF3" s="135" t="s">
        <v>192</v>
      </c>
      <c r="AG3" s="621"/>
      <c r="AH3" s="334"/>
      <c r="AI3" s="334"/>
      <c r="AJ3" s="333"/>
    </row>
    <row r="4" spans="1:36" ht="19" customHeight="1">
      <c r="B4" s="21">
        <v>4</v>
      </c>
      <c r="C4" s="46" t="s">
        <v>502</v>
      </c>
      <c r="D4" s="454" t="s">
        <v>112</v>
      </c>
      <c r="E4" s="455" t="s">
        <v>528</v>
      </c>
      <c r="F4" s="21">
        <f>SUMIFS(DATA_THIDUA_ST!C:C,DATA_THIDUA_ST!A:A,KB!C:C)</f>
        <v>16</v>
      </c>
      <c r="G4" s="456">
        <f>SUMIFS(DATA_THIDUA_ST!E:E,DATA_THIDUA_ST!A:A,Table2[[#This Row],[Nhóm Thi Đua]])</f>
        <v>0.3125</v>
      </c>
      <c r="I4" s="315" t="s">
        <v>60</v>
      </c>
      <c r="J4" s="135" t="s">
        <v>192</v>
      </c>
      <c r="K4" s="134" t="s">
        <v>194</v>
      </c>
      <c r="L4" s="135" t="s">
        <v>194</v>
      </c>
      <c r="M4" s="135" t="s">
        <v>192</v>
      </c>
      <c r="N4" s="135" t="s">
        <v>191</v>
      </c>
      <c r="O4" s="135" t="s">
        <v>191</v>
      </c>
      <c r="P4" s="135" t="s">
        <v>192</v>
      </c>
      <c r="Q4" s="135" t="s">
        <v>192</v>
      </c>
      <c r="R4" s="135" t="s">
        <v>192</v>
      </c>
      <c r="S4" s="135" t="s">
        <v>192</v>
      </c>
      <c r="T4" s="135" t="s">
        <v>194</v>
      </c>
      <c r="U4" s="135" t="s">
        <v>192</v>
      </c>
      <c r="V4" s="135" t="s">
        <v>192</v>
      </c>
      <c r="W4" s="135" t="s">
        <v>194</v>
      </c>
      <c r="X4" s="135" t="s">
        <v>192</v>
      </c>
      <c r="Y4" s="135" t="s">
        <v>191</v>
      </c>
      <c r="Z4" s="135" t="s">
        <v>194</v>
      </c>
      <c r="AA4" s="135" t="s">
        <v>191</v>
      </c>
      <c r="AB4" s="135" t="s">
        <v>194</v>
      </c>
      <c r="AC4" s="135" t="s">
        <v>192</v>
      </c>
      <c r="AD4" s="134" t="s">
        <v>191</v>
      </c>
      <c r="AE4" s="618" t="s">
        <v>191</v>
      </c>
      <c r="AF4" s="135" t="s">
        <v>191</v>
      </c>
      <c r="AG4" s="621"/>
      <c r="AH4" s="334"/>
      <c r="AI4" s="334"/>
      <c r="AJ4" s="333"/>
    </row>
    <row r="5" spans="1:36" ht="19" customHeight="1">
      <c r="B5" s="21">
        <v>6</v>
      </c>
      <c r="C5" s="12" t="s">
        <v>510</v>
      </c>
      <c r="D5" s="454" t="s">
        <v>30</v>
      </c>
      <c r="E5" s="455" t="s">
        <v>528</v>
      </c>
      <c r="F5" s="21">
        <f>SUMIFS(DATA_THIDUA_ST!C:C,DATA_THIDUA_ST!A:A,KB!C:C)</f>
        <v>258.7</v>
      </c>
      <c r="G5" s="456">
        <f>SUMIFS(DATA_THIDUA_ST!E:E,DATA_THIDUA_ST!A:A,Table2[[#This Row],[Nhóm Thi Đua]])</f>
        <v>0.7369</v>
      </c>
      <c r="I5" s="315" t="s">
        <v>57</v>
      </c>
      <c r="J5" s="135" t="s">
        <v>192</v>
      </c>
      <c r="K5" s="134" t="s">
        <v>192</v>
      </c>
      <c r="L5" s="135" t="s">
        <v>192</v>
      </c>
      <c r="M5" s="135" t="s">
        <v>192</v>
      </c>
      <c r="N5" s="135" t="s">
        <v>194</v>
      </c>
      <c r="O5" s="135" t="s">
        <v>192</v>
      </c>
      <c r="P5" s="135" t="s">
        <v>194</v>
      </c>
      <c r="Q5" s="135" t="s">
        <v>191</v>
      </c>
      <c r="R5" s="135" t="s">
        <v>192</v>
      </c>
      <c r="S5" s="135" t="s">
        <v>192</v>
      </c>
      <c r="T5" s="135" t="s">
        <v>191</v>
      </c>
      <c r="U5" s="135" t="s">
        <v>192</v>
      </c>
      <c r="V5" s="135" t="s">
        <v>192</v>
      </c>
      <c r="W5" s="135" t="s">
        <v>192</v>
      </c>
      <c r="X5" s="135" t="s">
        <v>194</v>
      </c>
      <c r="Y5" s="135" t="s">
        <v>191</v>
      </c>
      <c r="Z5" s="135" t="s">
        <v>192</v>
      </c>
      <c r="AA5" s="135" t="s">
        <v>191</v>
      </c>
      <c r="AB5" s="135" t="s">
        <v>192</v>
      </c>
      <c r="AC5" s="135" t="s">
        <v>192</v>
      </c>
      <c r="AD5" s="134" t="s">
        <v>191</v>
      </c>
      <c r="AE5" s="618" t="s">
        <v>191</v>
      </c>
      <c r="AF5" s="135" t="s">
        <v>191</v>
      </c>
      <c r="AG5" s="621"/>
      <c r="AH5" s="334"/>
      <c r="AI5" s="334"/>
      <c r="AJ5" s="333"/>
    </row>
    <row r="6" spans="1:36" ht="19" customHeight="1">
      <c r="B6" s="21">
        <v>7</v>
      </c>
      <c r="C6" s="12" t="s">
        <v>511</v>
      </c>
      <c r="D6" s="454" t="s">
        <v>32</v>
      </c>
      <c r="E6" s="455" t="s">
        <v>528</v>
      </c>
      <c r="F6" s="21">
        <f>SUMIFS(DATA_THIDUA_ST!C:C,DATA_THIDUA_ST!A:A,KB!C:C)</f>
        <v>440.6</v>
      </c>
      <c r="G6" s="456">
        <f>SUMIFS(DATA_THIDUA_ST!E:E,DATA_THIDUA_ST!A:A,Table2[[#This Row],[Nhóm Thi Đua]])</f>
        <v>0.75929999999999997</v>
      </c>
      <c r="I6" s="315" t="s">
        <v>151</v>
      </c>
      <c r="J6" s="135" t="s">
        <v>194</v>
      </c>
      <c r="K6" s="134" t="s">
        <v>194</v>
      </c>
      <c r="L6" s="135" t="s">
        <v>191</v>
      </c>
      <c r="M6" s="135" t="s">
        <v>192</v>
      </c>
      <c r="N6" s="135" t="s">
        <v>192</v>
      </c>
      <c r="O6" s="135" t="s">
        <v>192</v>
      </c>
      <c r="P6" s="135" t="s">
        <v>192</v>
      </c>
      <c r="Q6" s="135" t="s">
        <v>194</v>
      </c>
      <c r="R6" s="135" t="s">
        <v>192</v>
      </c>
      <c r="S6" s="135" t="s">
        <v>191</v>
      </c>
      <c r="T6" s="135" t="s">
        <v>191</v>
      </c>
      <c r="U6" s="135" t="s">
        <v>191</v>
      </c>
      <c r="V6" s="135" t="s">
        <v>194</v>
      </c>
      <c r="W6" s="135" t="s">
        <v>193</v>
      </c>
      <c r="X6" s="135" t="s">
        <v>192</v>
      </c>
      <c r="Y6" s="135" t="s">
        <v>192</v>
      </c>
      <c r="Z6" s="135" t="s">
        <v>192</v>
      </c>
      <c r="AA6" s="135" t="s">
        <v>191</v>
      </c>
      <c r="AB6" s="135" t="s">
        <v>194</v>
      </c>
      <c r="AC6" s="135" t="s">
        <v>191</v>
      </c>
      <c r="AD6" s="134" t="s">
        <v>191</v>
      </c>
      <c r="AE6" s="618" t="s">
        <v>191</v>
      </c>
      <c r="AF6" s="135" t="s">
        <v>191</v>
      </c>
      <c r="AG6" s="621"/>
      <c r="AH6" s="334"/>
      <c r="AI6" s="334"/>
      <c r="AJ6" s="333"/>
    </row>
    <row r="7" spans="1:36" ht="19" customHeight="1">
      <c r="B7" s="21">
        <v>8</v>
      </c>
      <c r="C7" s="12" t="s">
        <v>224</v>
      </c>
      <c r="D7" s="454" t="s">
        <v>64</v>
      </c>
      <c r="E7" s="455" t="s">
        <v>528</v>
      </c>
      <c r="F7" s="21">
        <f>SUMIFS(DATA_THIDUA_ST!C:C,DATA_THIDUA_ST!A:A,KB!C:C)</f>
        <v>666.1</v>
      </c>
      <c r="G7" s="456">
        <f>SUMIFS(DATA_THIDUA_ST!E:E,DATA_THIDUA_ST!A:A,Table2[[#This Row],[Nhóm Thi Đua]])</f>
        <v>1.9228000000000001</v>
      </c>
      <c r="I7" s="315" t="s">
        <v>15</v>
      </c>
      <c r="J7" s="135" t="s">
        <v>192</v>
      </c>
      <c r="K7" s="134" t="s">
        <v>192</v>
      </c>
      <c r="L7" s="135" t="s">
        <v>192</v>
      </c>
      <c r="M7" s="135" t="s">
        <v>194</v>
      </c>
      <c r="N7" s="135" t="s">
        <v>191</v>
      </c>
      <c r="O7" s="135" t="s">
        <v>191</v>
      </c>
      <c r="P7" s="135" t="s">
        <v>194</v>
      </c>
      <c r="Q7" s="135" t="s">
        <v>192</v>
      </c>
      <c r="R7" s="135" t="s">
        <v>191</v>
      </c>
      <c r="S7" s="135" t="s">
        <v>191</v>
      </c>
      <c r="T7" s="135" t="s">
        <v>192</v>
      </c>
      <c r="U7" s="135" t="s">
        <v>192</v>
      </c>
      <c r="V7" s="135" t="s">
        <v>192</v>
      </c>
      <c r="W7" s="135" t="s">
        <v>194</v>
      </c>
      <c r="X7" s="135" t="s">
        <v>194</v>
      </c>
      <c r="Y7" s="135" t="s">
        <v>194</v>
      </c>
      <c r="Z7" s="135" t="s">
        <v>192</v>
      </c>
      <c r="AA7" s="135" t="s">
        <v>192</v>
      </c>
      <c r="AB7" s="135" t="s">
        <v>192</v>
      </c>
      <c r="AC7" s="135" t="s">
        <v>191</v>
      </c>
      <c r="AD7" s="134" t="s">
        <v>191</v>
      </c>
      <c r="AE7" s="618" t="s">
        <v>191</v>
      </c>
      <c r="AF7" s="135" t="s">
        <v>192</v>
      </c>
      <c r="AG7" s="621"/>
      <c r="AH7" s="334"/>
      <c r="AI7" s="334"/>
      <c r="AJ7" s="333"/>
    </row>
    <row r="8" spans="1:36" ht="19" customHeight="1">
      <c r="B8" s="21">
        <v>9</v>
      </c>
      <c r="C8" s="12" t="s">
        <v>520</v>
      </c>
      <c r="D8" s="454" t="s">
        <v>168</v>
      </c>
      <c r="E8" s="455" t="s">
        <v>528</v>
      </c>
      <c r="F8" s="21">
        <f>SUMIFS(DATA_THIDUA_ST!C:C,DATA_THIDUA_ST!A:A,KB!C:C)</f>
        <v>809.1</v>
      </c>
      <c r="G8" s="456">
        <f>SUMIFS(DATA_THIDUA_ST!E:E,DATA_THIDUA_ST!A:A,Table2[[#This Row],[Nhóm Thi Đua]])</f>
        <v>0.61850000000000005</v>
      </c>
      <c r="I8" s="315" t="s">
        <v>293</v>
      </c>
      <c r="J8" s="303" t="s">
        <v>191</v>
      </c>
      <c r="K8" s="303" t="s">
        <v>192</v>
      </c>
      <c r="L8" s="303" t="s">
        <v>193</v>
      </c>
      <c r="M8" s="303" t="s">
        <v>193</v>
      </c>
      <c r="N8" s="303" t="s">
        <v>193</v>
      </c>
      <c r="O8" s="303" t="s">
        <v>193</v>
      </c>
      <c r="P8" s="303" t="s">
        <v>193</v>
      </c>
      <c r="Q8" s="303" t="s">
        <v>193</v>
      </c>
      <c r="R8" s="303" t="s">
        <v>193</v>
      </c>
      <c r="S8" s="303" t="s">
        <v>193</v>
      </c>
      <c r="T8" s="303" t="s">
        <v>193</v>
      </c>
      <c r="U8" s="303" t="s">
        <v>191</v>
      </c>
      <c r="V8" s="303" t="s">
        <v>191</v>
      </c>
      <c r="W8" s="303" t="s">
        <v>191</v>
      </c>
      <c r="X8" s="303" t="s">
        <v>191</v>
      </c>
      <c r="Y8" s="303" t="s">
        <v>193</v>
      </c>
      <c r="Z8" s="303" t="s">
        <v>191</v>
      </c>
      <c r="AA8" s="303" t="s">
        <v>193</v>
      </c>
      <c r="AB8" s="303" t="s">
        <v>191</v>
      </c>
      <c r="AC8" s="303" t="s">
        <v>193</v>
      </c>
      <c r="AD8" s="303" t="s">
        <v>191</v>
      </c>
      <c r="AE8" s="619" t="s">
        <v>191</v>
      </c>
      <c r="AF8" s="135" t="s">
        <v>193</v>
      </c>
      <c r="AG8" s="622"/>
      <c r="AH8" s="21"/>
      <c r="AI8" s="21"/>
      <c r="AJ8" s="333"/>
    </row>
    <row r="9" spans="1:36" ht="19" customHeight="1">
      <c r="A9" s="13"/>
      <c r="B9" s="21">
        <v>10</v>
      </c>
      <c r="C9" s="12" t="s">
        <v>268</v>
      </c>
      <c r="D9" s="457" t="s">
        <v>169</v>
      </c>
      <c r="E9" s="455" t="s">
        <v>528</v>
      </c>
      <c r="F9" s="21">
        <f>SUMIFS(DATA_THIDUA_ST!C:C,DATA_THIDUA_ST!A:A,KB!C:C)</f>
        <v>1125.5999999999999</v>
      </c>
      <c r="G9" s="456">
        <f>SUMIFS(DATA_THIDUA_ST!E:E,DATA_THIDUA_ST!A:A,Table2[[#This Row],[Nhóm Thi Đua]])</f>
        <v>0.94379999999999997</v>
      </c>
      <c r="I9" s="321" t="s">
        <v>433</v>
      </c>
      <c r="J9" s="303" t="s">
        <v>191</v>
      </c>
      <c r="K9" s="303" t="s">
        <v>192</v>
      </c>
      <c r="L9" s="303" t="s">
        <v>193</v>
      </c>
      <c r="M9" s="303" t="s">
        <v>193</v>
      </c>
      <c r="N9" s="303" t="s">
        <v>193</v>
      </c>
      <c r="O9" s="303" t="s">
        <v>193</v>
      </c>
      <c r="P9" s="303" t="s">
        <v>193</v>
      </c>
      <c r="Q9" s="303" t="s">
        <v>193</v>
      </c>
      <c r="R9" s="303" t="s">
        <v>193</v>
      </c>
      <c r="S9" s="303" t="s">
        <v>193</v>
      </c>
      <c r="T9" s="303" t="s">
        <v>193</v>
      </c>
      <c r="U9" s="303" t="s">
        <v>191</v>
      </c>
      <c r="V9" s="303" t="s">
        <v>191</v>
      </c>
      <c r="W9" s="303" t="s">
        <v>191</v>
      </c>
      <c r="X9" s="303" t="s">
        <v>191</v>
      </c>
      <c r="Y9" s="303" t="s">
        <v>193</v>
      </c>
      <c r="Z9" s="303" t="s">
        <v>191</v>
      </c>
      <c r="AA9" s="303" t="s">
        <v>193</v>
      </c>
      <c r="AB9" s="303" t="s">
        <v>191</v>
      </c>
      <c r="AC9" s="303" t="s">
        <v>193</v>
      </c>
      <c r="AD9" s="303" t="s">
        <v>191</v>
      </c>
      <c r="AE9" s="619" t="s">
        <v>191</v>
      </c>
      <c r="AF9" s="135" t="s">
        <v>193</v>
      </c>
      <c r="AG9" s="622"/>
      <c r="AH9" s="21"/>
      <c r="AI9" s="21"/>
    </row>
    <row r="10" spans="1:36" ht="19" customHeight="1">
      <c r="A10" s="12"/>
      <c r="B10" s="21">
        <v>11</v>
      </c>
      <c r="C10" s="12" t="s">
        <v>222</v>
      </c>
      <c r="D10" s="454" t="s">
        <v>147</v>
      </c>
      <c r="E10" s="455" t="s">
        <v>528</v>
      </c>
      <c r="F10" s="21">
        <f>SUMIFS(DATA_THIDUA_ST!C:C,DATA_THIDUA_ST!A:A,KB!C:C)</f>
        <v>1122.5</v>
      </c>
      <c r="G10" s="456">
        <f>SUMIFS(DATA_THIDUA_ST!E:E,DATA_THIDUA_ST!A:A,Table2[[#This Row],[Nhóm Thi Đua]])</f>
        <v>0.88319999999999999</v>
      </c>
      <c r="I10" s="321" t="s">
        <v>530</v>
      </c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  <c r="W10" s="303"/>
      <c r="X10" s="303"/>
      <c r="Y10" s="303"/>
      <c r="Z10" s="303"/>
      <c r="AA10" s="303"/>
      <c r="AB10" s="303"/>
      <c r="AC10" s="303"/>
      <c r="AD10" s="303"/>
      <c r="AE10" s="619"/>
      <c r="AF10" s="624"/>
      <c r="AG10" s="622"/>
      <c r="AH10" s="21"/>
      <c r="AI10" s="21"/>
    </row>
    <row r="11" spans="1:36" ht="19" customHeight="1">
      <c r="B11" s="21">
        <v>12</v>
      </c>
      <c r="C11" s="12" t="s">
        <v>522</v>
      </c>
      <c r="D11" s="457" t="s">
        <v>26</v>
      </c>
      <c r="E11" s="455" t="s">
        <v>528</v>
      </c>
      <c r="F11" s="21">
        <f>SUMIFS(DATA_THIDUA_ST!C:C,DATA_THIDUA_ST!A:A,KB!C:C)</f>
        <v>243.2</v>
      </c>
      <c r="G11" s="456">
        <f>SUMIFS(DATA_THIDUA_ST!E:E,DATA_THIDUA_ST!A:A,Table2[[#This Row],[Nhóm Thi Đua]])</f>
        <v>1.1233</v>
      </c>
      <c r="I11" s="321" t="s">
        <v>560</v>
      </c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  <c r="W11" s="303"/>
      <c r="X11" s="303"/>
      <c r="Y11" s="303"/>
      <c r="Z11" s="303"/>
      <c r="AA11" s="303"/>
      <c r="AB11" s="303"/>
      <c r="AC11" s="303"/>
      <c r="AD11" s="303"/>
      <c r="AE11" s="619"/>
      <c r="AF11" s="624"/>
      <c r="AG11" s="622"/>
      <c r="AH11" s="21"/>
      <c r="AI11" s="21"/>
    </row>
    <row r="12" spans="1:36" ht="19" customHeight="1">
      <c r="B12" s="21">
        <v>13</v>
      </c>
      <c r="C12" s="12" t="s">
        <v>517</v>
      </c>
      <c r="D12" s="454" t="s">
        <v>229</v>
      </c>
      <c r="E12" s="455" t="s">
        <v>528</v>
      </c>
      <c r="F12" s="21">
        <f>SUMIFS(DATA_THIDUA_ST!C:C,DATA_THIDUA_ST!A:A,KB!C:C)</f>
        <v>69.599999999999994</v>
      </c>
      <c r="G12" s="456">
        <f>SUMIFS(DATA_THIDUA_ST!E:E,DATA_THIDUA_ST!A:A,Table2[[#This Row],[Nhóm Thi Đua]])</f>
        <v>0.62180000000000002</v>
      </c>
      <c r="I12" s="10" t="s">
        <v>281</v>
      </c>
      <c r="J12" s="135" t="s">
        <v>194</v>
      </c>
      <c r="K12" s="135" t="s">
        <v>192</v>
      </c>
      <c r="L12" s="135" t="s">
        <v>194</v>
      </c>
      <c r="M12" s="135" t="s">
        <v>191</v>
      </c>
      <c r="N12" s="135" t="s">
        <v>194</v>
      </c>
      <c r="O12" s="135" t="s">
        <v>191</v>
      </c>
      <c r="P12" s="135"/>
      <c r="Q12" s="135"/>
      <c r="R12" s="135"/>
      <c r="S12" s="135"/>
      <c r="T12" s="135"/>
      <c r="U12" s="135"/>
      <c r="V12" s="135" t="s">
        <v>194</v>
      </c>
      <c r="W12" s="135" t="s">
        <v>194</v>
      </c>
      <c r="X12" s="135"/>
      <c r="Y12" s="135" t="s">
        <v>194</v>
      </c>
      <c r="Z12" s="135" t="s">
        <v>194</v>
      </c>
      <c r="AA12" s="135"/>
      <c r="AB12" s="135"/>
      <c r="AC12" s="135" t="s">
        <v>191</v>
      </c>
      <c r="AD12" s="135" t="s">
        <v>191</v>
      </c>
      <c r="AE12" s="620" t="s">
        <v>191</v>
      </c>
      <c r="AF12" s="624" t="s">
        <v>194</v>
      </c>
      <c r="AG12" s="623"/>
      <c r="AH12" s="333"/>
      <c r="AI12" s="333"/>
    </row>
    <row r="13" spans="1:36" ht="19" customHeight="1">
      <c r="B13" s="21">
        <v>35</v>
      </c>
      <c r="C13" s="12" t="s">
        <v>519</v>
      </c>
      <c r="D13" s="457" t="s">
        <v>524</v>
      </c>
      <c r="E13" s="21" t="s">
        <v>528</v>
      </c>
      <c r="F13" s="21">
        <f>SUMIFS(DATA_THIDUA_ST!C:C,DATA_THIDUA_ST!A:A,KB!C:C)</f>
        <v>718.2</v>
      </c>
      <c r="G13" s="456">
        <f>SUMIFS(DATA_THIDUA_ST!E:E,DATA_THIDUA_ST!A:A,Table2[[#This Row],[Nhóm Thi Đua]])</f>
        <v>0.64880000000000004</v>
      </c>
      <c r="I13" s="10" t="s">
        <v>282</v>
      </c>
      <c r="J13" s="135" t="s">
        <v>194</v>
      </c>
      <c r="K13" s="135" t="s">
        <v>194</v>
      </c>
      <c r="L13" s="135" t="s">
        <v>192</v>
      </c>
      <c r="M13" s="135" t="s">
        <v>194</v>
      </c>
      <c r="N13" s="135" t="s">
        <v>191</v>
      </c>
      <c r="O13" s="135" t="s">
        <v>194</v>
      </c>
      <c r="P13" s="135"/>
      <c r="Q13" s="135"/>
      <c r="R13" s="135"/>
      <c r="S13" s="135"/>
      <c r="T13" s="135"/>
      <c r="U13" s="135"/>
      <c r="V13" s="135" t="s">
        <v>194</v>
      </c>
      <c r="W13" s="135" t="s">
        <v>191</v>
      </c>
      <c r="X13" s="135"/>
      <c r="Y13" s="135" t="s">
        <v>191</v>
      </c>
      <c r="Z13" s="135" t="s">
        <v>191</v>
      </c>
      <c r="AA13" s="135"/>
      <c r="AB13" s="135"/>
      <c r="AC13" s="135" t="s">
        <v>194</v>
      </c>
      <c r="AD13" s="135" t="s">
        <v>191</v>
      </c>
      <c r="AE13" s="620" t="s">
        <v>191</v>
      </c>
      <c r="AF13" s="135" t="s">
        <v>192</v>
      </c>
      <c r="AG13" s="623"/>
      <c r="AH13" s="333"/>
      <c r="AI13" s="333"/>
      <c r="AJ13" s="333"/>
    </row>
    <row r="14" spans="1:36" ht="16">
      <c r="B14" s="21">
        <v>16</v>
      </c>
      <c r="C14" s="12" t="s">
        <v>509</v>
      </c>
      <c r="D14" s="454" t="s">
        <v>104</v>
      </c>
      <c r="E14" s="455" t="s">
        <v>528</v>
      </c>
      <c r="F14" s="21">
        <f>SUMIFS(DATA_THIDUA_ST!C:C,DATA_THIDUA_ST!A:A,KB!C:C)</f>
        <v>16.3</v>
      </c>
      <c r="G14" s="456">
        <f>SUMIFS(DATA_THIDUA_ST!E:E,DATA_THIDUA_ST!A:A,Table2[[#This Row],[Nhóm Thi Đua]])</f>
        <v>0.92500000000000004</v>
      </c>
      <c r="I14" s="10" t="s">
        <v>283</v>
      </c>
      <c r="J14" s="135" t="s">
        <v>192</v>
      </c>
      <c r="K14" s="135" t="s">
        <v>192</v>
      </c>
      <c r="L14" s="135" t="s">
        <v>191</v>
      </c>
      <c r="M14" s="135" t="s">
        <v>192</v>
      </c>
      <c r="N14" s="135" t="s">
        <v>192</v>
      </c>
      <c r="O14" s="135" t="s">
        <v>192</v>
      </c>
      <c r="P14" s="135"/>
      <c r="Q14" s="135"/>
      <c r="R14" s="135"/>
      <c r="S14" s="135"/>
      <c r="T14" s="135"/>
      <c r="U14" s="135"/>
      <c r="V14" s="135" t="s">
        <v>192</v>
      </c>
      <c r="W14" s="135" t="s">
        <v>192</v>
      </c>
      <c r="X14" s="135"/>
      <c r="Y14" s="135" t="s">
        <v>192</v>
      </c>
      <c r="Z14" s="135" t="s">
        <v>191</v>
      </c>
      <c r="AA14" s="135"/>
      <c r="AB14" s="135"/>
      <c r="AC14" s="135" t="s">
        <v>191</v>
      </c>
      <c r="AD14" s="135" t="s">
        <v>191</v>
      </c>
      <c r="AE14" s="620" t="s">
        <v>191</v>
      </c>
      <c r="AF14" s="624" t="s">
        <v>191</v>
      </c>
      <c r="AG14" s="623"/>
      <c r="AH14" s="333"/>
      <c r="AI14" s="333"/>
    </row>
    <row r="15" spans="1:36" ht="26" customHeight="1">
      <c r="A15" s="12"/>
      <c r="B15" s="21">
        <v>14</v>
      </c>
      <c r="C15" s="46" t="s">
        <v>114</v>
      </c>
      <c r="D15" s="454" t="s">
        <v>25</v>
      </c>
      <c r="E15" s="455" t="s">
        <v>185</v>
      </c>
      <c r="F15" s="21">
        <f>SUMIFS(DATA_THIDUA_ST!C:C,DATA_THIDUA_ST!A:A,KB!C:C)</f>
        <v>53</v>
      </c>
      <c r="G15" s="456">
        <f>SUMIFS(DATA_THIDUA_ST!E:E,DATA_THIDUA_ST!A:A,Table2[[#This Row],[Nhóm Thi Đua]])</f>
        <v>0.37740000000000001</v>
      </c>
      <c r="I15" s="10" t="s">
        <v>284</v>
      </c>
      <c r="J15" s="135" t="s">
        <v>191</v>
      </c>
      <c r="K15" s="135" t="s">
        <v>191</v>
      </c>
      <c r="L15" s="135" t="s">
        <v>193</v>
      </c>
      <c r="M15" s="135" t="s">
        <v>193</v>
      </c>
      <c r="N15" s="135" t="s">
        <v>193</v>
      </c>
      <c r="O15" s="135" t="s">
        <v>193</v>
      </c>
      <c r="P15" s="135"/>
      <c r="Q15" s="135"/>
      <c r="R15" s="135"/>
      <c r="S15" s="135"/>
      <c r="T15" s="135"/>
      <c r="U15" s="135"/>
      <c r="V15" s="135" t="s">
        <v>191</v>
      </c>
      <c r="W15" s="135" t="s">
        <v>192</v>
      </c>
      <c r="X15" s="135"/>
      <c r="Y15" s="135" t="s">
        <v>193</v>
      </c>
      <c r="Z15" s="135" t="s">
        <v>191</v>
      </c>
      <c r="AA15" s="135"/>
      <c r="AB15" s="135"/>
      <c r="AC15" s="135" t="s">
        <v>193</v>
      </c>
      <c r="AD15" s="135" t="s">
        <v>191</v>
      </c>
      <c r="AE15" s="620" t="s">
        <v>191</v>
      </c>
      <c r="AF15" s="624" t="s">
        <v>193</v>
      </c>
      <c r="AG15" s="623"/>
      <c r="AH15" s="333"/>
      <c r="AI15" s="333"/>
    </row>
    <row r="16" spans="1:36" ht="19" customHeight="1">
      <c r="B16" s="21">
        <v>15</v>
      </c>
      <c r="C16" s="12" t="s">
        <v>494</v>
      </c>
      <c r="D16" s="454" t="s">
        <v>70</v>
      </c>
      <c r="E16" s="455" t="s">
        <v>185</v>
      </c>
      <c r="F16" s="21">
        <f>SUMIFS(DATA_THIDUA_ST!C:C,DATA_THIDUA_ST!A:A,KB!C:C)</f>
        <v>781.84</v>
      </c>
      <c r="G16" s="456">
        <f>SUMIFS(DATA_THIDUA_ST!E:E,DATA_THIDUA_ST!A:A,Table2[[#This Row],[Nhóm Thi Đua]])</f>
        <v>2.3092000000000001</v>
      </c>
    </row>
    <row r="17" spans="2:36" ht="16">
      <c r="B17" s="21">
        <v>17</v>
      </c>
      <c r="C17" s="12" t="s">
        <v>512</v>
      </c>
      <c r="D17" s="454" t="s">
        <v>171</v>
      </c>
      <c r="E17" s="455" t="s">
        <v>185</v>
      </c>
      <c r="F17" s="21">
        <f>SUMIFS(DATA_THIDUA_ST!C:C,DATA_THIDUA_ST!A:A,KB!C:C)</f>
        <v>23</v>
      </c>
      <c r="G17" s="456">
        <f>SUMIFS(DATA_THIDUA_ST!E:E,DATA_THIDUA_ST!A:A,Table2[[#This Row],[Nhóm Thi Đua]])</f>
        <v>0.25040000000000001</v>
      </c>
      <c r="AJ17" s="335"/>
    </row>
    <row r="18" spans="2:36" ht="16">
      <c r="B18" s="21">
        <v>18</v>
      </c>
      <c r="C18" s="12" t="s">
        <v>506</v>
      </c>
      <c r="D18" s="457" t="s">
        <v>231</v>
      </c>
      <c r="E18" s="455" t="s">
        <v>185</v>
      </c>
      <c r="F18" s="21">
        <f>SUMIFS(DATA_THIDUA_ST!C:C,DATA_THIDUA_ST!A:A,KB!C:C)</f>
        <v>19</v>
      </c>
      <c r="G18" s="456">
        <f>SUMIFS(DATA_THIDUA_ST!E:E,DATA_THIDUA_ST!A:A,Table2[[#This Row],[Nhóm Thi Đua]])</f>
        <v>0</v>
      </c>
      <c r="I18" s="264" t="s">
        <v>195</v>
      </c>
      <c r="J18" s="264"/>
      <c r="K18" s="264"/>
      <c r="L18" s="264"/>
      <c r="M18" s="264"/>
      <c r="N18" s="264"/>
      <c r="O18" s="264"/>
      <c r="P18" s="264"/>
      <c r="Q18" s="264"/>
      <c r="R18" s="264"/>
      <c r="S18" s="264"/>
      <c r="T18" s="264"/>
      <c r="U18" s="264"/>
      <c r="V18" s="264"/>
      <c r="W18" s="264"/>
      <c r="X18" s="264"/>
      <c r="Y18" s="264"/>
      <c r="Z18" s="264"/>
      <c r="AA18" s="264"/>
      <c r="AB18" s="264"/>
      <c r="AC18" s="264"/>
      <c r="AD18" s="264"/>
      <c r="AE18" s="264"/>
      <c r="AF18" s="264"/>
      <c r="AG18" s="264"/>
      <c r="AH18" s="335"/>
      <c r="AI18" s="335"/>
      <c r="AJ18" s="137"/>
    </row>
    <row r="19" spans="2:36" ht="16">
      <c r="B19" s="21">
        <v>23</v>
      </c>
      <c r="C19" s="46" t="s">
        <v>176</v>
      </c>
      <c r="D19" s="21" t="s">
        <v>31</v>
      </c>
      <c r="E19" s="455" t="s">
        <v>185</v>
      </c>
      <c r="F19" s="21">
        <f>SUMIFS(DATA_THIDUA_ST!C:C,DATA_THIDUA_ST!A:A,KB!C:C)</f>
        <v>28.1</v>
      </c>
      <c r="G19" s="456">
        <f>SUMIFS(DATA_THIDUA_ST!E:E,DATA_THIDUA_ST!A:A,Table2[[#This Row],[Nhóm Thi Đua]])</f>
        <v>0.26250000000000001</v>
      </c>
      <c r="I19" s="136"/>
      <c r="J19" s="507" t="s">
        <v>52</v>
      </c>
      <c r="K19" s="507" t="s">
        <v>33</v>
      </c>
      <c r="L19" s="507" t="s">
        <v>112</v>
      </c>
      <c r="M19" s="507" t="s">
        <v>30</v>
      </c>
      <c r="N19" s="507" t="s">
        <v>32</v>
      </c>
      <c r="O19" s="508" t="s">
        <v>64</v>
      </c>
      <c r="P19" s="509" t="s">
        <v>168</v>
      </c>
      <c r="Q19" s="507" t="s">
        <v>169</v>
      </c>
      <c r="R19" s="508" t="s">
        <v>147</v>
      </c>
      <c r="S19" s="508" t="s">
        <v>26</v>
      </c>
      <c r="T19" s="508" t="s">
        <v>229</v>
      </c>
      <c r="U19" s="507" t="s">
        <v>524</v>
      </c>
      <c r="V19" s="507" t="s">
        <v>104</v>
      </c>
      <c r="W19" s="507" t="s">
        <v>25</v>
      </c>
      <c r="X19" s="508" t="s">
        <v>70</v>
      </c>
      <c r="Y19" s="508" t="s">
        <v>171</v>
      </c>
      <c r="Z19" s="508" t="s">
        <v>231</v>
      </c>
      <c r="AA19" s="509" t="s">
        <v>31</v>
      </c>
      <c r="AB19" s="507" t="s">
        <v>228</v>
      </c>
      <c r="AC19" s="510" t="s">
        <v>232</v>
      </c>
      <c r="AD19" s="584" t="s">
        <v>128</v>
      </c>
      <c r="AE19" s="583" t="s">
        <v>61</v>
      </c>
      <c r="AF19" s="583" t="s">
        <v>103</v>
      </c>
      <c r="AG19" s="584" t="s">
        <v>556</v>
      </c>
      <c r="AH19" s="670" t="s">
        <v>557</v>
      </c>
      <c r="AI19" s="670"/>
      <c r="AJ19" s="336"/>
    </row>
    <row r="20" spans="2:36" ht="16">
      <c r="C20" s="12" t="s">
        <v>516</v>
      </c>
      <c r="D20" s="454" t="s">
        <v>228</v>
      </c>
      <c r="E20" s="455" t="s">
        <v>529</v>
      </c>
      <c r="F20" s="21">
        <f>SUMIFS(DATA_THIDUA_ST!C:C,DATA_THIDUA_ST!A:A,KB!C:C)</f>
        <v>95.4</v>
      </c>
      <c r="G20" s="456">
        <f>SUMIFS(DATA_THIDUA_ST!E:E,DATA_THIDUA_ST!A:A,Table2[[#This Row],[Nhóm Thi Đua]])</f>
        <v>2.8696999999999999</v>
      </c>
      <c r="I20" s="315" t="s">
        <v>56</v>
      </c>
      <c r="J20" s="316">
        <f t="shared" ref="J20:AF20" si="0">IF(J3="D4",22%,IF(J3="D3",18%,IF(J3="D2",15%,10%)))</f>
        <v>0.15</v>
      </c>
      <c r="K20" s="316">
        <f t="shared" si="0"/>
        <v>0.18</v>
      </c>
      <c r="L20" s="316">
        <f t="shared" si="0"/>
        <v>0.18</v>
      </c>
      <c r="M20" s="316">
        <f t="shared" si="0"/>
        <v>0.18</v>
      </c>
      <c r="N20" s="316">
        <f t="shared" si="0"/>
        <v>0.22</v>
      </c>
      <c r="O20" s="316">
        <f t="shared" si="0"/>
        <v>0.22</v>
      </c>
      <c r="P20" s="316">
        <f t="shared" si="0"/>
        <v>0.22</v>
      </c>
      <c r="Q20" s="316">
        <f t="shared" si="0"/>
        <v>0.18</v>
      </c>
      <c r="R20" s="316">
        <f t="shared" si="0"/>
        <v>0.22</v>
      </c>
      <c r="S20" s="316">
        <f t="shared" si="0"/>
        <v>0.22</v>
      </c>
      <c r="T20" s="316">
        <f t="shared" si="0"/>
        <v>0.22</v>
      </c>
      <c r="U20" s="316">
        <f t="shared" si="0"/>
        <v>0.22</v>
      </c>
      <c r="V20" s="316">
        <f t="shared" si="0"/>
        <v>0.15</v>
      </c>
      <c r="W20" s="316">
        <f t="shared" si="0"/>
        <v>0.18</v>
      </c>
      <c r="X20" s="316">
        <f t="shared" si="0"/>
        <v>0.22</v>
      </c>
      <c r="Y20" s="316">
        <f t="shared" si="0"/>
        <v>0.18</v>
      </c>
      <c r="Z20" s="316">
        <f t="shared" si="0"/>
        <v>0.18</v>
      </c>
      <c r="AA20" s="316">
        <f t="shared" si="0"/>
        <v>0.18</v>
      </c>
      <c r="AB20" s="316">
        <f t="shared" si="0"/>
        <v>0.22</v>
      </c>
      <c r="AC20" s="316">
        <f t="shared" si="0"/>
        <v>0.22</v>
      </c>
      <c r="AD20" s="316">
        <f t="shared" si="0"/>
        <v>0.15</v>
      </c>
      <c r="AE20" s="316">
        <f t="shared" si="0"/>
        <v>0.15</v>
      </c>
      <c r="AF20" s="316">
        <f t="shared" si="0"/>
        <v>0.18</v>
      </c>
      <c r="AG20" s="316">
        <v>0.2</v>
      </c>
      <c r="AH20" s="316">
        <v>0.2</v>
      </c>
      <c r="AI20" s="673"/>
      <c r="AJ20" s="336"/>
    </row>
    <row r="21" spans="2:36" ht="16">
      <c r="B21" s="21">
        <v>31</v>
      </c>
      <c r="C21" s="12" t="s">
        <v>223</v>
      </c>
      <c r="D21" s="454" t="s">
        <v>232</v>
      </c>
      <c r="E21" s="455" t="s">
        <v>185</v>
      </c>
      <c r="F21" s="21">
        <f>SUMIFS(DATA_THIDUA_ST!C:C,DATA_THIDUA_ST!A:A,KB!C:C)</f>
        <v>177.6</v>
      </c>
      <c r="G21" s="456">
        <f>SUMIFS(DATA_THIDUA_ST!E:E,DATA_THIDUA_ST!A:A,Table2[[#This Row],[Nhóm Thi Đua]])</f>
        <v>0.41710000000000003</v>
      </c>
      <c r="I21" s="315" t="s">
        <v>60</v>
      </c>
      <c r="J21" s="316">
        <f t="shared" ref="J21:AF21" si="1">IF(J4="D4",22%,IF(J4="D3",18%,IF(J4="D2",15%,10%)))</f>
        <v>0.18</v>
      </c>
      <c r="K21" s="316">
        <f t="shared" si="1"/>
        <v>0.22</v>
      </c>
      <c r="L21" s="316">
        <f t="shared" si="1"/>
        <v>0.22</v>
      </c>
      <c r="M21" s="316">
        <f t="shared" si="1"/>
        <v>0.18</v>
      </c>
      <c r="N21" s="316">
        <f t="shared" si="1"/>
        <v>0.15</v>
      </c>
      <c r="O21" s="316">
        <f t="shared" si="1"/>
        <v>0.15</v>
      </c>
      <c r="P21" s="316">
        <f t="shared" si="1"/>
        <v>0.18</v>
      </c>
      <c r="Q21" s="316">
        <f t="shared" si="1"/>
        <v>0.18</v>
      </c>
      <c r="R21" s="316">
        <f t="shared" si="1"/>
        <v>0.18</v>
      </c>
      <c r="S21" s="316">
        <f t="shared" si="1"/>
        <v>0.18</v>
      </c>
      <c r="T21" s="316">
        <f t="shared" si="1"/>
        <v>0.22</v>
      </c>
      <c r="U21" s="316">
        <f t="shared" si="1"/>
        <v>0.18</v>
      </c>
      <c r="V21" s="316">
        <f t="shared" si="1"/>
        <v>0.18</v>
      </c>
      <c r="W21" s="316">
        <f t="shared" si="1"/>
        <v>0.22</v>
      </c>
      <c r="X21" s="316">
        <f t="shared" si="1"/>
        <v>0.18</v>
      </c>
      <c r="Y21" s="316">
        <f t="shared" si="1"/>
        <v>0.15</v>
      </c>
      <c r="Z21" s="316">
        <f t="shared" si="1"/>
        <v>0.22</v>
      </c>
      <c r="AA21" s="316">
        <f t="shared" si="1"/>
        <v>0.15</v>
      </c>
      <c r="AB21" s="316">
        <f t="shared" si="1"/>
        <v>0.22</v>
      </c>
      <c r="AC21" s="316">
        <f t="shared" si="1"/>
        <v>0.18</v>
      </c>
      <c r="AD21" s="316">
        <f t="shared" si="1"/>
        <v>0.15</v>
      </c>
      <c r="AE21" s="316">
        <f t="shared" si="1"/>
        <v>0.15</v>
      </c>
      <c r="AF21" s="316">
        <f t="shared" si="1"/>
        <v>0.15</v>
      </c>
      <c r="AG21" s="316">
        <v>0.18</v>
      </c>
      <c r="AH21" s="316">
        <v>0.2</v>
      </c>
      <c r="AI21" s="673"/>
      <c r="AJ21" s="336"/>
    </row>
    <row r="22" spans="2:36" ht="16">
      <c r="B22" s="21">
        <v>21</v>
      </c>
      <c r="C22" s="12" t="s">
        <v>226</v>
      </c>
      <c r="D22" s="454" t="s">
        <v>128</v>
      </c>
      <c r="E22" s="455" t="s">
        <v>185</v>
      </c>
      <c r="F22" s="21">
        <f>SUMIFS(DATA_THIDUA_ST!C:C,DATA_THIDUA_ST!A:A,KB!C:C)</f>
        <v>60.8</v>
      </c>
      <c r="G22" s="456">
        <f>SUMIFS(DATA_THIDUA_ST!E:E,DATA_THIDUA_ST!A:A,Table2[[#This Row],[Nhóm Thi Đua]])</f>
        <v>0</v>
      </c>
      <c r="I22" s="315" t="s">
        <v>57</v>
      </c>
      <c r="J22" s="316">
        <f t="shared" ref="J22:AF22" si="2">IF(J5="D4",22%,IF(J5="D3",18%,IF(J5="D2",15%,10%)))</f>
        <v>0.18</v>
      </c>
      <c r="K22" s="316">
        <f t="shared" si="2"/>
        <v>0.18</v>
      </c>
      <c r="L22" s="316">
        <f t="shared" si="2"/>
        <v>0.18</v>
      </c>
      <c r="M22" s="316">
        <f t="shared" si="2"/>
        <v>0.18</v>
      </c>
      <c r="N22" s="316">
        <f t="shared" si="2"/>
        <v>0.22</v>
      </c>
      <c r="O22" s="316">
        <f t="shared" si="2"/>
        <v>0.18</v>
      </c>
      <c r="P22" s="316">
        <f t="shared" si="2"/>
        <v>0.22</v>
      </c>
      <c r="Q22" s="316">
        <f t="shared" si="2"/>
        <v>0.15</v>
      </c>
      <c r="R22" s="316">
        <f t="shared" si="2"/>
        <v>0.18</v>
      </c>
      <c r="S22" s="316">
        <f t="shared" si="2"/>
        <v>0.18</v>
      </c>
      <c r="T22" s="316">
        <f t="shared" si="2"/>
        <v>0.15</v>
      </c>
      <c r="U22" s="316">
        <f t="shared" si="2"/>
        <v>0.18</v>
      </c>
      <c r="V22" s="316">
        <f t="shared" si="2"/>
        <v>0.18</v>
      </c>
      <c r="W22" s="316">
        <f t="shared" si="2"/>
        <v>0.18</v>
      </c>
      <c r="X22" s="316">
        <f t="shared" si="2"/>
        <v>0.22</v>
      </c>
      <c r="Y22" s="316">
        <f t="shared" si="2"/>
        <v>0.15</v>
      </c>
      <c r="Z22" s="316">
        <f t="shared" si="2"/>
        <v>0.18</v>
      </c>
      <c r="AA22" s="316">
        <f t="shared" si="2"/>
        <v>0.15</v>
      </c>
      <c r="AB22" s="316">
        <f t="shared" si="2"/>
        <v>0.18</v>
      </c>
      <c r="AC22" s="316">
        <f t="shared" si="2"/>
        <v>0.18</v>
      </c>
      <c r="AD22" s="316">
        <f t="shared" si="2"/>
        <v>0.15</v>
      </c>
      <c r="AE22" s="316">
        <f t="shared" si="2"/>
        <v>0.15</v>
      </c>
      <c r="AF22" s="316">
        <f t="shared" si="2"/>
        <v>0.15</v>
      </c>
      <c r="AG22" s="316">
        <v>0.125</v>
      </c>
      <c r="AH22" s="316">
        <v>0.125</v>
      </c>
      <c r="AI22" s="673"/>
      <c r="AJ22" s="336"/>
    </row>
    <row r="23" spans="2:36" ht="16">
      <c r="B23" s="21">
        <v>19</v>
      </c>
      <c r="C23" s="12" t="s">
        <v>225</v>
      </c>
      <c r="D23" s="454" t="s">
        <v>61</v>
      </c>
      <c r="E23" s="455" t="s">
        <v>185</v>
      </c>
      <c r="F23" s="21">
        <f>SUMIFS(DATA_THIDUA_ST!C:C,DATA_THIDUA_ST!A:A,KB!C:C)</f>
        <v>15</v>
      </c>
      <c r="G23" s="456">
        <f>SUMIFS(DATA_THIDUA_ST!E:E,DATA_THIDUA_ST!A:A,Table2[[#This Row],[Nhóm Thi Đua]])</f>
        <v>0</v>
      </c>
      <c r="I23" s="315" t="s">
        <v>151</v>
      </c>
      <c r="J23" s="316">
        <f t="shared" ref="J23:AF23" si="3">IF(J6="D4",22%,IF(J6="D3",18%,IF(J6="D2",15%,10%)))</f>
        <v>0.22</v>
      </c>
      <c r="K23" s="316">
        <f t="shared" si="3"/>
        <v>0.22</v>
      </c>
      <c r="L23" s="316">
        <f t="shared" si="3"/>
        <v>0.15</v>
      </c>
      <c r="M23" s="316">
        <f t="shared" si="3"/>
        <v>0.18</v>
      </c>
      <c r="N23" s="316">
        <f t="shared" si="3"/>
        <v>0.18</v>
      </c>
      <c r="O23" s="316">
        <f t="shared" si="3"/>
        <v>0.18</v>
      </c>
      <c r="P23" s="316">
        <f t="shared" si="3"/>
        <v>0.18</v>
      </c>
      <c r="Q23" s="316">
        <f t="shared" si="3"/>
        <v>0.22</v>
      </c>
      <c r="R23" s="316">
        <f t="shared" si="3"/>
        <v>0.18</v>
      </c>
      <c r="S23" s="316">
        <f t="shared" si="3"/>
        <v>0.15</v>
      </c>
      <c r="T23" s="316">
        <f t="shared" si="3"/>
        <v>0.15</v>
      </c>
      <c r="U23" s="316">
        <f t="shared" si="3"/>
        <v>0.15</v>
      </c>
      <c r="V23" s="316">
        <f t="shared" si="3"/>
        <v>0.22</v>
      </c>
      <c r="W23" s="316">
        <f t="shared" si="3"/>
        <v>0.1</v>
      </c>
      <c r="X23" s="316">
        <f t="shared" si="3"/>
        <v>0.18</v>
      </c>
      <c r="Y23" s="316">
        <f t="shared" si="3"/>
        <v>0.18</v>
      </c>
      <c r="Z23" s="316">
        <f t="shared" si="3"/>
        <v>0.18</v>
      </c>
      <c r="AA23" s="316">
        <f t="shared" si="3"/>
        <v>0.15</v>
      </c>
      <c r="AB23" s="316">
        <f t="shared" si="3"/>
        <v>0.22</v>
      </c>
      <c r="AC23" s="316">
        <f t="shared" si="3"/>
        <v>0.15</v>
      </c>
      <c r="AD23" s="316">
        <f t="shared" si="3"/>
        <v>0.15</v>
      </c>
      <c r="AE23" s="316">
        <f t="shared" si="3"/>
        <v>0.15</v>
      </c>
      <c r="AF23" s="316">
        <f t="shared" si="3"/>
        <v>0.15</v>
      </c>
      <c r="AG23" s="316">
        <v>0.15</v>
      </c>
      <c r="AH23" s="316">
        <v>0.15</v>
      </c>
      <c r="AI23" s="673"/>
      <c r="AJ23" s="336"/>
    </row>
    <row r="24" spans="2:36" ht="16">
      <c r="B24" s="21">
        <v>24</v>
      </c>
      <c r="C24" s="12" t="s">
        <v>103</v>
      </c>
      <c r="D24" s="454" t="s">
        <v>103</v>
      </c>
      <c r="E24" s="455" t="s">
        <v>185</v>
      </c>
      <c r="F24" s="21">
        <f>SUMIFS(DATA_THIDUA_ST!C:C,DATA_THIDUA_ST!A:A,KB!C:C)</f>
        <v>10.55</v>
      </c>
      <c r="G24" s="456">
        <f>SUMIFS(DATA_THIDUA_ST!E:E,DATA_THIDUA_ST!A:A,Table2[[#This Row],[Nhóm Thi Đua]])</f>
        <v>2.9134000000000002</v>
      </c>
      <c r="I24" s="315" t="s">
        <v>15</v>
      </c>
      <c r="J24" s="316">
        <f t="shared" ref="J24:AF24" si="4">IF(J7="D4",22%,IF(J7="D3",18%,IF(J7="D2",15%,10%)))</f>
        <v>0.18</v>
      </c>
      <c r="K24" s="316">
        <f t="shared" si="4"/>
        <v>0.18</v>
      </c>
      <c r="L24" s="316">
        <f t="shared" si="4"/>
        <v>0.18</v>
      </c>
      <c r="M24" s="316">
        <f t="shared" si="4"/>
        <v>0.22</v>
      </c>
      <c r="N24" s="316">
        <f t="shared" si="4"/>
        <v>0.15</v>
      </c>
      <c r="O24" s="316">
        <f t="shared" si="4"/>
        <v>0.15</v>
      </c>
      <c r="P24" s="316">
        <f t="shared" si="4"/>
        <v>0.22</v>
      </c>
      <c r="Q24" s="316">
        <f t="shared" si="4"/>
        <v>0.18</v>
      </c>
      <c r="R24" s="316">
        <f t="shared" si="4"/>
        <v>0.15</v>
      </c>
      <c r="S24" s="316">
        <f t="shared" si="4"/>
        <v>0.15</v>
      </c>
      <c r="T24" s="316">
        <f t="shared" si="4"/>
        <v>0.18</v>
      </c>
      <c r="U24" s="316">
        <f t="shared" si="4"/>
        <v>0.18</v>
      </c>
      <c r="V24" s="316">
        <f t="shared" si="4"/>
        <v>0.18</v>
      </c>
      <c r="W24" s="316">
        <f t="shared" si="4"/>
        <v>0.22</v>
      </c>
      <c r="X24" s="316">
        <f t="shared" si="4"/>
        <v>0.22</v>
      </c>
      <c r="Y24" s="316">
        <f t="shared" si="4"/>
        <v>0.22</v>
      </c>
      <c r="Z24" s="316">
        <f t="shared" si="4"/>
        <v>0.18</v>
      </c>
      <c r="AA24" s="316">
        <f t="shared" si="4"/>
        <v>0.18</v>
      </c>
      <c r="AB24" s="316">
        <f t="shared" si="4"/>
        <v>0.18</v>
      </c>
      <c r="AC24" s="316">
        <f t="shared" si="4"/>
        <v>0.15</v>
      </c>
      <c r="AD24" s="316">
        <f t="shared" si="4"/>
        <v>0.15</v>
      </c>
      <c r="AE24" s="316">
        <f t="shared" si="4"/>
        <v>0.15</v>
      </c>
      <c r="AF24" s="316">
        <f t="shared" si="4"/>
        <v>0.18</v>
      </c>
      <c r="AG24" s="316">
        <v>0.14000000000000001</v>
      </c>
      <c r="AH24" s="316">
        <v>0.14000000000000001</v>
      </c>
      <c r="AI24" s="673"/>
      <c r="AJ24" s="336"/>
    </row>
    <row r="25" spans="2:36" ht="19" customHeight="1">
      <c r="B25" s="21">
        <v>36</v>
      </c>
      <c r="C25" s="12" t="s">
        <v>507</v>
      </c>
      <c r="D25" s="454" t="s">
        <v>392</v>
      </c>
      <c r="E25" s="455"/>
      <c r="F25" s="21">
        <f>SUMIFS(DATA_THIDUA_ST!C:C,DATA_THIDUA_ST!A:A,KB!C:C)</f>
        <v>215.8</v>
      </c>
      <c r="G25" s="456">
        <f>SUMIFS(DATA_THIDUA_ST!E:E,DATA_THIDUA_ST!A:A,Table2[[#This Row],[Nhóm Thi Đua]])</f>
        <v>0</v>
      </c>
      <c r="I25" s="315" t="s">
        <v>293</v>
      </c>
      <c r="J25" s="316">
        <f t="shared" ref="J25:AF25" si="5">IF(J8="D4",22%,IF(J8="D3",18%,IF(J8="D2",15%,10%)))</f>
        <v>0.15</v>
      </c>
      <c r="K25" s="316">
        <f t="shared" si="5"/>
        <v>0.18</v>
      </c>
      <c r="L25" s="316">
        <f t="shared" si="5"/>
        <v>0.1</v>
      </c>
      <c r="M25" s="316">
        <f t="shared" si="5"/>
        <v>0.1</v>
      </c>
      <c r="N25" s="316">
        <f t="shared" si="5"/>
        <v>0.1</v>
      </c>
      <c r="O25" s="316">
        <f t="shared" si="5"/>
        <v>0.1</v>
      </c>
      <c r="P25" s="316">
        <f t="shared" si="5"/>
        <v>0.1</v>
      </c>
      <c r="Q25" s="316">
        <f t="shared" si="5"/>
        <v>0.1</v>
      </c>
      <c r="R25" s="316">
        <f t="shared" si="5"/>
        <v>0.1</v>
      </c>
      <c r="S25" s="316">
        <f t="shared" si="5"/>
        <v>0.1</v>
      </c>
      <c r="T25" s="316">
        <f t="shared" si="5"/>
        <v>0.1</v>
      </c>
      <c r="U25" s="316">
        <f t="shared" si="5"/>
        <v>0.15</v>
      </c>
      <c r="V25" s="316">
        <f t="shared" si="5"/>
        <v>0.15</v>
      </c>
      <c r="W25" s="316">
        <f t="shared" si="5"/>
        <v>0.15</v>
      </c>
      <c r="X25" s="316">
        <f t="shared" si="5"/>
        <v>0.15</v>
      </c>
      <c r="Y25" s="316">
        <f t="shared" si="5"/>
        <v>0.1</v>
      </c>
      <c r="Z25" s="316">
        <f t="shared" si="5"/>
        <v>0.15</v>
      </c>
      <c r="AA25" s="316">
        <f t="shared" si="5"/>
        <v>0.1</v>
      </c>
      <c r="AB25" s="316">
        <f t="shared" si="5"/>
        <v>0.15</v>
      </c>
      <c r="AC25" s="316">
        <f t="shared" si="5"/>
        <v>0.1</v>
      </c>
      <c r="AD25" s="316">
        <f t="shared" si="5"/>
        <v>0.15</v>
      </c>
      <c r="AE25" s="316">
        <f t="shared" si="5"/>
        <v>0.15</v>
      </c>
      <c r="AF25" s="316">
        <f t="shared" si="5"/>
        <v>0.1</v>
      </c>
      <c r="AG25" s="316">
        <v>0.12</v>
      </c>
      <c r="AH25" s="316">
        <v>0.12</v>
      </c>
      <c r="AI25" s="673"/>
    </row>
    <row r="26" spans="2:36" ht="19" customHeight="1">
      <c r="B26" s="21">
        <v>2</v>
      </c>
      <c r="C26" s="46"/>
      <c r="D26" s="457"/>
      <c r="E26" s="455"/>
      <c r="G26" s="456"/>
      <c r="I26" s="321" t="s">
        <v>433</v>
      </c>
      <c r="J26" s="316">
        <f t="shared" ref="J26:AF26" si="6">IF(J9="D4",22%,IF(J9="D3",18%,IF(J9="D2",15%,10%)))</f>
        <v>0.15</v>
      </c>
      <c r="K26" s="316">
        <f t="shared" si="6"/>
        <v>0.18</v>
      </c>
      <c r="L26" s="316">
        <f t="shared" si="6"/>
        <v>0.1</v>
      </c>
      <c r="M26" s="316">
        <f t="shared" si="6"/>
        <v>0.1</v>
      </c>
      <c r="N26" s="316">
        <f t="shared" si="6"/>
        <v>0.1</v>
      </c>
      <c r="O26" s="316">
        <f t="shared" si="6"/>
        <v>0.1</v>
      </c>
      <c r="P26" s="316">
        <f t="shared" si="6"/>
        <v>0.1</v>
      </c>
      <c r="Q26" s="316">
        <f t="shared" si="6"/>
        <v>0.1</v>
      </c>
      <c r="R26" s="316">
        <f t="shared" si="6"/>
        <v>0.1</v>
      </c>
      <c r="S26" s="316">
        <f t="shared" si="6"/>
        <v>0.1</v>
      </c>
      <c r="T26" s="316">
        <f t="shared" si="6"/>
        <v>0.1</v>
      </c>
      <c r="U26" s="316">
        <f t="shared" si="6"/>
        <v>0.15</v>
      </c>
      <c r="V26" s="316">
        <f t="shared" si="6"/>
        <v>0.15</v>
      </c>
      <c r="W26" s="316">
        <f t="shared" si="6"/>
        <v>0.15</v>
      </c>
      <c r="X26" s="316">
        <f t="shared" si="6"/>
        <v>0.15</v>
      </c>
      <c r="Y26" s="316">
        <f t="shared" si="6"/>
        <v>0.1</v>
      </c>
      <c r="Z26" s="316">
        <f t="shared" si="6"/>
        <v>0.15</v>
      </c>
      <c r="AA26" s="316">
        <f t="shared" si="6"/>
        <v>0.1</v>
      </c>
      <c r="AB26" s="316">
        <f t="shared" si="6"/>
        <v>0.15</v>
      </c>
      <c r="AC26" s="316">
        <f t="shared" si="6"/>
        <v>0.1</v>
      </c>
      <c r="AD26" s="316">
        <f t="shared" si="6"/>
        <v>0.15</v>
      </c>
      <c r="AE26" s="316">
        <f t="shared" si="6"/>
        <v>0.15</v>
      </c>
      <c r="AF26" s="316">
        <f t="shared" si="6"/>
        <v>0.1</v>
      </c>
      <c r="AG26" s="316">
        <v>0.12</v>
      </c>
      <c r="AH26" s="316">
        <v>0.12</v>
      </c>
      <c r="AI26" s="673"/>
    </row>
    <row r="27" spans="2:36" ht="16">
      <c r="B27" s="21">
        <v>29</v>
      </c>
      <c r="C27" s="12" t="s">
        <v>513</v>
      </c>
      <c r="D27" s="454" t="s">
        <v>513</v>
      </c>
      <c r="E27" s="455"/>
      <c r="F27" s="21">
        <f>SUMIFS(DATA_THIDUA_ST!C:C,DATA_THIDUA_ST!A:A,KB!C:C)</f>
        <v>9.18</v>
      </c>
      <c r="G27" s="456">
        <f>SUMIFS(DATA_THIDUA_ST!E:E,DATA_THIDUA_ST!A:A,Table2[[#This Row],[Nhóm Thi Đua]])</f>
        <v>0</v>
      </c>
      <c r="I27" s="321" t="s">
        <v>530</v>
      </c>
      <c r="J27" s="506"/>
      <c r="K27" s="506"/>
      <c r="L27" s="506"/>
      <c r="M27" s="506"/>
      <c r="N27" s="506"/>
      <c r="O27" s="506"/>
      <c r="P27" s="506"/>
      <c r="Q27" s="506"/>
      <c r="R27" s="506"/>
      <c r="S27" s="506"/>
      <c r="T27" s="506"/>
      <c r="U27" s="506"/>
      <c r="V27" s="506"/>
      <c r="W27" s="506"/>
      <c r="X27" s="506"/>
      <c r="Y27" s="506"/>
      <c r="Z27" s="506"/>
      <c r="AA27" s="506"/>
      <c r="AB27" s="506"/>
      <c r="AC27" s="506"/>
      <c r="AD27" s="506"/>
      <c r="AE27" s="506"/>
      <c r="AF27" s="506"/>
      <c r="AG27" s="316"/>
      <c r="AH27" s="316"/>
      <c r="AI27" s="673"/>
      <c r="AJ27" s="336"/>
    </row>
    <row r="28" spans="2:36" ht="19" customHeight="1">
      <c r="B28" s="21">
        <v>25</v>
      </c>
      <c r="C28" s="12" t="s">
        <v>521</v>
      </c>
      <c r="D28" s="21" t="s">
        <v>525</v>
      </c>
      <c r="E28" s="455"/>
      <c r="F28" s="21">
        <f>SUMIFS(DATA_THIDUA_ST!C:C,DATA_THIDUA_ST!A:A,KB!C:C)</f>
        <v>80.27</v>
      </c>
      <c r="G28" s="456">
        <f>SUMIFS(DATA_THIDUA_ST!E:E,DATA_THIDUA_ST!A:A,Table2[[#This Row],[Nhóm Thi Đua]])</f>
        <v>0</v>
      </c>
      <c r="I28" s="321" t="s">
        <v>560</v>
      </c>
      <c r="J28" s="316"/>
      <c r="K28" s="316"/>
      <c r="L28" s="316"/>
      <c r="M28" s="316"/>
      <c r="N28" s="316"/>
      <c r="O28" s="316"/>
      <c r="P28" s="316"/>
      <c r="Q28" s="316"/>
      <c r="R28" s="316"/>
      <c r="S28" s="316"/>
      <c r="T28" s="316"/>
      <c r="U28" s="316"/>
      <c r="V28" s="316"/>
      <c r="W28" s="316"/>
      <c r="X28" s="316"/>
      <c r="Y28" s="316"/>
      <c r="Z28" s="316"/>
      <c r="AA28" s="316"/>
      <c r="AB28" s="316"/>
      <c r="AC28" s="316"/>
      <c r="AD28" s="316"/>
      <c r="AE28" s="316"/>
      <c r="AF28" s="316"/>
      <c r="AG28" s="316"/>
      <c r="AH28" s="316"/>
      <c r="AI28" s="673"/>
      <c r="AJ28" s="336"/>
    </row>
    <row r="29" spans="2:36" ht="19" customHeight="1">
      <c r="B29" s="21">
        <v>22</v>
      </c>
      <c r="C29" s="12" t="s">
        <v>177</v>
      </c>
      <c r="D29" s="454" t="s">
        <v>527</v>
      </c>
      <c r="E29" s="455"/>
      <c r="F29" s="21">
        <f>SUMIFS(DATA_THIDUA_ST!C:C,DATA_THIDUA_ST!A:A,KB!C:C)</f>
        <v>23</v>
      </c>
      <c r="G29" s="456">
        <f>SUMIFS(DATA_THIDUA_ST!E:E,DATA_THIDUA_ST!A:A,Table2[[#This Row],[Nhóm Thi Đua]])</f>
        <v>0.65080000000000005</v>
      </c>
      <c r="I29" s="10" t="s">
        <v>281</v>
      </c>
      <c r="J29" s="76">
        <f>IF(J12="D4",35%,IF(J12="D3",30%,IF(J12="D2",25%,10%)))</f>
        <v>0.35</v>
      </c>
      <c r="K29" s="76">
        <f t="shared" ref="K29:AF32" si="7">IF(K12="D4",35%,IF(K12="D3",30%,IF(K12="D2",25%,10%)))</f>
        <v>0.3</v>
      </c>
      <c r="L29" s="76">
        <f t="shared" si="7"/>
        <v>0.35</v>
      </c>
      <c r="M29" s="76">
        <f t="shared" si="7"/>
        <v>0.25</v>
      </c>
      <c r="N29" s="76">
        <f t="shared" si="7"/>
        <v>0.35</v>
      </c>
      <c r="O29" s="76">
        <f t="shared" si="7"/>
        <v>0.25</v>
      </c>
      <c r="P29" s="76">
        <f t="shared" si="7"/>
        <v>0.1</v>
      </c>
      <c r="Q29" s="76">
        <f t="shared" si="7"/>
        <v>0.1</v>
      </c>
      <c r="R29" s="76">
        <f t="shared" si="7"/>
        <v>0.1</v>
      </c>
      <c r="S29" s="76">
        <f t="shared" si="7"/>
        <v>0.1</v>
      </c>
      <c r="T29" s="76">
        <f t="shared" si="7"/>
        <v>0.1</v>
      </c>
      <c r="U29" s="76">
        <f t="shared" si="7"/>
        <v>0.1</v>
      </c>
      <c r="V29" s="76">
        <f t="shared" si="7"/>
        <v>0.35</v>
      </c>
      <c r="W29" s="76">
        <f t="shared" si="7"/>
        <v>0.35</v>
      </c>
      <c r="X29" s="76">
        <f t="shared" si="7"/>
        <v>0.1</v>
      </c>
      <c r="Y29" s="76">
        <f t="shared" si="7"/>
        <v>0.35</v>
      </c>
      <c r="Z29" s="76">
        <f t="shared" si="7"/>
        <v>0.35</v>
      </c>
      <c r="AA29" s="76">
        <f t="shared" si="7"/>
        <v>0.1</v>
      </c>
      <c r="AB29" s="76">
        <f t="shared" si="7"/>
        <v>0.1</v>
      </c>
      <c r="AC29" s="76">
        <f t="shared" si="7"/>
        <v>0.25</v>
      </c>
      <c r="AD29" s="76">
        <f t="shared" si="7"/>
        <v>0.25</v>
      </c>
      <c r="AE29" s="76">
        <f t="shared" si="7"/>
        <v>0.25</v>
      </c>
      <c r="AF29" s="76">
        <f t="shared" si="7"/>
        <v>0.35</v>
      </c>
      <c r="AG29" s="316">
        <v>0.27</v>
      </c>
      <c r="AH29" s="316">
        <v>0.27</v>
      </c>
      <c r="AI29" s="673"/>
      <c r="AJ29" s="336"/>
    </row>
    <row r="30" spans="2:36" ht="16">
      <c r="B30" s="21">
        <v>20</v>
      </c>
      <c r="C30" s="12" t="s">
        <v>504</v>
      </c>
      <c r="D30" s="454" t="s">
        <v>230</v>
      </c>
      <c r="E30" s="455"/>
      <c r="F30" s="21">
        <f>SUMIFS(DATA_THIDUA_ST!C:C,DATA_THIDUA_ST!A:A,KB!C:C)</f>
        <v>5</v>
      </c>
      <c r="G30" s="456">
        <f>SUMIFS(DATA_THIDUA_ST!E:E,DATA_THIDUA_ST!A:A,Table2[[#This Row],[Nhóm Thi Đua]])</f>
        <v>0</v>
      </c>
      <c r="I30" s="10" t="s">
        <v>282</v>
      </c>
      <c r="J30" s="76">
        <f t="shared" ref="J30:Y32" si="8">IF(J13="D4",35%,IF(J13="D3",30%,IF(J13="D2",25%,10%)))</f>
        <v>0.35</v>
      </c>
      <c r="K30" s="76">
        <f t="shared" si="8"/>
        <v>0.35</v>
      </c>
      <c r="L30" s="76">
        <f t="shared" si="8"/>
        <v>0.3</v>
      </c>
      <c r="M30" s="76">
        <f t="shared" si="8"/>
        <v>0.35</v>
      </c>
      <c r="N30" s="76">
        <f t="shared" si="8"/>
        <v>0.25</v>
      </c>
      <c r="O30" s="76">
        <f t="shared" si="8"/>
        <v>0.35</v>
      </c>
      <c r="P30" s="76">
        <f t="shared" si="8"/>
        <v>0.1</v>
      </c>
      <c r="Q30" s="76">
        <f t="shared" si="8"/>
        <v>0.1</v>
      </c>
      <c r="R30" s="76">
        <f t="shared" si="8"/>
        <v>0.1</v>
      </c>
      <c r="S30" s="76">
        <f t="shared" si="8"/>
        <v>0.1</v>
      </c>
      <c r="T30" s="76">
        <f t="shared" si="8"/>
        <v>0.1</v>
      </c>
      <c r="U30" s="76">
        <f t="shared" si="8"/>
        <v>0.1</v>
      </c>
      <c r="V30" s="76">
        <f t="shared" si="8"/>
        <v>0.35</v>
      </c>
      <c r="W30" s="76">
        <f t="shared" si="8"/>
        <v>0.25</v>
      </c>
      <c r="X30" s="76">
        <f t="shared" si="8"/>
        <v>0.1</v>
      </c>
      <c r="Y30" s="76">
        <f t="shared" si="8"/>
        <v>0.25</v>
      </c>
      <c r="Z30" s="76">
        <f t="shared" si="7"/>
        <v>0.25</v>
      </c>
      <c r="AA30" s="76">
        <f t="shared" si="7"/>
        <v>0.1</v>
      </c>
      <c r="AB30" s="76">
        <f t="shared" si="7"/>
        <v>0.1</v>
      </c>
      <c r="AC30" s="76">
        <f t="shared" si="7"/>
        <v>0.35</v>
      </c>
      <c r="AD30" s="76">
        <f t="shared" si="7"/>
        <v>0.25</v>
      </c>
      <c r="AE30" s="76">
        <f t="shared" si="7"/>
        <v>0.25</v>
      </c>
      <c r="AF30" s="76">
        <f t="shared" si="7"/>
        <v>0.3</v>
      </c>
      <c r="AG30" s="316">
        <v>0.3</v>
      </c>
      <c r="AH30" s="316">
        <v>0.3</v>
      </c>
      <c r="AI30" s="673"/>
      <c r="AJ30" s="337"/>
    </row>
    <row r="31" spans="2:36" ht="19" customHeight="1">
      <c r="B31" s="21">
        <v>26</v>
      </c>
      <c r="C31" s="12" t="s">
        <v>217</v>
      </c>
      <c r="D31" s="454" t="s">
        <v>170</v>
      </c>
      <c r="E31" s="455"/>
      <c r="F31" s="21">
        <f>SUMIFS(DATA_THIDUA_ST!C:C,DATA_THIDUA_ST!A:A,KB!C:C)</f>
        <v>103.7</v>
      </c>
      <c r="G31" s="456">
        <f>SUMIFS(DATA_THIDUA_ST!E:E,DATA_THIDUA_ST!A:A,Table2[[#This Row],[Nhóm Thi Đua]])</f>
        <v>0.73060000000000003</v>
      </c>
      <c r="I31" s="10" t="s">
        <v>283</v>
      </c>
      <c r="J31" s="76">
        <f t="shared" si="8"/>
        <v>0.3</v>
      </c>
      <c r="K31" s="76">
        <f t="shared" si="7"/>
        <v>0.3</v>
      </c>
      <c r="L31" s="76">
        <f t="shared" si="7"/>
        <v>0.25</v>
      </c>
      <c r="M31" s="76">
        <f t="shared" si="7"/>
        <v>0.3</v>
      </c>
      <c r="N31" s="76">
        <f t="shared" si="7"/>
        <v>0.3</v>
      </c>
      <c r="O31" s="76">
        <f t="shared" si="7"/>
        <v>0.3</v>
      </c>
      <c r="P31" s="76">
        <f t="shared" si="7"/>
        <v>0.1</v>
      </c>
      <c r="Q31" s="76">
        <f t="shared" si="7"/>
        <v>0.1</v>
      </c>
      <c r="R31" s="76">
        <f t="shared" si="7"/>
        <v>0.1</v>
      </c>
      <c r="S31" s="76">
        <f t="shared" si="7"/>
        <v>0.1</v>
      </c>
      <c r="T31" s="76">
        <f t="shared" si="7"/>
        <v>0.1</v>
      </c>
      <c r="U31" s="76">
        <f t="shared" si="7"/>
        <v>0.1</v>
      </c>
      <c r="V31" s="76">
        <f t="shared" si="7"/>
        <v>0.3</v>
      </c>
      <c r="W31" s="76">
        <f t="shared" si="7"/>
        <v>0.3</v>
      </c>
      <c r="X31" s="76">
        <f t="shared" si="7"/>
        <v>0.1</v>
      </c>
      <c r="Y31" s="76">
        <f t="shared" si="7"/>
        <v>0.3</v>
      </c>
      <c r="Z31" s="76">
        <f t="shared" si="7"/>
        <v>0.25</v>
      </c>
      <c r="AA31" s="76">
        <f t="shared" si="7"/>
        <v>0.1</v>
      </c>
      <c r="AB31" s="76">
        <f t="shared" si="7"/>
        <v>0.1</v>
      </c>
      <c r="AC31" s="76">
        <f t="shared" si="7"/>
        <v>0.25</v>
      </c>
      <c r="AD31" s="76">
        <f t="shared" si="7"/>
        <v>0.25</v>
      </c>
      <c r="AE31" s="76">
        <f t="shared" si="7"/>
        <v>0.25</v>
      </c>
      <c r="AF31" s="76">
        <f t="shared" si="7"/>
        <v>0.25</v>
      </c>
      <c r="AG31" s="316">
        <v>0.25</v>
      </c>
      <c r="AH31" s="316">
        <v>0.25</v>
      </c>
      <c r="AI31" s="673"/>
    </row>
    <row r="32" spans="2:36" ht="19" customHeight="1">
      <c r="B32" s="21">
        <v>27</v>
      </c>
      <c r="C32" s="12" t="s">
        <v>505</v>
      </c>
      <c r="D32" s="457" t="s">
        <v>178</v>
      </c>
      <c r="E32" s="455"/>
      <c r="F32" s="21">
        <f>SUMIFS(DATA_THIDUA_ST!C:C,DATA_THIDUA_ST!A:A,KB!C:C)</f>
        <v>226</v>
      </c>
      <c r="G32" s="456">
        <f>SUMIFS(DATA_THIDUA_ST!E:E,DATA_THIDUA_ST!A:A,Table2[[#This Row],[Nhóm Thi Đua]])</f>
        <v>0.59799999999999998</v>
      </c>
      <c r="I32" s="10" t="s">
        <v>284</v>
      </c>
      <c r="J32" s="76">
        <f t="shared" si="8"/>
        <v>0.25</v>
      </c>
      <c r="K32" s="76">
        <f t="shared" si="7"/>
        <v>0.25</v>
      </c>
      <c r="L32" s="76">
        <f t="shared" si="7"/>
        <v>0.1</v>
      </c>
      <c r="M32" s="76">
        <f t="shared" si="7"/>
        <v>0.1</v>
      </c>
      <c r="N32" s="76">
        <f t="shared" si="7"/>
        <v>0.1</v>
      </c>
      <c r="O32" s="76">
        <f t="shared" si="7"/>
        <v>0.1</v>
      </c>
      <c r="P32" s="76">
        <f t="shared" si="7"/>
        <v>0.1</v>
      </c>
      <c r="Q32" s="76">
        <f t="shared" si="7"/>
        <v>0.1</v>
      </c>
      <c r="R32" s="76">
        <f t="shared" si="7"/>
        <v>0.1</v>
      </c>
      <c r="S32" s="76">
        <f t="shared" si="7"/>
        <v>0.1</v>
      </c>
      <c r="T32" s="76">
        <f t="shared" si="7"/>
        <v>0.1</v>
      </c>
      <c r="U32" s="76">
        <f t="shared" si="7"/>
        <v>0.1</v>
      </c>
      <c r="V32" s="76">
        <f t="shared" si="7"/>
        <v>0.25</v>
      </c>
      <c r="W32" s="76">
        <f t="shared" si="7"/>
        <v>0.3</v>
      </c>
      <c r="X32" s="76">
        <f t="shared" si="7"/>
        <v>0.1</v>
      </c>
      <c r="Y32" s="76">
        <f t="shared" si="7"/>
        <v>0.1</v>
      </c>
      <c r="Z32" s="76">
        <f t="shared" si="7"/>
        <v>0.25</v>
      </c>
      <c r="AA32" s="76">
        <f t="shared" si="7"/>
        <v>0.1</v>
      </c>
      <c r="AB32" s="76">
        <f t="shared" si="7"/>
        <v>0.1</v>
      </c>
      <c r="AC32" s="76">
        <f t="shared" si="7"/>
        <v>0.1</v>
      </c>
      <c r="AD32" s="76">
        <f t="shared" si="7"/>
        <v>0.25</v>
      </c>
      <c r="AE32" s="76">
        <f t="shared" si="7"/>
        <v>0.25</v>
      </c>
      <c r="AF32" s="76">
        <f t="shared" si="7"/>
        <v>0.1</v>
      </c>
      <c r="AG32" s="316">
        <v>0.2</v>
      </c>
      <c r="AH32" s="316">
        <v>0.2</v>
      </c>
      <c r="AI32" s="673"/>
    </row>
    <row r="33" spans="2:36" ht="19" customHeight="1">
      <c r="B33" s="21">
        <v>28</v>
      </c>
      <c r="C33" s="46" t="s">
        <v>501</v>
      </c>
      <c r="D33" s="454" t="s">
        <v>219</v>
      </c>
      <c r="E33" s="455"/>
      <c r="F33" s="21">
        <f>SUMIFS(DATA_THIDUA_ST!C:C,DATA_THIDUA_ST!A:A,KB!C:C)</f>
        <v>5</v>
      </c>
      <c r="G33" s="456">
        <f>SUMIFS(DATA_THIDUA_ST!E:E,DATA_THIDUA_ST!A:A,Table2[[#This Row],[Nhóm Thi Đua]])</f>
        <v>1</v>
      </c>
      <c r="I33" s="317" t="s">
        <v>288</v>
      </c>
      <c r="J33" s="318">
        <f>SUM(J29:J32)</f>
        <v>1.25</v>
      </c>
      <c r="K33" s="318">
        <f t="shared" ref="K33:Z33" si="9">SUM(K29:K32)</f>
        <v>1.2</v>
      </c>
      <c r="L33" s="318">
        <f t="shared" si="9"/>
        <v>0.99999999999999989</v>
      </c>
      <c r="M33" s="318">
        <f t="shared" si="9"/>
        <v>0.99999999999999989</v>
      </c>
      <c r="N33" s="318">
        <f t="shared" si="9"/>
        <v>0.99999999999999989</v>
      </c>
      <c r="O33" s="318">
        <f t="shared" si="9"/>
        <v>0.99999999999999989</v>
      </c>
      <c r="P33" s="318">
        <f t="shared" si="9"/>
        <v>0.4</v>
      </c>
      <c r="Q33" s="318">
        <f t="shared" si="9"/>
        <v>0.4</v>
      </c>
      <c r="R33" s="318">
        <f t="shared" si="9"/>
        <v>0.4</v>
      </c>
      <c r="S33" s="318">
        <f t="shared" si="9"/>
        <v>0.4</v>
      </c>
      <c r="T33" s="318">
        <f t="shared" si="9"/>
        <v>0.4</v>
      </c>
      <c r="U33" s="318">
        <f t="shared" si="9"/>
        <v>0.4</v>
      </c>
      <c r="V33" s="318">
        <f t="shared" si="9"/>
        <v>1.25</v>
      </c>
      <c r="W33" s="318">
        <f t="shared" si="9"/>
        <v>1.2</v>
      </c>
      <c r="X33" s="318">
        <f t="shared" si="9"/>
        <v>0.4</v>
      </c>
      <c r="Y33" s="318">
        <f t="shared" si="9"/>
        <v>0.99999999999999989</v>
      </c>
      <c r="Z33" s="318">
        <f t="shared" si="9"/>
        <v>1.1000000000000001</v>
      </c>
      <c r="AA33" s="318">
        <f t="shared" ref="AA33:AB33" si="10">SUM(AA29:AA32)</f>
        <v>0.4</v>
      </c>
      <c r="AB33" s="318">
        <f t="shared" si="10"/>
        <v>0.4</v>
      </c>
      <c r="AC33" s="318">
        <f>SUM(AC29:AC32)</f>
        <v>0.95</v>
      </c>
      <c r="AD33" s="318">
        <f t="shared" ref="AD33:AF33" si="11">SUM(AD29:AD32)</f>
        <v>1</v>
      </c>
      <c r="AE33" s="318">
        <f t="shared" si="11"/>
        <v>1</v>
      </c>
      <c r="AF33" s="318">
        <f t="shared" si="11"/>
        <v>0.99999999999999989</v>
      </c>
      <c r="AG33" s="318"/>
      <c r="AH33" s="318"/>
      <c r="AI33" s="318"/>
      <c r="AJ33" s="335"/>
    </row>
    <row r="34" spans="2:36" ht="19" customHeight="1">
      <c r="B34" s="21">
        <v>30</v>
      </c>
      <c r="C34" s="12" t="s">
        <v>523</v>
      </c>
      <c r="D34" s="454" t="s">
        <v>526</v>
      </c>
      <c r="E34" s="455"/>
      <c r="F34" s="21">
        <f>SUMIFS(DATA_THIDUA_ST!C:C,DATA_THIDUA_ST!A:A,KB!C:C)</f>
        <v>169.34</v>
      </c>
      <c r="G34" s="456">
        <f>SUMIFS(DATA_THIDUA_ST!E:E,DATA_THIDUA_ST!A:A,Table2[[#This Row],[Nhóm Thi Đua]])</f>
        <v>1.3339000000000001</v>
      </c>
      <c r="I34" s="319" t="s">
        <v>292</v>
      </c>
      <c r="J34" s="320">
        <f t="shared" ref="J34:AF34" si="12">SUM(J20:J28)</f>
        <v>1.2099999999999997</v>
      </c>
      <c r="K34" s="320">
        <f t="shared" si="12"/>
        <v>1.3399999999999999</v>
      </c>
      <c r="L34" s="320">
        <f t="shared" si="12"/>
        <v>1.1100000000000003</v>
      </c>
      <c r="M34" s="320">
        <f t="shared" si="12"/>
        <v>1.1400000000000001</v>
      </c>
      <c r="N34" s="320">
        <f t="shared" si="12"/>
        <v>1.1200000000000001</v>
      </c>
      <c r="O34" s="320">
        <f t="shared" si="12"/>
        <v>1.08</v>
      </c>
      <c r="P34" s="320">
        <f t="shared" si="12"/>
        <v>1.2200000000000002</v>
      </c>
      <c r="Q34" s="320">
        <f t="shared" si="12"/>
        <v>1.1100000000000001</v>
      </c>
      <c r="R34" s="320">
        <f t="shared" si="12"/>
        <v>1.1100000000000001</v>
      </c>
      <c r="S34" s="320">
        <f t="shared" si="12"/>
        <v>1.08</v>
      </c>
      <c r="T34" s="320">
        <f t="shared" si="12"/>
        <v>1.1200000000000001</v>
      </c>
      <c r="U34" s="320">
        <f t="shared" si="12"/>
        <v>1.21</v>
      </c>
      <c r="V34" s="320">
        <f t="shared" si="12"/>
        <v>1.2099999999999997</v>
      </c>
      <c r="W34" s="320">
        <f t="shared" si="12"/>
        <v>1.2</v>
      </c>
      <c r="X34" s="320">
        <f t="shared" si="12"/>
        <v>1.3199999999999998</v>
      </c>
      <c r="Y34" s="320">
        <f t="shared" si="12"/>
        <v>1.0799999999999998</v>
      </c>
      <c r="Z34" s="320">
        <f t="shared" si="12"/>
        <v>1.2399999999999998</v>
      </c>
      <c r="AA34" s="320">
        <f t="shared" si="12"/>
        <v>1.01</v>
      </c>
      <c r="AB34" s="320">
        <f t="shared" si="12"/>
        <v>1.3199999999999998</v>
      </c>
      <c r="AC34" s="320">
        <f t="shared" si="12"/>
        <v>1.08</v>
      </c>
      <c r="AD34" s="320">
        <f t="shared" si="12"/>
        <v>1.05</v>
      </c>
      <c r="AE34" s="320">
        <f t="shared" si="12"/>
        <v>1.05</v>
      </c>
      <c r="AF34" s="320">
        <f t="shared" si="12"/>
        <v>1.01</v>
      </c>
      <c r="AG34" s="320"/>
      <c r="AH34" s="320"/>
      <c r="AI34" s="320"/>
      <c r="AJ34" s="137"/>
    </row>
    <row r="35" spans="2:36" ht="16">
      <c r="B35" s="21">
        <v>32</v>
      </c>
      <c r="C35" s="46" t="s">
        <v>503</v>
      </c>
      <c r="D35" s="454" t="s">
        <v>53</v>
      </c>
      <c r="E35" s="455"/>
      <c r="F35" s="21">
        <f>SUMIFS(DATA_THIDUA_ST!C:C,DATA_THIDUA_ST!A:A,KB!C:C)</f>
        <v>14</v>
      </c>
      <c r="G35" s="456">
        <f>SUMIFS(DATA_THIDUA_ST!E:E,DATA_THIDUA_ST!A:A,Table2[[#This Row],[Nhóm Thi Đua]])</f>
        <v>0</v>
      </c>
      <c r="AJ35" s="338"/>
    </row>
    <row r="36" spans="2:36" ht="16">
      <c r="B36" s="21">
        <v>33</v>
      </c>
      <c r="C36" s="12" t="s">
        <v>518</v>
      </c>
      <c r="D36" s="457" t="s">
        <v>389</v>
      </c>
      <c r="E36" s="455"/>
      <c r="F36" s="21">
        <f>SUMIFS(DATA_THIDUA_ST!C:C,DATA_THIDUA_ST!A:A,KB!C:C)</f>
        <v>43</v>
      </c>
      <c r="G36" s="456">
        <f>SUMIFS(DATA_THIDUA_ST!E:E,DATA_THIDUA_ST!A:A,Table2[[#This Row],[Nhóm Thi Đua]])</f>
        <v>0</v>
      </c>
      <c r="I36" s="335" t="s">
        <v>179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5"/>
      <c r="T36" s="335"/>
      <c r="U36" s="335"/>
      <c r="V36" s="335"/>
      <c r="W36" s="335"/>
      <c r="X36" s="335"/>
      <c r="Y36" s="335"/>
      <c r="Z36" s="335"/>
      <c r="AA36" s="335"/>
      <c r="AB36" s="335"/>
      <c r="AC36" s="335"/>
      <c r="AD36" s="335"/>
      <c r="AE36" s="335"/>
      <c r="AF36" s="335"/>
      <c r="AG36" s="335"/>
      <c r="AH36" s="335"/>
      <c r="AI36" s="335"/>
      <c r="AJ36" s="338"/>
    </row>
    <row r="37" spans="2:36" ht="16">
      <c r="B37" s="21">
        <v>34</v>
      </c>
      <c r="C37" s="12" t="s">
        <v>515</v>
      </c>
      <c r="D37" s="21" t="s">
        <v>415</v>
      </c>
      <c r="F37" s="21">
        <f>SUMIFS(DATA_THIDUA_ST!C:C,DATA_THIDUA_ST!A:A,KB!C:C)</f>
        <v>438.57</v>
      </c>
      <c r="G37" s="456">
        <f>SUMIFS(DATA_THIDUA_ST!E:E,DATA_THIDUA_ST!A:A,Table2[[#This Row],[Nhóm Thi Đua]])</f>
        <v>2.7486999999999999</v>
      </c>
      <c r="I37" s="136"/>
      <c r="J37" s="675" t="s">
        <v>52</v>
      </c>
      <c r="K37" s="675" t="s">
        <v>33</v>
      </c>
      <c r="L37" s="675" t="s">
        <v>112</v>
      </c>
      <c r="M37" s="675" t="s">
        <v>30</v>
      </c>
      <c r="N37" s="675" t="s">
        <v>32</v>
      </c>
      <c r="O37" s="675" t="s">
        <v>64</v>
      </c>
      <c r="P37" s="676" t="s">
        <v>168</v>
      </c>
      <c r="Q37" s="675" t="s">
        <v>169</v>
      </c>
      <c r="R37" s="675" t="s">
        <v>147</v>
      </c>
      <c r="S37" s="675" t="s">
        <v>26</v>
      </c>
      <c r="T37" s="675" t="s">
        <v>229</v>
      </c>
      <c r="U37" s="675" t="s">
        <v>524</v>
      </c>
      <c r="V37" s="675" t="s">
        <v>104</v>
      </c>
      <c r="W37" s="510" t="s">
        <v>25</v>
      </c>
      <c r="X37" s="510" t="s">
        <v>70</v>
      </c>
      <c r="Y37" s="510" t="s">
        <v>171</v>
      </c>
      <c r="Z37" s="510" t="s">
        <v>231</v>
      </c>
      <c r="AA37" s="677" t="s">
        <v>31</v>
      </c>
      <c r="AB37" s="510" t="s">
        <v>228</v>
      </c>
      <c r="AC37" s="510" t="s">
        <v>232</v>
      </c>
      <c r="AD37" s="584" t="s">
        <v>128</v>
      </c>
      <c r="AE37" s="583" t="s">
        <v>61</v>
      </c>
      <c r="AF37" s="583" t="s">
        <v>103</v>
      </c>
      <c r="AG37" s="584" t="s">
        <v>556</v>
      </c>
      <c r="AH37" s="670" t="s">
        <v>557</v>
      </c>
      <c r="AI37" s="670" t="s">
        <v>558</v>
      </c>
      <c r="AJ37" s="338"/>
    </row>
    <row r="38" spans="2:36" ht="16">
      <c r="B38" s="21">
        <v>5</v>
      </c>
      <c r="C38" s="12" t="s">
        <v>262</v>
      </c>
      <c r="D38" s="454" t="s">
        <v>556</v>
      </c>
      <c r="E38" s="455"/>
      <c r="F38" s="21">
        <v>7000</v>
      </c>
      <c r="G38" s="456"/>
      <c r="I38" s="315" t="s">
        <v>56</v>
      </c>
      <c r="J38" s="585" cm="1">
        <f t="array" ref="J38">IFERROR(
INDEX($F$2:$F$40,MATCH(J$37,$D$2:$D$40,0))
*
INDEX($I$19:$AJ$28,
ROW()-ROW($I$37)+1,
COLUMN()-COLUMN($I$37)+1),
0)</f>
        <v>33.884999999999998</v>
      </c>
      <c r="K38" s="585" cm="1">
        <f t="array" ref="K38">IFERROR(
INDEX($F$2:$F$40,MATCH(K$37,$D$2:$D$40,0))
*
INDEX($I$19:$AJ$28,
ROW()-ROW($I$37)+1,
COLUMN()-COLUMN($I$37)+1),
0)</f>
        <v>45.594000000000001</v>
      </c>
      <c r="L38" s="585" cm="1">
        <f t="array" ref="L38">IFERROR(
INDEX($F$2:$F$40,MATCH(L$37,$D$2:$D$40,0))
*
INDEX($I$19:$AJ$28,
ROW()-ROW($I$37)+1,
COLUMN()-COLUMN($I$37)+1),
0)</f>
        <v>2.88</v>
      </c>
      <c r="M38" s="585" cm="1">
        <f t="array" ref="M38">IFERROR(
INDEX($F$2:$F$40,MATCH(M$37,$D$2:$D$40,0))
*
INDEX($I$19:$AJ$28,
ROW()-ROW($I$37)+1,
COLUMN()-COLUMN($I$37)+1),
0)</f>
        <v>46.565999999999995</v>
      </c>
      <c r="N38" s="585" cm="1">
        <f t="array" ref="N38">IFERROR(
INDEX($F$2:$F$40,MATCH(N$37,$D$2:$D$40,0))
*
INDEX($I$19:$AJ$28,
ROW()-ROW($I$37)+1,
COLUMN()-COLUMN($I$37)+1),
0)</f>
        <v>96.932000000000002</v>
      </c>
      <c r="O38" s="585" cm="1">
        <f t="array" ref="O38">IFERROR(
INDEX($F$2:$F$40,MATCH(O$37,$D$2:$D$40,0))
*
INDEX($I$19:$AJ$28,
ROW()-ROW($I$37)+1,
COLUMN()-COLUMN($I$37)+1),
0)</f>
        <v>146.542</v>
      </c>
      <c r="P38" s="585" cm="1">
        <f t="array" ref="P38">IFERROR(
INDEX($F$2:$F$40,MATCH(P$37,$D$2:$D$40,0))
*
INDEX($I$19:$AJ$28,
ROW()-ROW($I$37)+1,
COLUMN()-COLUMN($I$37)+1),
0)</f>
        <v>178.00200000000001</v>
      </c>
      <c r="Q38" s="585" cm="1">
        <f t="array" ref="Q38">IFERROR(
INDEX($F$2:$F$40,MATCH(Q$37,$D$2:$D$40,0))
*
INDEX($I$19:$AJ$28,
ROW()-ROW($I$37)+1,
COLUMN()-COLUMN($I$37)+1),
0)</f>
        <v>202.60799999999998</v>
      </c>
      <c r="R38" s="585" cm="1">
        <f t="array" ref="R38">IFERROR(
INDEX($F$2:$F$40,MATCH(R$37,$D$2:$D$40,0))
*
INDEX($I$19:$AJ$28,
ROW()-ROW($I$37)+1,
COLUMN()-COLUMN($I$37)+1),
0)</f>
        <v>246.95</v>
      </c>
      <c r="S38" s="585" cm="1">
        <f t="array" ref="S38">IFERROR(
INDEX($F$2:$F$40,MATCH(S$37,$D$2:$D$40,0))
*
INDEX($I$19:$AJ$28,
ROW()-ROW($I$37)+1,
COLUMN()-COLUMN($I$37)+1),
0)</f>
        <v>53.503999999999998</v>
      </c>
      <c r="T38" s="585" cm="1">
        <f t="array" ref="T38">IFERROR(
INDEX($F$2:$F$40,MATCH(T$37,$D$2:$D$40,0))
*
INDEX($I$19:$AJ$28,
ROW()-ROW($I$37)+1,
COLUMN()-COLUMN($I$37)+1),
0)</f>
        <v>15.311999999999999</v>
      </c>
      <c r="U38" s="585" cm="1">
        <f t="array" ref="U38">IFERROR(
INDEX($F$2:$F$40,MATCH(U$37,$D$2:$D$40,0))
*
INDEX($I$19:$AJ$28,
ROW()-ROW($I$37)+1,
COLUMN()-COLUMN($I$37)+1),
0)</f>
        <v>158.00400000000002</v>
      </c>
      <c r="V38" s="585" cm="1">
        <f t="array" ref="V38">IFERROR(
INDEX($F$2:$F$40,MATCH(V$37,$D$2:$D$40,0))
*
INDEX($I$19:$AJ$28,
ROW()-ROW($I$37)+1,
COLUMN()-COLUMN($I$37)+1),
0)</f>
        <v>2.4449999999999998</v>
      </c>
      <c r="W38" s="585" cm="1">
        <f t="array" ref="W38">IFERROR(
INDEX($F$2:$F$40,MATCH(W$37,$D$2:$D$40,0))
*
INDEX($I$19:$AJ$28,
ROW()-ROW($I$37)+1,
COLUMN()-COLUMN($I$37)+1),
0)</f>
        <v>9.5399999999999991</v>
      </c>
      <c r="X38" s="585" cm="1">
        <f t="array" ref="X38">IFERROR(
INDEX($F$2:$F$40,MATCH(X$37,$D$2:$D$40,0))
*
INDEX($I$19:$AJ$28,
ROW()-ROW($I$37)+1,
COLUMN()-COLUMN($I$37)+1),
0)</f>
        <v>172.00480000000002</v>
      </c>
      <c r="Y38" s="585" cm="1">
        <f t="array" ref="Y38">IFERROR(
INDEX($F$2:$F$40,MATCH(Y$37,$D$2:$D$40,0))
*
INDEX($I$19:$AJ$28,
ROW()-ROW($I$37)+1,
COLUMN()-COLUMN($I$37)+1),
0)</f>
        <v>4.1399999999999997</v>
      </c>
      <c r="Z38" s="585" cm="1">
        <f t="array" ref="Z38">IFERROR(
INDEX($F$2:$F$40,MATCH(Z$37,$D$2:$D$40,0))
*
INDEX($I$19:$AJ$28,
ROW()-ROW($I$37)+1,
COLUMN()-COLUMN($I$37)+1),
0)</f>
        <v>3.42</v>
      </c>
      <c r="AA38" s="585" cm="1">
        <f t="array" ref="AA38">IFERROR(
INDEX($F$2:$F$40,MATCH(AA$37,$D$2:$D$40,0))
*
INDEX($I$19:$AJ$28,
ROW()-ROW($I$37)+1,
COLUMN()-COLUMN($I$37)+1),
0)</f>
        <v>5.0579999999999998</v>
      </c>
      <c r="AB38" s="585" cm="1">
        <f t="array" ref="AB38">IFERROR(
INDEX($F$2:$F$40,MATCH(AB$37,$D$2:$D$40,0))
*
INDEX($I$19:$AJ$28,
ROW()-ROW($I$37)+1,
COLUMN()-COLUMN($I$37)+1),
0)</f>
        <v>20.988000000000003</v>
      </c>
      <c r="AC38" s="585" cm="1">
        <f t="array" ref="AC38">IFERROR(
INDEX($F$2:$F$40,MATCH(AC$37,$D$2:$D$40,0))
*
INDEX($I$19:$AJ$28,
ROW()-ROW($I$37)+1,
COLUMN()-COLUMN($I$37)+1),
0)</f>
        <v>39.071999999999996</v>
      </c>
      <c r="AD38" s="585" cm="1">
        <f t="array" ref="AD38">IFERROR(
INDEX($F$2:$F$40,MATCH(AD$37,$D$2:$D$40,0))
*
INDEX($I$19:$AJ$28,
ROW()-ROW($I$37)+1,
COLUMN()-COLUMN($I$37)+1),
0)</f>
        <v>9.1199999999999992</v>
      </c>
      <c r="AE38" s="585" cm="1">
        <f t="array" ref="AE38">IFERROR(
INDEX($F$2:$F$40,MATCH(AE$37,$D$2:$D$40,0))
*
INDEX($I$19:$AJ$28,
ROW()-ROW($I$37)+1,
COLUMN()-COLUMN($I$37)+1),
0)</f>
        <v>2.25</v>
      </c>
      <c r="AF38" s="585" cm="1">
        <f t="array" ref="AF38">IFERROR(
INDEX($F$2:$F$40,MATCH(AF$37,$D$2:$D$40,0))
*
INDEX($I$19:$AJ$28,
ROW()-ROW($I$37)+1,
COLUMN()-COLUMN($I$37)+1),
0)</f>
        <v>1.899</v>
      </c>
      <c r="AG38" s="585" cm="1">
        <f t="array" ref="AG38">IFERROR(
INDEX($F$2:$F$40,MATCH(AG$37,$D$2:$D$40,0))
*
INDEX($I$19:$AJ$28,
ROW()-ROW($I$37)+1,
COLUMN()-COLUMN($I$37)+1),
0)</f>
        <v>1400</v>
      </c>
      <c r="AH38" s="585" cm="1">
        <f t="array" ref="AH38">IFERROR(
INDEX($F$2:$F$40,MATCH(AH$37,$D$2:$D$40,0))
*
INDEX($I$19:$AJ$28,
ROW()-ROW($I$37)+1,
COLUMN()-COLUMN($I$37)+1),
0)</f>
        <v>420</v>
      </c>
      <c r="AI38" s="338" t="s">
        <v>559</v>
      </c>
      <c r="AJ38" s="338"/>
    </row>
    <row r="39" spans="2:36" ht="16">
      <c r="C39" s="50" t="s">
        <v>212</v>
      </c>
      <c r="D39" s="21" t="s">
        <v>557</v>
      </c>
      <c r="F39" s="615">
        <f>30%*F38</f>
        <v>2100</v>
      </c>
      <c r="I39" s="315" t="s">
        <v>60</v>
      </c>
      <c r="J39" s="585" cm="1">
        <f t="array" ref="J39">IFERROR(
INDEX($F$2:$F$40,MATCH(J$37,$D$2:$D$40,0))
*
INDEX($I$19:$AJ$28,
ROW()-ROW($I$37)+1,
COLUMN()-COLUMN($I$37)+1),
0)</f>
        <v>40.661999999999999</v>
      </c>
      <c r="K39" s="585" cm="1">
        <f t="array" ref="K39">IFERROR(
INDEX($F$2:$F$40,MATCH(K$37,$D$2:$D$40,0))
*
INDEX($I$19:$AJ$28,
ROW()-ROW($I$37)+1,
COLUMN()-COLUMN($I$37)+1),
0)</f>
        <v>55.726000000000006</v>
      </c>
      <c r="L39" s="585" cm="1">
        <f t="array" ref="L39">IFERROR(
INDEX($F$2:$F$40,MATCH(L$37,$D$2:$D$40,0))
*
INDEX($I$19:$AJ$28,
ROW()-ROW($I$37)+1,
COLUMN()-COLUMN($I$37)+1),
0)</f>
        <v>3.52</v>
      </c>
      <c r="M39" s="585" cm="1">
        <f t="array" ref="M39">IFERROR(
INDEX($F$2:$F$40,MATCH(M$37,$D$2:$D$40,0))
*
INDEX($I$19:$AJ$28,
ROW()-ROW($I$37)+1,
COLUMN()-COLUMN($I$37)+1),
0)</f>
        <v>46.565999999999995</v>
      </c>
      <c r="N39" s="585" cm="1">
        <f t="array" ref="N39">IFERROR(
INDEX($F$2:$F$40,MATCH(N$37,$D$2:$D$40,0))
*
INDEX($I$19:$AJ$28,
ROW()-ROW($I$37)+1,
COLUMN()-COLUMN($I$37)+1),
0)</f>
        <v>66.09</v>
      </c>
      <c r="O39" s="585" cm="1">
        <f t="array" ref="O39">IFERROR(
INDEX($F$2:$F$40,MATCH(O$37,$D$2:$D$40,0))
*
INDEX($I$19:$AJ$28,
ROW()-ROW($I$37)+1,
COLUMN()-COLUMN($I$37)+1),
0)</f>
        <v>99.915000000000006</v>
      </c>
      <c r="P39" s="585" cm="1">
        <f t="array" ref="P39">IFERROR(
INDEX($F$2:$F$40,MATCH(P$37,$D$2:$D$40,0))
*
INDEX($I$19:$AJ$28,
ROW()-ROW($I$37)+1,
COLUMN()-COLUMN($I$37)+1),
0)</f>
        <v>145.63800000000001</v>
      </c>
      <c r="Q39" s="585" cm="1">
        <f t="array" ref="Q39">IFERROR(
INDEX($F$2:$F$40,MATCH(Q$37,$D$2:$D$40,0))
*
INDEX($I$19:$AJ$28,
ROW()-ROW($I$37)+1,
COLUMN()-COLUMN($I$37)+1),
0)</f>
        <v>202.60799999999998</v>
      </c>
      <c r="R39" s="585" cm="1">
        <f t="array" ref="R39">IFERROR(
INDEX($F$2:$F$40,MATCH(R$37,$D$2:$D$40,0))
*
INDEX($I$19:$AJ$28,
ROW()-ROW($I$37)+1,
COLUMN()-COLUMN($I$37)+1),
0)</f>
        <v>202.04999999999998</v>
      </c>
      <c r="S39" s="585" cm="1">
        <f t="array" ref="S39">IFERROR(
INDEX($F$2:$F$40,MATCH(S$37,$D$2:$D$40,0))
*
INDEX($I$19:$AJ$28,
ROW()-ROW($I$37)+1,
COLUMN()-COLUMN($I$37)+1),
0)</f>
        <v>43.775999999999996</v>
      </c>
      <c r="T39" s="585" cm="1">
        <f t="array" ref="T39">IFERROR(
INDEX($F$2:$F$40,MATCH(T$37,$D$2:$D$40,0))
*
INDEX($I$19:$AJ$28,
ROW()-ROW($I$37)+1,
COLUMN()-COLUMN($I$37)+1),
0)</f>
        <v>15.311999999999999</v>
      </c>
      <c r="U39" s="585" cm="1">
        <f t="array" ref="U39">IFERROR(
INDEX($F$2:$F$40,MATCH(U$37,$D$2:$D$40,0))
*
INDEX($I$19:$AJ$28,
ROW()-ROW($I$37)+1,
COLUMN()-COLUMN($I$37)+1),
0)</f>
        <v>129.27600000000001</v>
      </c>
      <c r="V39" s="585" cm="1">
        <f t="array" ref="V39">IFERROR(
INDEX($F$2:$F$40,MATCH(V$37,$D$2:$D$40,0))
*
INDEX($I$19:$AJ$28,
ROW()-ROW($I$37)+1,
COLUMN()-COLUMN($I$37)+1),
0)</f>
        <v>2.9340000000000002</v>
      </c>
      <c r="W39" s="585" cm="1">
        <f t="array" ref="W39">IFERROR(
INDEX($F$2:$F$40,MATCH(W$37,$D$2:$D$40,0))
*
INDEX($I$19:$AJ$28,
ROW()-ROW($I$37)+1,
COLUMN()-COLUMN($I$37)+1),
0)</f>
        <v>11.66</v>
      </c>
      <c r="X39" s="585" cm="1">
        <f t="array" ref="X39">IFERROR(
INDEX($F$2:$F$40,MATCH(X$37,$D$2:$D$40,0))
*
INDEX($I$19:$AJ$28,
ROW()-ROW($I$37)+1,
COLUMN()-COLUMN($I$37)+1),
0)</f>
        <v>140.7312</v>
      </c>
      <c r="Y39" s="585" cm="1">
        <f t="array" ref="Y39">IFERROR(
INDEX($F$2:$F$40,MATCH(Y$37,$D$2:$D$40,0))
*
INDEX($I$19:$AJ$28,
ROW()-ROW($I$37)+1,
COLUMN()-COLUMN($I$37)+1),
0)</f>
        <v>3.4499999999999997</v>
      </c>
      <c r="Z39" s="585" cm="1">
        <f t="array" ref="Z39">IFERROR(
INDEX($F$2:$F$40,MATCH(Z$37,$D$2:$D$40,0))
*
INDEX($I$19:$AJ$28,
ROW()-ROW($I$37)+1,
COLUMN()-COLUMN($I$37)+1),
0)</f>
        <v>4.18</v>
      </c>
      <c r="AA39" s="585" cm="1">
        <f t="array" ref="AA39">IFERROR(
INDEX($F$2:$F$40,MATCH(AA$37,$D$2:$D$40,0))
*
INDEX($I$19:$AJ$28,
ROW()-ROW($I$37)+1,
COLUMN()-COLUMN($I$37)+1),
0)</f>
        <v>4.2149999999999999</v>
      </c>
      <c r="AB39" s="585" cm="1">
        <f t="array" ref="AB39">IFERROR(
INDEX($F$2:$F$40,MATCH(AB$37,$D$2:$D$40,0))
*
INDEX($I$19:$AJ$28,
ROW()-ROW($I$37)+1,
COLUMN()-COLUMN($I$37)+1),
0)</f>
        <v>20.988000000000003</v>
      </c>
      <c r="AC39" s="585" cm="1">
        <f t="array" ref="AC39">IFERROR(
INDEX($F$2:$F$40,MATCH(AC$37,$D$2:$D$40,0))
*
INDEX($I$19:$AJ$28,
ROW()-ROW($I$37)+1,
COLUMN()-COLUMN($I$37)+1),
0)</f>
        <v>31.967999999999996</v>
      </c>
      <c r="AD39" s="585" cm="1">
        <f t="array" ref="AD39">IFERROR(
INDEX($F$2:$F$40,MATCH(AD$37,$D$2:$D$40,0))
*
INDEX($I$19:$AJ$28,
ROW()-ROW($I$37)+1,
COLUMN()-COLUMN($I$37)+1),
0)</f>
        <v>9.1199999999999992</v>
      </c>
      <c r="AE39" s="585" cm="1">
        <f t="array" ref="AE39">IFERROR(
INDEX($F$2:$F$40,MATCH(AE$37,$D$2:$D$40,0))
*
INDEX($I$19:$AJ$28,
ROW()-ROW($I$37)+1,
COLUMN()-COLUMN($I$37)+1),
0)</f>
        <v>2.25</v>
      </c>
      <c r="AF39" s="585" cm="1">
        <f t="array" ref="AF39">IFERROR(
INDEX($F$2:$F$40,MATCH(AF$37,$D$2:$D$40,0))
*
INDEX($I$19:$AJ$28,
ROW()-ROW($I$37)+1,
COLUMN()-COLUMN($I$37)+1),
0)</f>
        <v>1.5825</v>
      </c>
      <c r="AG39" s="585" cm="1">
        <f t="array" ref="AG39">IFERROR(
INDEX($F$2:$F$40,MATCH(AG$37,$D$2:$D$40,0))
*
INDEX($I$19:$AJ$28,
ROW()-ROW($I$37)+1,
COLUMN()-COLUMN($I$37)+1),
0)</f>
        <v>1260</v>
      </c>
      <c r="AH39" s="585" cm="1">
        <f t="array" ref="AH39">IFERROR(
INDEX($F$2:$F$40,MATCH(AH$37,$D$2:$D$40,0))
*
INDEX($I$19:$AJ$28,
ROW()-ROW($I$37)+1,
COLUMN()-COLUMN($I$37)+1),
0)</f>
        <v>420</v>
      </c>
      <c r="AI39" s="338" t="s">
        <v>559</v>
      </c>
      <c r="AJ39" s="338"/>
    </row>
    <row r="40" spans="2:36" ht="16">
      <c r="I40" s="315" t="s">
        <v>57</v>
      </c>
      <c r="J40" s="585" cm="1">
        <f t="array" ref="J40">IFERROR(
INDEX($F$2:$F$40,MATCH(J$37,$D$2:$D$40,0))
*
INDEX($I$19:$AJ$28,
ROW()-ROW($I$37)+1,
COLUMN()-COLUMN($I$37)+1),
0)</f>
        <v>40.661999999999999</v>
      </c>
      <c r="K40" s="585" cm="1">
        <f t="array" ref="K40">IFERROR(
INDEX($F$2:$F$40,MATCH(K$37,$D$2:$D$40,0))
*
INDEX($I$19:$AJ$28,
ROW()-ROW($I$37)+1,
COLUMN()-COLUMN($I$37)+1),
0)</f>
        <v>45.594000000000001</v>
      </c>
      <c r="L40" s="585" cm="1">
        <f t="array" ref="L40">IFERROR(
INDEX($F$2:$F$40,MATCH(L$37,$D$2:$D$40,0))
*
INDEX($I$19:$AJ$28,
ROW()-ROW($I$37)+1,
COLUMN()-COLUMN($I$37)+1),
0)</f>
        <v>2.88</v>
      </c>
      <c r="M40" s="585" cm="1">
        <f t="array" ref="M40">IFERROR(
INDEX($F$2:$F$40,MATCH(M$37,$D$2:$D$40,0))
*
INDEX($I$19:$AJ$28,
ROW()-ROW($I$37)+1,
COLUMN()-COLUMN($I$37)+1),
0)</f>
        <v>46.565999999999995</v>
      </c>
      <c r="N40" s="585" cm="1">
        <f t="array" ref="N40">IFERROR(
INDEX($F$2:$F$40,MATCH(N$37,$D$2:$D$40,0))
*
INDEX($I$19:$AJ$28,
ROW()-ROW($I$37)+1,
COLUMN()-COLUMN($I$37)+1),
0)</f>
        <v>96.932000000000002</v>
      </c>
      <c r="O40" s="585" cm="1">
        <f t="array" ref="O40">IFERROR(
INDEX($F$2:$F$40,MATCH(O$37,$D$2:$D$40,0))
*
INDEX($I$19:$AJ$28,
ROW()-ROW($I$37)+1,
COLUMN()-COLUMN($I$37)+1),
0)</f>
        <v>119.898</v>
      </c>
      <c r="P40" s="585" cm="1">
        <f t="array" ref="P40">IFERROR(
INDEX($F$2:$F$40,MATCH(P$37,$D$2:$D$40,0))
*
INDEX($I$19:$AJ$28,
ROW()-ROW($I$37)+1,
COLUMN()-COLUMN($I$37)+1),
0)</f>
        <v>178.00200000000001</v>
      </c>
      <c r="Q40" s="585" cm="1">
        <f t="array" ref="Q40">IFERROR(
INDEX($F$2:$F$40,MATCH(Q$37,$D$2:$D$40,0))
*
INDEX($I$19:$AJ$28,
ROW()-ROW($I$37)+1,
COLUMN()-COLUMN($I$37)+1),
0)</f>
        <v>168.83999999999997</v>
      </c>
      <c r="R40" s="585" cm="1">
        <f t="array" ref="R40">IFERROR(
INDEX($F$2:$F$40,MATCH(R$37,$D$2:$D$40,0))
*
INDEX($I$19:$AJ$28,
ROW()-ROW($I$37)+1,
COLUMN()-COLUMN($I$37)+1),
0)</f>
        <v>202.04999999999998</v>
      </c>
      <c r="S40" s="585" cm="1">
        <f t="array" ref="S40">IFERROR(
INDEX($F$2:$F$40,MATCH(S$37,$D$2:$D$40,0))
*
INDEX($I$19:$AJ$28,
ROW()-ROW($I$37)+1,
COLUMN()-COLUMN($I$37)+1),
0)</f>
        <v>43.775999999999996</v>
      </c>
      <c r="T40" s="585" cm="1">
        <f t="array" ref="T40">IFERROR(
INDEX($F$2:$F$40,MATCH(T$37,$D$2:$D$40,0))
*
INDEX($I$19:$AJ$28,
ROW()-ROW($I$37)+1,
COLUMN()-COLUMN($I$37)+1),
0)</f>
        <v>10.44</v>
      </c>
      <c r="U40" s="585" cm="1">
        <f t="array" ref="U40">IFERROR(
INDEX($F$2:$F$40,MATCH(U$37,$D$2:$D$40,0))
*
INDEX($I$19:$AJ$28,
ROW()-ROW($I$37)+1,
COLUMN()-COLUMN($I$37)+1),
0)</f>
        <v>129.27600000000001</v>
      </c>
      <c r="V40" s="585" cm="1">
        <f t="array" ref="V40">IFERROR(
INDEX($F$2:$F$40,MATCH(V$37,$D$2:$D$40,0))
*
INDEX($I$19:$AJ$28,
ROW()-ROW($I$37)+1,
COLUMN()-COLUMN($I$37)+1),
0)</f>
        <v>2.9340000000000002</v>
      </c>
      <c r="W40" s="585" cm="1">
        <f t="array" ref="W40">IFERROR(
INDEX($F$2:$F$40,MATCH(W$37,$D$2:$D$40,0))
*
INDEX($I$19:$AJ$28,
ROW()-ROW($I$37)+1,
COLUMN()-COLUMN($I$37)+1),
0)</f>
        <v>9.5399999999999991</v>
      </c>
      <c r="X40" s="585" cm="1">
        <f t="array" ref="X40">IFERROR(
INDEX($F$2:$F$40,MATCH(X$37,$D$2:$D$40,0))
*
INDEX($I$19:$AJ$28,
ROW()-ROW($I$37)+1,
COLUMN()-COLUMN($I$37)+1),
0)</f>
        <v>172.00480000000002</v>
      </c>
      <c r="Y40" s="585" cm="1">
        <f t="array" ref="Y40">IFERROR(
INDEX($F$2:$F$40,MATCH(Y$37,$D$2:$D$40,0))
*
INDEX($I$19:$AJ$28,
ROW()-ROW($I$37)+1,
COLUMN()-COLUMN($I$37)+1),
0)</f>
        <v>3.4499999999999997</v>
      </c>
      <c r="Z40" s="585" cm="1">
        <f t="array" ref="Z40">IFERROR(
INDEX($F$2:$F$40,MATCH(Z$37,$D$2:$D$40,0))
*
INDEX($I$19:$AJ$28,
ROW()-ROW($I$37)+1,
COLUMN()-COLUMN($I$37)+1),
0)</f>
        <v>3.42</v>
      </c>
      <c r="AA40" s="585" cm="1">
        <f t="array" ref="AA40">IFERROR(
INDEX($F$2:$F$40,MATCH(AA$37,$D$2:$D$40,0))
*
INDEX($I$19:$AJ$28,
ROW()-ROW($I$37)+1,
COLUMN()-COLUMN($I$37)+1),
0)</f>
        <v>4.2149999999999999</v>
      </c>
      <c r="AB40" s="585" cm="1">
        <f t="array" ref="AB40">IFERROR(
INDEX($F$2:$F$40,MATCH(AB$37,$D$2:$D$40,0))
*
INDEX($I$19:$AJ$28,
ROW()-ROW($I$37)+1,
COLUMN()-COLUMN($I$37)+1),
0)</f>
        <v>17.172000000000001</v>
      </c>
      <c r="AC40" s="585" cm="1">
        <f t="array" ref="AC40">IFERROR(
INDEX($F$2:$F$40,MATCH(AC$37,$D$2:$D$40,0))
*
INDEX($I$19:$AJ$28,
ROW()-ROW($I$37)+1,
COLUMN()-COLUMN($I$37)+1),
0)</f>
        <v>31.967999999999996</v>
      </c>
      <c r="AD40" s="585" cm="1">
        <f t="array" ref="AD40">IFERROR(
INDEX($F$2:$F$40,MATCH(AD$37,$D$2:$D$40,0))
*
INDEX($I$19:$AJ$28,
ROW()-ROW($I$37)+1,
COLUMN()-COLUMN($I$37)+1),
0)</f>
        <v>9.1199999999999992</v>
      </c>
      <c r="AE40" s="585" cm="1">
        <f t="array" ref="AE40">IFERROR(
INDEX($F$2:$F$40,MATCH(AE$37,$D$2:$D$40,0))
*
INDEX($I$19:$AJ$28,
ROW()-ROW($I$37)+1,
COLUMN()-COLUMN($I$37)+1),
0)</f>
        <v>2.25</v>
      </c>
      <c r="AF40" s="585" cm="1">
        <f t="array" ref="AF40">IFERROR(
INDEX($F$2:$F$40,MATCH(AF$37,$D$2:$D$40,0))
*
INDEX($I$19:$AJ$28,
ROW()-ROW($I$37)+1,
COLUMN()-COLUMN($I$37)+1),
0)</f>
        <v>1.5825</v>
      </c>
      <c r="AG40" s="585" cm="1">
        <f t="array" ref="AG40">IFERROR(
INDEX($F$2:$F$40,MATCH(AG$37,$D$2:$D$40,0))
*
INDEX($I$19:$AJ$28,
ROW()-ROW($I$37)+1,
COLUMN()-COLUMN($I$37)+1),
0)</f>
        <v>875</v>
      </c>
      <c r="AH40" s="585" cm="1">
        <f t="array" ref="AH40">IFERROR(
INDEX($F$2:$F$40,MATCH(AH$37,$D$2:$D$40,0))
*
INDEX($I$19:$AJ$28,
ROW()-ROW($I$37)+1,
COLUMN()-COLUMN($I$37)+1),
0)</f>
        <v>262.5</v>
      </c>
      <c r="AI40" s="338" t="s">
        <v>559</v>
      </c>
      <c r="AJ40" s="338"/>
    </row>
    <row r="41" spans="2:36" ht="16">
      <c r="I41" s="315" t="s">
        <v>151</v>
      </c>
      <c r="J41" s="585" cm="1">
        <f t="array" ref="J41">IFERROR(
INDEX($F$2:$F$40,MATCH(J$37,$D$2:$D$40,0))
*
INDEX($I$19:$AJ$28,
ROW()-ROW($I$37)+1,
COLUMN()-COLUMN($I$37)+1),
0)</f>
        <v>49.698</v>
      </c>
      <c r="K41" s="585" cm="1">
        <f t="array" ref="K41">IFERROR(
INDEX($F$2:$F$40,MATCH(K$37,$D$2:$D$40,0))
*
INDEX($I$19:$AJ$28,
ROW()-ROW($I$37)+1,
COLUMN()-COLUMN($I$37)+1),
0)</f>
        <v>55.726000000000006</v>
      </c>
      <c r="L41" s="585" cm="1">
        <f t="array" ref="L41">IFERROR(
INDEX($F$2:$F$40,MATCH(L$37,$D$2:$D$40,0))
*
INDEX($I$19:$AJ$28,
ROW()-ROW($I$37)+1,
COLUMN()-COLUMN($I$37)+1),
0)</f>
        <v>2.4</v>
      </c>
      <c r="M41" s="585" cm="1">
        <f t="array" ref="M41">IFERROR(
INDEX($F$2:$F$40,MATCH(M$37,$D$2:$D$40,0))
*
INDEX($I$19:$AJ$28,
ROW()-ROW($I$37)+1,
COLUMN()-COLUMN($I$37)+1),
0)</f>
        <v>46.565999999999995</v>
      </c>
      <c r="N41" s="585" cm="1">
        <f t="array" ref="N41">IFERROR(
INDEX($F$2:$F$40,MATCH(N$37,$D$2:$D$40,0))
*
INDEX($I$19:$AJ$28,
ROW()-ROW($I$37)+1,
COLUMN()-COLUMN($I$37)+1),
0)</f>
        <v>79.308000000000007</v>
      </c>
      <c r="O41" s="585" cm="1">
        <f t="array" ref="O41">IFERROR(
INDEX($F$2:$F$40,MATCH(O$37,$D$2:$D$40,0))
*
INDEX($I$19:$AJ$28,
ROW()-ROW($I$37)+1,
COLUMN()-COLUMN($I$37)+1),
0)</f>
        <v>119.898</v>
      </c>
      <c r="P41" s="585" cm="1">
        <f t="array" ref="P41">IFERROR(
INDEX($F$2:$F$40,MATCH(P$37,$D$2:$D$40,0))
*
INDEX($I$19:$AJ$28,
ROW()-ROW($I$37)+1,
COLUMN()-COLUMN($I$37)+1),
0)</f>
        <v>145.63800000000001</v>
      </c>
      <c r="Q41" s="585" cm="1">
        <f t="array" ref="Q41">IFERROR(
INDEX($F$2:$F$40,MATCH(Q$37,$D$2:$D$40,0))
*
INDEX($I$19:$AJ$28,
ROW()-ROW($I$37)+1,
COLUMN()-COLUMN($I$37)+1),
0)</f>
        <v>247.63199999999998</v>
      </c>
      <c r="R41" s="585" cm="1">
        <f t="array" ref="R41">IFERROR(
INDEX($F$2:$F$40,MATCH(R$37,$D$2:$D$40,0))
*
INDEX($I$19:$AJ$28,
ROW()-ROW($I$37)+1,
COLUMN()-COLUMN($I$37)+1),
0)</f>
        <v>202.04999999999998</v>
      </c>
      <c r="S41" s="585" cm="1">
        <f t="array" ref="S41">IFERROR(
INDEX($F$2:$F$40,MATCH(S$37,$D$2:$D$40,0))
*
INDEX($I$19:$AJ$28,
ROW()-ROW($I$37)+1,
COLUMN()-COLUMN($I$37)+1),
0)</f>
        <v>36.479999999999997</v>
      </c>
      <c r="T41" s="585" cm="1">
        <f t="array" ref="T41">IFERROR(
INDEX($F$2:$F$40,MATCH(T$37,$D$2:$D$40,0))
*
INDEX($I$19:$AJ$28,
ROW()-ROW($I$37)+1,
COLUMN()-COLUMN($I$37)+1),
0)</f>
        <v>10.44</v>
      </c>
      <c r="U41" s="585" cm="1">
        <f t="array" ref="U41">IFERROR(
INDEX($F$2:$F$40,MATCH(U$37,$D$2:$D$40,0))
*
INDEX($I$19:$AJ$28,
ROW()-ROW($I$37)+1,
COLUMN()-COLUMN($I$37)+1),
0)</f>
        <v>107.73</v>
      </c>
      <c r="V41" s="585" cm="1">
        <f t="array" ref="V41">IFERROR(
INDEX($F$2:$F$40,MATCH(V$37,$D$2:$D$40,0))
*
INDEX($I$19:$AJ$28,
ROW()-ROW($I$37)+1,
COLUMN()-COLUMN($I$37)+1),
0)</f>
        <v>3.5860000000000003</v>
      </c>
      <c r="W41" s="585" cm="1">
        <f t="array" ref="W41">IFERROR(
INDEX($F$2:$F$40,MATCH(W$37,$D$2:$D$40,0))
*
INDEX($I$19:$AJ$28,
ROW()-ROW($I$37)+1,
COLUMN()-COLUMN($I$37)+1),
0)</f>
        <v>5.3000000000000007</v>
      </c>
      <c r="X41" s="585" cm="1">
        <f t="array" ref="X41">IFERROR(
INDEX($F$2:$F$40,MATCH(X$37,$D$2:$D$40,0))
*
INDEX($I$19:$AJ$28,
ROW()-ROW($I$37)+1,
COLUMN()-COLUMN($I$37)+1),
0)</f>
        <v>140.7312</v>
      </c>
      <c r="Y41" s="585" cm="1">
        <f t="array" ref="Y41">IFERROR(
INDEX($F$2:$F$40,MATCH(Y$37,$D$2:$D$40,0))
*
INDEX($I$19:$AJ$28,
ROW()-ROW($I$37)+1,
COLUMN()-COLUMN($I$37)+1),
0)</f>
        <v>4.1399999999999997</v>
      </c>
      <c r="Z41" s="585" cm="1">
        <f t="array" ref="Z41">IFERROR(
INDEX($F$2:$F$40,MATCH(Z$37,$D$2:$D$40,0))
*
INDEX($I$19:$AJ$28,
ROW()-ROW($I$37)+1,
COLUMN()-COLUMN($I$37)+1),
0)</f>
        <v>3.42</v>
      </c>
      <c r="AA41" s="585" cm="1">
        <f t="array" ref="AA41">IFERROR(
INDEX($F$2:$F$40,MATCH(AA$37,$D$2:$D$40,0))
*
INDEX($I$19:$AJ$28,
ROW()-ROW($I$37)+1,
COLUMN()-COLUMN($I$37)+1),
0)</f>
        <v>4.2149999999999999</v>
      </c>
      <c r="AB41" s="585" cm="1">
        <f t="array" ref="AB41">IFERROR(
INDEX($F$2:$F$40,MATCH(AB$37,$D$2:$D$40,0))
*
INDEX($I$19:$AJ$28,
ROW()-ROW($I$37)+1,
COLUMN()-COLUMN($I$37)+1),
0)</f>
        <v>20.988000000000003</v>
      </c>
      <c r="AC41" s="585" cm="1">
        <f t="array" ref="AC41">IFERROR(
INDEX($F$2:$F$40,MATCH(AC$37,$D$2:$D$40,0))
*
INDEX($I$19:$AJ$28,
ROW()-ROW($I$37)+1,
COLUMN()-COLUMN($I$37)+1),
0)</f>
        <v>26.639999999999997</v>
      </c>
      <c r="AD41" s="585" cm="1">
        <f t="array" ref="AD41">IFERROR(
INDEX($F$2:$F$40,MATCH(AD$37,$D$2:$D$40,0))
*
INDEX($I$19:$AJ$28,
ROW()-ROW($I$37)+1,
COLUMN()-COLUMN($I$37)+1),
0)</f>
        <v>9.1199999999999992</v>
      </c>
      <c r="AE41" s="585" cm="1">
        <f t="array" ref="AE41">IFERROR(
INDEX($F$2:$F$40,MATCH(AE$37,$D$2:$D$40,0))
*
INDEX($I$19:$AJ$28,
ROW()-ROW($I$37)+1,
COLUMN()-COLUMN($I$37)+1),
0)</f>
        <v>2.25</v>
      </c>
      <c r="AF41" s="585" cm="1">
        <f t="array" ref="AF41">IFERROR(
INDEX($F$2:$F$40,MATCH(AF$37,$D$2:$D$40,0))
*
INDEX($I$19:$AJ$28,
ROW()-ROW($I$37)+1,
COLUMN()-COLUMN($I$37)+1),
0)</f>
        <v>1.5825</v>
      </c>
      <c r="AG41" s="585" cm="1">
        <f t="array" ref="AG41">IFERROR(
INDEX($F$2:$F$40,MATCH(AG$37,$D$2:$D$40,0))
*
INDEX($I$19:$AJ$28,
ROW()-ROW($I$37)+1,
COLUMN()-COLUMN($I$37)+1),
0)</f>
        <v>1050</v>
      </c>
      <c r="AH41" s="585" cm="1">
        <f t="array" ref="AH41">IFERROR(
INDEX($F$2:$F$40,MATCH(AH$37,$D$2:$D$40,0))
*
INDEX($I$19:$AJ$28,
ROW()-ROW($I$37)+1,
COLUMN()-COLUMN($I$37)+1),
0)</f>
        <v>315</v>
      </c>
      <c r="AI41" s="338" t="s">
        <v>559</v>
      </c>
      <c r="AJ41" s="338"/>
    </row>
    <row r="42" spans="2:36" ht="16">
      <c r="I42" s="315" t="s">
        <v>15</v>
      </c>
      <c r="J42" s="585" cm="1">
        <f t="array" ref="J42">IFERROR(
INDEX($F$2:$F$40,MATCH(J$37,$D$2:$D$40,0))
*
INDEX($I$19:$AJ$28,
ROW()-ROW($I$37)+1,
COLUMN()-COLUMN($I$37)+1),
0)</f>
        <v>40.661999999999999</v>
      </c>
      <c r="K42" s="585" cm="1">
        <f t="array" ref="K42">IFERROR(
INDEX($F$2:$F$40,MATCH(K$37,$D$2:$D$40,0))
*
INDEX($I$19:$AJ$28,
ROW()-ROW($I$37)+1,
COLUMN()-COLUMN($I$37)+1),
0)</f>
        <v>45.594000000000001</v>
      </c>
      <c r="L42" s="585" cm="1">
        <f t="array" ref="L42">IFERROR(
INDEX($F$2:$F$40,MATCH(L$37,$D$2:$D$40,0))
*
INDEX($I$19:$AJ$28,
ROW()-ROW($I$37)+1,
COLUMN()-COLUMN($I$37)+1),
0)</f>
        <v>2.88</v>
      </c>
      <c r="M42" s="585" cm="1">
        <f t="array" ref="M42">IFERROR(
INDEX($F$2:$F$40,MATCH(M$37,$D$2:$D$40,0))
*
INDEX($I$19:$AJ$28,
ROW()-ROW($I$37)+1,
COLUMN()-COLUMN($I$37)+1),
0)</f>
        <v>56.913999999999994</v>
      </c>
      <c r="N42" s="585" cm="1">
        <f t="array" ref="N42">IFERROR(
INDEX($F$2:$F$40,MATCH(N$37,$D$2:$D$40,0))
*
INDEX($I$19:$AJ$28,
ROW()-ROW($I$37)+1,
COLUMN()-COLUMN($I$37)+1),
0)</f>
        <v>66.09</v>
      </c>
      <c r="O42" s="585" cm="1">
        <f t="array" ref="O42">IFERROR(
INDEX($F$2:$F$40,MATCH(O$37,$D$2:$D$40,0))
*
INDEX($I$19:$AJ$28,
ROW()-ROW($I$37)+1,
COLUMN()-COLUMN($I$37)+1),
0)</f>
        <v>99.915000000000006</v>
      </c>
      <c r="P42" s="585" cm="1">
        <f t="array" ref="P42">IFERROR(
INDEX($F$2:$F$40,MATCH(P$37,$D$2:$D$40,0))
*
INDEX($I$19:$AJ$28,
ROW()-ROW($I$37)+1,
COLUMN()-COLUMN($I$37)+1),
0)</f>
        <v>178.00200000000001</v>
      </c>
      <c r="Q42" s="585" cm="1">
        <f t="array" ref="Q42">IFERROR(
INDEX($F$2:$F$40,MATCH(Q$37,$D$2:$D$40,0))
*
INDEX($I$19:$AJ$28,
ROW()-ROW($I$37)+1,
COLUMN()-COLUMN($I$37)+1),
0)</f>
        <v>202.60799999999998</v>
      </c>
      <c r="R42" s="585" cm="1">
        <f t="array" ref="R42">IFERROR(
INDEX($F$2:$F$40,MATCH(R$37,$D$2:$D$40,0))
*
INDEX($I$19:$AJ$28,
ROW()-ROW($I$37)+1,
COLUMN()-COLUMN($I$37)+1),
0)</f>
        <v>168.375</v>
      </c>
      <c r="S42" s="585" cm="1">
        <f t="array" ref="S42">IFERROR(
INDEX($F$2:$F$40,MATCH(S$37,$D$2:$D$40,0))
*
INDEX($I$19:$AJ$28,
ROW()-ROW($I$37)+1,
COLUMN()-COLUMN($I$37)+1),
0)</f>
        <v>36.479999999999997</v>
      </c>
      <c r="T42" s="585" cm="1">
        <f t="array" ref="T42">IFERROR(
INDEX($F$2:$F$40,MATCH(T$37,$D$2:$D$40,0))
*
INDEX($I$19:$AJ$28,
ROW()-ROW($I$37)+1,
COLUMN()-COLUMN($I$37)+1),
0)</f>
        <v>12.527999999999999</v>
      </c>
      <c r="U42" s="585" cm="1">
        <f t="array" ref="U42">IFERROR(
INDEX($F$2:$F$40,MATCH(U$37,$D$2:$D$40,0))
*
INDEX($I$19:$AJ$28,
ROW()-ROW($I$37)+1,
COLUMN()-COLUMN($I$37)+1),
0)</f>
        <v>129.27600000000001</v>
      </c>
      <c r="V42" s="585" cm="1">
        <f t="array" ref="V42">IFERROR(
INDEX($F$2:$F$40,MATCH(V$37,$D$2:$D$40,0))
*
INDEX($I$19:$AJ$28,
ROW()-ROW($I$37)+1,
COLUMN()-COLUMN($I$37)+1),
0)</f>
        <v>2.9340000000000002</v>
      </c>
      <c r="W42" s="585" cm="1">
        <f t="array" ref="W42">IFERROR(
INDEX($F$2:$F$40,MATCH(W$37,$D$2:$D$40,0))
*
INDEX($I$19:$AJ$28,
ROW()-ROW($I$37)+1,
COLUMN()-COLUMN($I$37)+1),
0)</f>
        <v>11.66</v>
      </c>
      <c r="X42" s="585" cm="1">
        <f t="array" ref="X42">IFERROR(
INDEX($F$2:$F$40,MATCH(X$37,$D$2:$D$40,0))
*
INDEX($I$19:$AJ$28,
ROW()-ROW($I$37)+1,
COLUMN()-COLUMN($I$37)+1),
0)</f>
        <v>172.00480000000002</v>
      </c>
      <c r="Y42" s="585" cm="1">
        <f t="array" ref="Y42">IFERROR(
INDEX($F$2:$F$40,MATCH(Y$37,$D$2:$D$40,0))
*
INDEX($I$19:$AJ$28,
ROW()-ROW($I$37)+1,
COLUMN()-COLUMN($I$37)+1),
0)</f>
        <v>5.0599999999999996</v>
      </c>
      <c r="Z42" s="585" cm="1">
        <f t="array" ref="Z42">IFERROR(
INDEX($F$2:$F$40,MATCH(Z$37,$D$2:$D$40,0))
*
INDEX($I$19:$AJ$28,
ROW()-ROW($I$37)+1,
COLUMN()-COLUMN($I$37)+1),
0)</f>
        <v>3.42</v>
      </c>
      <c r="AA42" s="585" cm="1">
        <f t="array" ref="AA42">IFERROR(
INDEX($F$2:$F$40,MATCH(AA$37,$D$2:$D$40,0))
*
INDEX($I$19:$AJ$28,
ROW()-ROW($I$37)+1,
COLUMN()-COLUMN($I$37)+1),
0)</f>
        <v>5.0579999999999998</v>
      </c>
      <c r="AB42" s="585" cm="1">
        <f t="array" ref="AB42">IFERROR(
INDEX($F$2:$F$40,MATCH(AB$37,$D$2:$D$40,0))
*
INDEX($I$19:$AJ$28,
ROW()-ROW($I$37)+1,
COLUMN()-COLUMN($I$37)+1),
0)</f>
        <v>17.172000000000001</v>
      </c>
      <c r="AC42" s="585" cm="1">
        <f t="array" ref="AC42">IFERROR(
INDEX($F$2:$F$40,MATCH(AC$37,$D$2:$D$40,0))
*
INDEX($I$19:$AJ$28,
ROW()-ROW($I$37)+1,
COLUMN()-COLUMN($I$37)+1),
0)</f>
        <v>26.639999999999997</v>
      </c>
      <c r="AD42" s="585" cm="1">
        <f t="array" ref="AD42">IFERROR(
INDEX($F$2:$F$40,MATCH(AD$37,$D$2:$D$40,0))
*
INDEX($I$19:$AJ$28,
ROW()-ROW($I$37)+1,
COLUMN()-COLUMN($I$37)+1),
0)</f>
        <v>9.1199999999999992</v>
      </c>
      <c r="AE42" s="585" cm="1">
        <f t="array" ref="AE42">IFERROR(
INDEX($F$2:$F$40,MATCH(AE$37,$D$2:$D$40,0))
*
INDEX($I$19:$AJ$28,
ROW()-ROW($I$37)+1,
COLUMN()-COLUMN($I$37)+1),
0)</f>
        <v>2.25</v>
      </c>
      <c r="AF42" s="585" cm="1">
        <f t="array" ref="AF42">IFERROR(
INDEX($F$2:$F$40,MATCH(AF$37,$D$2:$D$40,0))
*
INDEX($I$19:$AJ$28,
ROW()-ROW($I$37)+1,
COLUMN()-COLUMN($I$37)+1),
0)</f>
        <v>1.899</v>
      </c>
      <c r="AG42" s="585" cm="1">
        <f t="array" ref="AG42">IFERROR(
INDEX($F$2:$F$40,MATCH(AG$37,$D$2:$D$40,0))
*
INDEX($I$19:$AJ$28,
ROW()-ROW($I$37)+1,
COLUMN()-COLUMN($I$37)+1),
0)</f>
        <v>980.00000000000011</v>
      </c>
      <c r="AH42" s="585" cm="1">
        <f t="array" ref="AH42">IFERROR(
INDEX($F$2:$F$40,MATCH(AH$37,$D$2:$D$40,0))
*
INDEX($I$19:$AJ$28,
ROW()-ROW($I$37)+1,
COLUMN()-COLUMN($I$37)+1),
0)</f>
        <v>294</v>
      </c>
      <c r="AI42" s="338" t="s">
        <v>559</v>
      </c>
    </row>
    <row r="43" spans="2:36" ht="16">
      <c r="I43" s="315" t="s">
        <v>293</v>
      </c>
      <c r="J43" s="585" cm="1">
        <f t="array" ref="J43">IFERROR(
INDEX($F$2:$F$40,MATCH(J$37,$D$2:$D$40,0))
*
INDEX($I$19:$AJ$28,
ROW()-ROW($I$37)+1,
COLUMN()-COLUMN($I$37)+1),
0)</f>
        <v>33.884999999999998</v>
      </c>
      <c r="K43" s="585" cm="1">
        <f t="array" ref="K43">IFERROR(
INDEX($F$2:$F$40,MATCH(K$37,$D$2:$D$40,0))
*
INDEX($I$19:$AJ$28,
ROW()-ROW($I$37)+1,
COLUMN()-COLUMN($I$37)+1),
0)</f>
        <v>45.594000000000001</v>
      </c>
      <c r="L43" s="585" cm="1">
        <f t="array" ref="L43">IFERROR(
INDEX($F$2:$F$40,MATCH(L$37,$D$2:$D$40,0))
*
INDEX($I$19:$AJ$28,
ROW()-ROW($I$37)+1,
COLUMN()-COLUMN($I$37)+1),
0)</f>
        <v>1.6</v>
      </c>
      <c r="M43" s="585" cm="1">
        <f t="array" ref="M43">IFERROR(
INDEX($F$2:$F$40,MATCH(M$37,$D$2:$D$40,0))
*
INDEX($I$19:$AJ$28,
ROW()-ROW($I$37)+1,
COLUMN()-COLUMN($I$37)+1),
0)</f>
        <v>25.87</v>
      </c>
      <c r="N43" s="585" cm="1">
        <f t="array" ref="N43">IFERROR(
INDEX($F$2:$F$40,MATCH(N$37,$D$2:$D$40,0))
*
INDEX($I$19:$AJ$28,
ROW()-ROW($I$37)+1,
COLUMN()-COLUMN($I$37)+1),
0)</f>
        <v>44.06</v>
      </c>
      <c r="O43" s="585" cm="1">
        <f t="array" ref="O43">IFERROR(
INDEX($F$2:$F$40,MATCH(O$37,$D$2:$D$40,0))
*
INDEX($I$19:$AJ$28,
ROW()-ROW($I$37)+1,
COLUMN()-COLUMN($I$37)+1),
0)</f>
        <v>66.61</v>
      </c>
      <c r="P43" s="585" cm="1">
        <f t="array" ref="P43">IFERROR(
INDEX($F$2:$F$40,MATCH(P$37,$D$2:$D$40,0))
*
INDEX($I$19:$AJ$28,
ROW()-ROW($I$37)+1,
COLUMN()-COLUMN($I$37)+1),
0)</f>
        <v>80.910000000000011</v>
      </c>
      <c r="Q43" s="585" cm="1">
        <f t="array" ref="Q43">IFERROR(
INDEX($F$2:$F$40,MATCH(Q$37,$D$2:$D$40,0))
*
INDEX($I$19:$AJ$28,
ROW()-ROW($I$37)+1,
COLUMN()-COLUMN($I$37)+1),
0)</f>
        <v>112.56</v>
      </c>
      <c r="R43" s="585" cm="1">
        <f t="array" ref="R43">IFERROR(
INDEX($F$2:$F$40,MATCH(R$37,$D$2:$D$40,0))
*
INDEX($I$19:$AJ$28,
ROW()-ROW($I$37)+1,
COLUMN()-COLUMN($I$37)+1),
0)</f>
        <v>112.25</v>
      </c>
      <c r="S43" s="585" cm="1">
        <f t="array" ref="S43">IFERROR(
INDEX($F$2:$F$40,MATCH(S$37,$D$2:$D$40,0))
*
INDEX($I$19:$AJ$28,
ROW()-ROW($I$37)+1,
COLUMN()-COLUMN($I$37)+1),
0)</f>
        <v>24.32</v>
      </c>
      <c r="T43" s="585" cm="1">
        <f t="array" ref="T43">IFERROR(
INDEX($F$2:$F$40,MATCH(T$37,$D$2:$D$40,0))
*
INDEX($I$19:$AJ$28,
ROW()-ROW($I$37)+1,
COLUMN()-COLUMN($I$37)+1),
0)</f>
        <v>6.96</v>
      </c>
      <c r="U43" s="585" cm="1">
        <f t="array" ref="U43">IFERROR(
INDEX($F$2:$F$40,MATCH(U$37,$D$2:$D$40,0))
*
INDEX($I$19:$AJ$28,
ROW()-ROW($I$37)+1,
COLUMN()-COLUMN($I$37)+1),
0)</f>
        <v>107.73</v>
      </c>
      <c r="V43" s="585" cm="1">
        <f t="array" ref="V43">IFERROR(
INDEX($F$2:$F$40,MATCH(V$37,$D$2:$D$40,0))
*
INDEX($I$19:$AJ$28,
ROW()-ROW($I$37)+1,
COLUMN()-COLUMN($I$37)+1),
0)</f>
        <v>2.4449999999999998</v>
      </c>
      <c r="W43" s="585" cm="1">
        <f t="array" ref="W43">IFERROR(
INDEX($F$2:$F$40,MATCH(W$37,$D$2:$D$40,0))
*
INDEX($I$19:$AJ$28,
ROW()-ROW($I$37)+1,
COLUMN()-COLUMN($I$37)+1),
0)</f>
        <v>7.9499999999999993</v>
      </c>
      <c r="X43" s="585" cm="1">
        <f t="array" ref="X43">IFERROR(
INDEX($F$2:$F$40,MATCH(X$37,$D$2:$D$40,0))
*
INDEX($I$19:$AJ$28,
ROW()-ROW($I$37)+1,
COLUMN()-COLUMN($I$37)+1),
0)</f>
        <v>117.276</v>
      </c>
      <c r="Y43" s="585" cm="1">
        <f t="array" ref="Y43">IFERROR(
INDEX($F$2:$F$40,MATCH(Y$37,$D$2:$D$40,0))
*
INDEX($I$19:$AJ$28,
ROW()-ROW($I$37)+1,
COLUMN()-COLUMN($I$37)+1),
0)</f>
        <v>2.3000000000000003</v>
      </c>
      <c r="Z43" s="585" cm="1">
        <f t="array" ref="Z43">IFERROR(
INDEX($F$2:$F$40,MATCH(Z$37,$D$2:$D$40,0))
*
INDEX($I$19:$AJ$28,
ROW()-ROW($I$37)+1,
COLUMN()-COLUMN($I$37)+1),
0)</f>
        <v>2.85</v>
      </c>
      <c r="AA43" s="585" cm="1">
        <f t="array" ref="AA43">IFERROR(
INDEX($F$2:$F$40,MATCH(AA$37,$D$2:$D$40,0))
*
INDEX($I$19:$AJ$28,
ROW()-ROW($I$37)+1,
COLUMN()-COLUMN($I$37)+1),
0)</f>
        <v>2.8100000000000005</v>
      </c>
      <c r="AB43" s="585" cm="1">
        <f t="array" ref="AB43">IFERROR(
INDEX($F$2:$F$40,MATCH(AB$37,$D$2:$D$40,0))
*
INDEX($I$19:$AJ$28,
ROW()-ROW($I$37)+1,
COLUMN()-COLUMN($I$37)+1),
0)</f>
        <v>14.31</v>
      </c>
      <c r="AC43" s="585" cm="1">
        <f t="array" ref="AC43">IFERROR(
INDEX($F$2:$F$40,MATCH(AC$37,$D$2:$D$40,0))
*
INDEX($I$19:$AJ$28,
ROW()-ROW($I$37)+1,
COLUMN()-COLUMN($I$37)+1),
0)</f>
        <v>17.760000000000002</v>
      </c>
      <c r="AD43" s="585" cm="1">
        <f t="array" ref="AD43">IFERROR(
INDEX($F$2:$F$40,MATCH(AD$37,$D$2:$D$40,0))
*
INDEX($I$19:$AJ$28,
ROW()-ROW($I$37)+1,
COLUMN()-COLUMN($I$37)+1),
0)</f>
        <v>9.1199999999999992</v>
      </c>
      <c r="AE43" s="585" cm="1">
        <f t="array" ref="AE43">IFERROR(
INDEX($F$2:$F$40,MATCH(AE$37,$D$2:$D$40,0))
*
INDEX($I$19:$AJ$28,
ROW()-ROW($I$37)+1,
COLUMN()-COLUMN($I$37)+1),
0)</f>
        <v>2.25</v>
      </c>
      <c r="AF43" s="585" cm="1">
        <f t="array" ref="AF43">IFERROR(
INDEX($F$2:$F$40,MATCH(AF$37,$D$2:$D$40,0))
*
INDEX($I$19:$AJ$28,
ROW()-ROW($I$37)+1,
COLUMN()-COLUMN($I$37)+1),
0)</f>
        <v>1.0550000000000002</v>
      </c>
      <c r="AG43" s="585" cm="1">
        <f t="array" ref="AG43">IFERROR(
INDEX($F$2:$F$40,MATCH(AG$37,$D$2:$D$40,0))
*
INDEX($I$19:$AJ$28,
ROW()-ROW($I$37)+1,
COLUMN()-COLUMN($I$37)+1),
0)</f>
        <v>840</v>
      </c>
      <c r="AH43" s="585" cm="1">
        <f t="array" ref="AH43">IFERROR(
INDEX($F$2:$F$40,MATCH(AH$37,$D$2:$D$40,0))
*
INDEX($I$19:$AJ$28,
ROW()-ROW($I$37)+1,
COLUMN()-COLUMN($I$37)+1),
0)</f>
        <v>252</v>
      </c>
      <c r="AI43" s="338" t="s">
        <v>559</v>
      </c>
    </row>
    <row r="44" spans="2:36" ht="16">
      <c r="I44" s="321" t="s">
        <v>433</v>
      </c>
      <c r="J44" s="585" cm="1">
        <f t="array" ref="J44">IFERROR(
INDEX($F$2:$F$40,MATCH(J$37,$D$2:$D$40,0))
*
INDEX($I$19:$AJ$28,
ROW()-ROW($I$37)+1,
COLUMN()-COLUMN($I$37)+1),
0)</f>
        <v>33.884999999999998</v>
      </c>
      <c r="K44" s="585" cm="1">
        <f t="array" ref="K44">IFERROR(
INDEX($F$2:$F$40,MATCH(K$37,$D$2:$D$40,0))
*
INDEX($I$19:$AJ$28,
ROW()-ROW($I$37)+1,
COLUMN()-COLUMN($I$37)+1),
0)</f>
        <v>45.594000000000001</v>
      </c>
      <c r="L44" s="585" cm="1">
        <f t="array" ref="L44">IFERROR(
INDEX($F$2:$F$40,MATCH(L$37,$D$2:$D$40,0))
*
INDEX($I$19:$AJ$28,
ROW()-ROW($I$37)+1,
COLUMN()-COLUMN($I$37)+1),
0)</f>
        <v>1.6</v>
      </c>
      <c r="M44" s="585" cm="1">
        <f t="array" ref="M44">IFERROR(
INDEX($F$2:$F$40,MATCH(M$37,$D$2:$D$40,0))
*
INDEX($I$19:$AJ$28,
ROW()-ROW($I$37)+1,
COLUMN()-COLUMN($I$37)+1),
0)</f>
        <v>25.87</v>
      </c>
      <c r="N44" s="585" cm="1">
        <f t="array" ref="N44">IFERROR(
INDEX($F$2:$F$40,MATCH(N$37,$D$2:$D$40,0))
*
INDEX($I$19:$AJ$28,
ROW()-ROW($I$37)+1,
COLUMN()-COLUMN($I$37)+1),
0)</f>
        <v>44.06</v>
      </c>
      <c r="O44" s="585" cm="1">
        <f t="array" ref="O44">IFERROR(
INDEX($F$2:$F$40,MATCH(O$37,$D$2:$D$40,0))
*
INDEX($I$19:$AJ$28,
ROW()-ROW($I$37)+1,
COLUMN()-COLUMN($I$37)+1),
0)</f>
        <v>66.61</v>
      </c>
      <c r="P44" s="585" cm="1">
        <f t="array" ref="P44">IFERROR(
INDEX($F$2:$F$40,MATCH(P$37,$D$2:$D$40,0))
*
INDEX($I$19:$AJ$28,
ROW()-ROW($I$37)+1,
COLUMN()-COLUMN($I$37)+1),
0)</f>
        <v>80.910000000000011</v>
      </c>
      <c r="Q44" s="585" cm="1">
        <f t="array" ref="Q44">IFERROR(
INDEX($F$2:$F$40,MATCH(Q$37,$D$2:$D$40,0))
*
INDEX($I$19:$AJ$28,
ROW()-ROW($I$37)+1,
COLUMN()-COLUMN($I$37)+1),
0)</f>
        <v>112.56</v>
      </c>
      <c r="R44" s="585" cm="1">
        <f t="array" ref="R44">IFERROR(
INDEX($F$2:$F$40,MATCH(R$37,$D$2:$D$40,0))
*
INDEX($I$19:$AJ$28,
ROW()-ROW($I$37)+1,
COLUMN()-COLUMN($I$37)+1),
0)</f>
        <v>112.25</v>
      </c>
      <c r="S44" s="585" cm="1">
        <f t="array" ref="S44">IFERROR(
INDEX($F$2:$F$40,MATCH(S$37,$D$2:$D$40,0))
*
INDEX($I$19:$AJ$28,
ROW()-ROW($I$37)+1,
COLUMN()-COLUMN($I$37)+1),
0)</f>
        <v>24.32</v>
      </c>
      <c r="T44" s="585" cm="1">
        <f t="array" ref="T44">IFERROR(
INDEX($F$2:$F$40,MATCH(T$37,$D$2:$D$40,0))
*
INDEX($I$19:$AJ$28,
ROW()-ROW($I$37)+1,
COLUMN()-COLUMN($I$37)+1),
0)</f>
        <v>6.96</v>
      </c>
      <c r="U44" s="585" cm="1">
        <f t="array" ref="U44">IFERROR(
INDEX($F$2:$F$40,MATCH(U$37,$D$2:$D$40,0))
*
INDEX($I$19:$AJ$28,
ROW()-ROW($I$37)+1,
COLUMN()-COLUMN($I$37)+1),
0)</f>
        <v>107.73</v>
      </c>
      <c r="V44" s="585" cm="1">
        <f t="array" ref="V44">IFERROR(
INDEX($F$2:$F$40,MATCH(V$37,$D$2:$D$40,0))
*
INDEX($I$19:$AJ$28,
ROW()-ROW($I$37)+1,
COLUMN()-COLUMN($I$37)+1),
0)</f>
        <v>2.4449999999999998</v>
      </c>
      <c r="W44" s="585" cm="1">
        <f t="array" ref="W44">IFERROR(
INDEX($F$2:$F$40,MATCH(W$37,$D$2:$D$40,0))
*
INDEX($I$19:$AJ$28,
ROW()-ROW($I$37)+1,
COLUMN()-COLUMN($I$37)+1),
0)</f>
        <v>7.9499999999999993</v>
      </c>
      <c r="X44" s="585" cm="1">
        <f t="array" ref="X44">IFERROR(
INDEX($F$2:$F$40,MATCH(X$37,$D$2:$D$40,0))
*
INDEX($I$19:$AJ$28,
ROW()-ROW($I$37)+1,
COLUMN()-COLUMN($I$37)+1),
0)</f>
        <v>117.276</v>
      </c>
      <c r="Y44" s="585" cm="1">
        <f t="array" ref="Y44">IFERROR(
INDEX($F$2:$F$40,MATCH(Y$37,$D$2:$D$40,0))
*
INDEX($I$19:$AJ$28,
ROW()-ROW($I$37)+1,
COLUMN()-COLUMN($I$37)+1),
0)</f>
        <v>2.3000000000000003</v>
      </c>
      <c r="Z44" s="585" cm="1">
        <f t="array" ref="Z44">IFERROR(
INDEX($F$2:$F$40,MATCH(Z$37,$D$2:$D$40,0))
*
INDEX($I$19:$AJ$28,
ROW()-ROW($I$37)+1,
COLUMN()-COLUMN($I$37)+1),
0)</f>
        <v>2.85</v>
      </c>
      <c r="AA44" s="585" cm="1">
        <f t="array" ref="AA44">IFERROR(
INDEX($F$2:$F$40,MATCH(AA$37,$D$2:$D$40,0))
*
INDEX($I$19:$AJ$28,
ROW()-ROW($I$37)+1,
COLUMN()-COLUMN($I$37)+1),
0)</f>
        <v>2.8100000000000005</v>
      </c>
      <c r="AB44" s="585" cm="1">
        <f t="array" ref="AB44">IFERROR(
INDEX($F$2:$F$40,MATCH(AB$37,$D$2:$D$40,0))
*
INDEX($I$19:$AJ$28,
ROW()-ROW($I$37)+1,
COLUMN()-COLUMN($I$37)+1),
0)</f>
        <v>14.31</v>
      </c>
      <c r="AC44" s="585" cm="1">
        <f t="array" ref="AC44">IFERROR(
INDEX($F$2:$F$40,MATCH(AC$37,$D$2:$D$40,0))
*
INDEX($I$19:$AJ$28,
ROW()-ROW($I$37)+1,
COLUMN()-COLUMN($I$37)+1),
0)</f>
        <v>17.760000000000002</v>
      </c>
      <c r="AD44" s="585" cm="1">
        <f t="array" ref="AD44">IFERROR(
INDEX($F$2:$F$40,MATCH(AD$37,$D$2:$D$40,0))
*
INDEX($I$19:$AJ$28,
ROW()-ROW($I$37)+1,
COLUMN()-COLUMN($I$37)+1),
0)</f>
        <v>9.1199999999999992</v>
      </c>
      <c r="AE44" s="585" cm="1">
        <f t="array" ref="AE44">IFERROR(
INDEX($F$2:$F$40,MATCH(AE$37,$D$2:$D$40,0))
*
INDEX($I$19:$AJ$28,
ROW()-ROW($I$37)+1,
COLUMN()-COLUMN($I$37)+1),
0)</f>
        <v>2.25</v>
      </c>
      <c r="AF44" s="585" cm="1">
        <f t="array" ref="AF44">IFERROR(
INDEX($F$2:$F$40,MATCH(AF$37,$D$2:$D$40,0))
*
INDEX($I$19:$AJ$28,
ROW()-ROW($I$37)+1,
COLUMN()-COLUMN($I$37)+1),
0)</f>
        <v>1.0550000000000002</v>
      </c>
      <c r="AG44" s="585" cm="1">
        <f t="array" ref="AG44">IFERROR(
INDEX($F$2:$F$40,MATCH(AG$37,$D$2:$D$40,0))
*
INDEX($I$19:$AJ$28,
ROW()-ROW($I$37)+1,
COLUMN()-COLUMN($I$37)+1),
0)</f>
        <v>840</v>
      </c>
      <c r="AH44" s="585" cm="1">
        <f t="array" ref="AH44">IFERROR(
INDEX($F$2:$F$40,MATCH(AH$37,$D$2:$D$40,0))
*
INDEX($I$19:$AJ$28,
ROW()-ROW($I$37)+1,
COLUMN()-COLUMN($I$37)+1),
0)</f>
        <v>252</v>
      </c>
      <c r="AI44" s="338" t="s">
        <v>559</v>
      </c>
    </row>
    <row r="45" spans="2:36" ht="16">
      <c r="I45" s="321" t="s">
        <v>530</v>
      </c>
      <c r="J45" s="585" cm="1">
        <f t="array" ref="J45">IFERROR(
INDEX($F$2:$F$40,MATCH(J$37,$D$2:$D$40,0))
*
INDEX($I$19:$AJ$28,
ROW()-ROW($I$37)+1,
COLUMN()-COLUMN($I$37)+1),
0)</f>
        <v>0</v>
      </c>
      <c r="K45" s="585" cm="1">
        <f t="array" ref="K45">IFERROR(
INDEX($F$2:$F$40,MATCH(K$37,$D$2:$D$40,0))
*
INDEX($I$19:$AJ$28,
ROW()-ROW($I$37)+1,
COLUMN()-COLUMN($I$37)+1),
0)</f>
        <v>0</v>
      </c>
      <c r="L45" s="585" cm="1">
        <f t="array" ref="L45">IFERROR(
INDEX($F$2:$F$40,MATCH(L$37,$D$2:$D$40,0))
*
INDEX($I$19:$AJ$28,
ROW()-ROW($I$37)+1,
COLUMN()-COLUMN($I$37)+1),
0)</f>
        <v>0</v>
      </c>
      <c r="M45" s="585" cm="1">
        <f t="array" ref="M45">IFERROR(
INDEX($F$2:$F$40,MATCH(M$37,$D$2:$D$40,0))
*
INDEX($I$19:$AJ$28,
ROW()-ROW($I$37)+1,
COLUMN()-COLUMN($I$37)+1),
0)</f>
        <v>0</v>
      </c>
      <c r="N45" s="585" cm="1">
        <f t="array" ref="N45">IFERROR(
INDEX($F$2:$F$40,MATCH(N$37,$D$2:$D$40,0))
*
INDEX($I$19:$AJ$28,
ROW()-ROW($I$37)+1,
COLUMN()-COLUMN($I$37)+1),
0)</f>
        <v>0</v>
      </c>
      <c r="O45" s="585" cm="1">
        <f t="array" ref="O45">IFERROR(
INDEX($F$2:$F$40,MATCH(O$37,$D$2:$D$40,0))
*
INDEX($I$19:$AJ$28,
ROW()-ROW($I$37)+1,
COLUMN()-COLUMN($I$37)+1),
0)</f>
        <v>0</v>
      </c>
      <c r="P45" s="585" cm="1">
        <f t="array" ref="P45">IFERROR(
INDEX($F$2:$F$40,MATCH(P$37,$D$2:$D$40,0))
*
INDEX($I$19:$AJ$28,
ROW()-ROW($I$37)+1,
COLUMN()-COLUMN($I$37)+1),
0)</f>
        <v>0</v>
      </c>
      <c r="Q45" s="585" cm="1">
        <f t="array" ref="Q45">IFERROR(
INDEX($F$2:$F$40,MATCH(Q$37,$D$2:$D$40,0))
*
INDEX($I$19:$AJ$28,
ROW()-ROW($I$37)+1,
COLUMN()-COLUMN($I$37)+1),
0)</f>
        <v>0</v>
      </c>
      <c r="R45" s="585" cm="1">
        <f t="array" ref="R45">IFERROR(
INDEX($F$2:$F$40,MATCH(R$37,$D$2:$D$40,0))
*
INDEX($I$19:$AJ$28,
ROW()-ROW($I$37)+1,
COLUMN()-COLUMN($I$37)+1),
0)</f>
        <v>0</v>
      </c>
      <c r="S45" s="585" cm="1">
        <f t="array" ref="S45">IFERROR(
INDEX($F$2:$F$40,MATCH(S$37,$D$2:$D$40,0))
*
INDEX($I$19:$AJ$28,
ROW()-ROW($I$37)+1,
COLUMN()-COLUMN($I$37)+1),
0)</f>
        <v>0</v>
      </c>
      <c r="T45" s="585" cm="1">
        <f t="array" ref="T45">IFERROR(
INDEX($F$2:$F$40,MATCH(T$37,$D$2:$D$40,0))
*
INDEX($I$19:$AJ$28,
ROW()-ROW($I$37)+1,
COLUMN()-COLUMN($I$37)+1),
0)</f>
        <v>0</v>
      </c>
      <c r="U45" s="585" cm="1">
        <f t="array" ref="U45">IFERROR(
INDEX($F$2:$F$40,MATCH(U$37,$D$2:$D$40,0))
*
INDEX($I$19:$AJ$28,
ROW()-ROW($I$37)+1,
COLUMN()-COLUMN($I$37)+1),
0)</f>
        <v>0</v>
      </c>
      <c r="V45" s="585" cm="1">
        <f t="array" ref="V45">IFERROR(
INDEX($F$2:$F$40,MATCH(V$37,$D$2:$D$40,0))
*
INDEX($I$19:$AJ$28,
ROW()-ROW($I$37)+1,
COLUMN()-COLUMN($I$37)+1),
0)</f>
        <v>0</v>
      </c>
      <c r="W45" s="585" cm="1">
        <f t="array" ref="W45">IFERROR(
INDEX($F$2:$F$40,MATCH(W$37,$D$2:$D$40,0))
*
INDEX($I$19:$AJ$28,
ROW()-ROW($I$37)+1,
COLUMN()-COLUMN($I$37)+1),
0)</f>
        <v>0</v>
      </c>
      <c r="X45" s="585" cm="1">
        <f t="array" ref="X45">IFERROR(
INDEX($F$2:$F$40,MATCH(X$37,$D$2:$D$40,0))
*
INDEX($I$19:$AJ$28,
ROW()-ROW($I$37)+1,
COLUMN()-COLUMN($I$37)+1),
0)</f>
        <v>0</v>
      </c>
      <c r="Y45" s="585" cm="1">
        <f t="array" ref="Y45">IFERROR(
INDEX($F$2:$F$40,MATCH(Y$37,$D$2:$D$40,0))
*
INDEX($I$19:$AJ$28,
ROW()-ROW($I$37)+1,
COLUMN()-COLUMN($I$37)+1),
0)</f>
        <v>0</v>
      </c>
      <c r="Z45" s="585" cm="1">
        <f t="array" ref="Z45">IFERROR(
INDEX($F$2:$F$40,MATCH(Z$37,$D$2:$D$40,0))
*
INDEX($I$19:$AJ$28,
ROW()-ROW($I$37)+1,
COLUMN()-COLUMN($I$37)+1),
0)</f>
        <v>0</v>
      </c>
      <c r="AA45" s="585" cm="1">
        <f t="array" ref="AA45">IFERROR(
INDEX($F$2:$F$40,MATCH(AA$37,$D$2:$D$40,0))
*
INDEX($I$19:$AJ$28,
ROW()-ROW($I$37)+1,
COLUMN()-COLUMN($I$37)+1),
0)</f>
        <v>0</v>
      </c>
      <c r="AB45" s="585" cm="1">
        <f t="array" ref="AB45">IFERROR(
INDEX($F$2:$F$40,MATCH(AB$37,$D$2:$D$40,0))
*
INDEX($I$19:$AJ$28,
ROW()-ROW($I$37)+1,
COLUMN()-COLUMN($I$37)+1),
0)</f>
        <v>0</v>
      </c>
      <c r="AC45" s="585" cm="1">
        <f t="array" ref="AC45">IFERROR(
INDEX($F$2:$F$40,MATCH(AC$37,$D$2:$D$40,0))
*
INDEX($I$19:$AJ$28,
ROW()-ROW($I$37)+1,
COLUMN()-COLUMN($I$37)+1),
0)</f>
        <v>0</v>
      </c>
      <c r="AD45" s="585" cm="1">
        <f t="array" ref="AD45">IFERROR(
INDEX($F$2:$F$40,MATCH(AD$37,$D$2:$D$40,0))
*
INDEX($I$19:$AJ$28,
ROW()-ROW($I$37)+1,
COLUMN()-COLUMN($I$37)+1),
0)</f>
        <v>0</v>
      </c>
      <c r="AE45" s="585" cm="1">
        <f t="array" ref="AE45">IFERROR(
INDEX($F$2:$F$40,MATCH(AE$37,$D$2:$D$40,0))
*
INDEX($I$19:$AJ$28,
ROW()-ROW($I$37)+1,
COLUMN()-COLUMN($I$37)+1),
0)</f>
        <v>0</v>
      </c>
      <c r="AF45" s="585" cm="1">
        <f t="array" ref="AF45">IFERROR(
INDEX($F$2:$F$40,MATCH(AF$37,$D$2:$D$40,0))
*
INDEX($I$19:$AJ$28,
ROW()-ROW($I$37)+1,
COLUMN()-COLUMN($I$37)+1),
0)</f>
        <v>0</v>
      </c>
      <c r="AG45" s="585" cm="1">
        <f t="array" ref="AG45">IFERROR(
INDEX($F$2:$F$40,MATCH(AG$37,$D$2:$D$40,0))
*
INDEX($I$19:$AJ$28,
ROW()-ROW($I$37)+1,
COLUMN()-COLUMN($I$37)+1),
0)</f>
        <v>0</v>
      </c>
      <c r="AH45" s="585" cm="1">
        <f t="array" ref="AH45">IFERROR(
INDEX($F$2:$F$40,MATCH(AH$37,$D$2:$D$40,0))
*
INDEX($I$19:$AJ$28,
ROW()-ROW($I$37)+1,
COLUMN()-COLUMN($I$37)+1),
0)</f>
        <v>0</v>
      </c>
      <c r="AI45" s="338" t="s">
        <v>559</v>
      </c>
    </row>
    <row r="46" spans="2:36" ht="16">
      <c r="I46" s="321" t="s">
        <v>560</v>
      </c>
      <c r="J46" s="585" cm="1">
        <f t="array" ref="J46">IFERROR(
INDEX($F$2:$F$40,MATCH(J$37,$D$2:$D$40,0))
*
INDEX($I$19:$AJ$28,
ROW()-ROW($I$37)+1,
COLUMN()-COLUMN($I$37)+1),
0)</f>
        <v>0</v>
      </c>
      <c r="K46" s="585" cm="1">
        <f t="array" ref="K46">IFERROR(
INDEX($F$2:$F$40,MATCH(K$37,$D$2:$D$40,0))
*
INDEX($I$19:$AJ$28,
ROW()-ROW($I$37)+1,
COLUMN()-COLUMN($I$37)+1),
0)</f>
        <v>0</v>
      </c>
      <c r="L46" s="585" cm="1">
        <f t="array" ref="L46">IFERROR(
INDEX($F$2:$F$40,MATCH(L$37,$D$2:$D$40,0))
*
INDEX($I$19:$AJ$28,
ROW()-ROW($I$37)+1,
COLUMN()-COLUMN($I$37)+1),
0)</f>
        <v>0</v>
      </c>
      <c r="M46" s="585" cm="1">
        <f t="array" ref="M46">IFERROR(
INDEX($F$2:$F$40,MATCH(M$37,$D$2:$D$40,0))
*
INDEX($I$19:$AJ$28,
ROW()-ROW($I$37)+1,
COLUMN()-COLUMN($I$37)+1),
0)</f>
        <v>0</v>
      </c>
      <c r="N46" s="585" cm="1">
        <f t="array" ref="N46">IFERROR(
INDEX($F$2:$F$40,MATCH(N$37,$D$2:$D$40,0))
*
INDEX($I$19:$AJ$28,
ROW()-ROW($I$37)+1,
COLUMN()-COLUMN($I$37)+1),
0)</f>
        <v>0</v>
      </c>
      <c r="O46" s="585" cm="1">
        <f t="array" ref="O46">IFERROR(
INDEX($F$2:$F$40,MATCH(O$37,$D$2:$D$40,0))
*
INDEX($I$19:$AJ$28,
ROW()-ROW($I$37)+1,
COLUMN()-COLUMN($I$37)+1),
0)</f>
        <v>0</v>
      </c>
      <c r="P46" s="585" cm="1">
        <f t="array" ref="P46">IFERROR(
INDEX($F$2:$F$40,MATCH(P$37,$D$2:$D$40,0))
*
INDEX($I$19:$AJ$28,
ROW()-ROW($I$37)+1,
COLUMN()-COLUMN($I$37)+1),
0)</f>
        <v>0</v>
      </c>
      <c r="Q46" s="585" cm="1">
        <f t="array" ref="Q46">IFERROR(
INDEX($F$2:$F$40,MATCH(Q$37,$D$2:$D$40,0))
*
INDEX($I$19:$AJ$28,
ROW()-ROW($I$37)+1,
COLUMN()-COLUMN($I$37)+1),
0)</f>
        <v>0</v>
      </c>
      <c r="R46" s="585" cm="1">
        <f t="array" ref="R46">IFERROR(
INDEX($F$2:$F$40,MATCH(R$37,$D$2:$D$40,0))
*
INDEX($I$19:$AJ$28,
ROW()-ROW($I$37)+1,
COLUMN()-COLUMN($I$37)+1),
0)</f>
        <v>0</v>
      </c>
      <c r="S46" s="585" cm="1">
        <f t="array" ref="S46">IFERROR(
INDEX($F$2:$F$40,MATCH(S$37,$D$2:$D$40,0))
*
INDEX($I$19:$AJ$28,
ROW()-ROW($I$37)+1,
COLUMN()-COLUMN($I$37)+1),
0)</f>
        <v>0</v>
      </c>
      <c r="T46" s="585" cm="1">
        <f t="array" ref="T46">IFERROR(
INDEX($F$2:$F$40,MATCH(T$37,$D$2:$D$40,0))
*
INDEX($I$19:$AJ$28,
ROW()-ROW($I$37)+1,
COLUMN()-COLUMN($I$37)+1),
0)</f>
        <v>0</v>
      </c>
      <c r="U46" s="585" cm="1">
        <f t="array" ref="U46">IFERROR(
INDEX($F$2:$F$40,MATCH(U$37,$D$2:$D$40,0))
*
INDEX($I$19:$AJ$28,
ROW()-ROW($I$37)+1,
COLUMN()-COLUMN($I$37)+1),
0)</f>
        <v>0</v>
      </c>
      <c r="V46" s="585" cm="1">
        <f t="array" ref="V46">IFERROR(
INDEX($F$2:$F$40,MATCH(V$37,$D$2:$D$40,0))
*
INDEX($I$19:$AJ$28,
ROW()-ROW($I$37)+1,
COLUMN()-COLUMN($I$37)+1),
0)</f>
        <v>0</v>
      </c>
      <c r="W46" s="585" cm="1">
        <f t="array" ref="W46">IFERROR(
INDEX($F$2:$F$40,MATCH(W$37,$D$2:$D$40,0))
*
INDEX($I$19:$AJ$28,
ROW()-ROW($I$37)+1,
COLUMN()-COLUMN($I$37)+1),
0)</f>
        <v>0</v>
      </c>
      <c r="X46" s="585" cm="1">
        <f t="array" ref="X46">IFERROR(
INDEX($F$2:$F$40,MATCH(X$37,$D$2:$D$40,0))
*
INDEX($I$19:$AJ$28,
ROW()-ROW($I$37)+1,
COLUMN()-COLUMN($I$37)+1),
0)</f>
        <v>0</v>
      </c>
      <c r="Y46" s="585" cm="1">
        <f t="array" ref="Y46">IFERROR(
INDEX($F$2:$F$40,MATCH(Y$37,$D$2:$D$40,0))
*
INDEX($I$19:$AJ$28,
ROW()-ROW($I$37)+1,
COLUMN()-COLUMN($I$37)+1),
0)</f>
        <v>0</v>
      </c>
      <c r="Z46" s="585" cm="1">
        <f t="array" ref="Z46">IFERROR(
INDEX($F$2:$F$40,MATCH(Z$37,$D$2:$D$40,0))
*
INDEX($I$19:$AJ$28,
ROW()-ROW($I$37)+1,
COLUMN()-COLUMN($I$37)+1),
0)</f>
        <v>0</v>
      </c>
      <c r="AA46" s="585" cm="1">
        <f t="array" ref="AA46">IFERROR(
INDEX($F$2:$F$40,MATCH(AA$37,$D$2:$D$40,0))
*
INDEX($I$19:$AJ$28,
ROW()-ROW($I$37)+1,
COLUMN()-COLUMN($I$37)+1),
0)</f>
        <v>0</v>
      </c>
      <c r="AB46" s="585" cm="1">
        <f t="array" ref="AB46">IFERROR(
INDEX($F$2:$F$40,MATCH(AB$37,$D$2:$D$40,0))
*
INDEX($I$19:$AJ$28,
ROW()-ROW($I$37)+1,
COLUMN()-COLUMN($I$37)+1),
0)</f>
        <v>0</v>
      </c>
      <c r="AC46" s="585" cm="1">
        <f t="array" ref="AC46">IFERROR(
INDEX($F$2:$F$40,MATCH(AC$37,$D$2:$D$40,0))
*
INDEX($I$19:$AJ$28,
ROW()-ROW($I$37)+1,
COLUMN()-COLUMN($I$37)+1),
0)</f>
        <v>0</v>
      </c>
      <c r="AD46" s="585" cm="1">
        <f t="array" ref="AD46">IFERROR(
INDEX($F$2:$F$40,MATCH(AD$37,$D$2:$D$40,0))
*
INDEX($I$19:$AJ$28,
ROW()-ROW($I$37)+1,
COLUMN()-COLUMN($I$37)+1),
0)</f>
        <v>0</v>
      </c>
      <c r="AE46" s="585" cm="1">
        <f t="array" ref="AE46">IFERROR(
INDEX($F$2:$F$40,MATCH(AE$37,$D$2:$D$40,0))
*
INDEX($I$19:$AJ$28,
ROW()-ROW($I$37)+1,
COLUMN()-COLUMN($I$37)+1),
0)</f>
        <v>0</v>
      </c>
      <c r="AF46" s="585" cm="1">
        <f t="array" ref="AF46">IFERROR(
INDEX($F$2:$F$40,MATCH(AF$37,$D$2:$D$40,0))
*
INDEX($I$19:$AJ$28,
ROW()-ROW($I$37)+1,
COLUMN()-COLUMN($I$37)+1),
0)</f>
        <v>0</v>
      </c>
      <c r="AG46" s="585" cm="1">
        <f t="array" ref="AG46">IFERROR(
INDEX($F$2:$F$40,MATCH(AG$37,$D$2:$D$40,0))
*
INDEX($I$19:$AJ$28,
ROW()-ROW($I$37)+1,
COLUMN()-COLUMN($I$37)+1),
0)</f>
        <v>0</v>
      </c>
      <c r="AH46" s="585" cm="1">
        <f t="array" ref="AH46">IFERROR(
INDEX($F$2:$F$40,MATCH(AH$37,$D$2:$D$40,0))
*
INDEX($I$19:$AJ$28,
ROW()-ROW($I$37)+1,
COLUMN()-COLUMN($I$37)+1),
0)</f>
        <v>0</v>
      </c>
      <c r="AI46" s="338" t="s">
        <v>559</v>
      </c>
    </row>
    <row r="47" spans="2:36" ht="16">
      <c r="I47" s="10" t="s">
        <v>281</v>
      </c>
      <c r="J47" s="586">
        <f t="shared" ref="J47:S50" si="13">IFERROR(
INDEX($F$50:$F$90,
MATCH(J$37,$D$50:$D$90,0))
*
INDEX(
$J$29:$AJ$32,
MATCH($I47,$I$29:$I$32,0),
MATCH(J$37,$J$19:$AJ$19,0)
),
0)</f>
        <v>508.40999999999991</v>
      </c>
      <c r="K47" s="586">
        <f t="shared" si="13"/>
        <v>191.58</v>
      </c>
      <c r="L47" s="586">
        <f t="shared" si="13"/>
        <v>24.849999999999998</v>
      </c>
      <c r="M47" s="586">
        <f t="shared" si="13"/>
        <v>97.474999999999994</v>
      </c>
      <c r="N47" s="586">
        <f t="shared" si="13"/>
        <v>173.845</v>
      </c>
      <c r="O47" s="586">
        <f t="shared" si="13"/>
        <v>0</v>
      </c>
      <c r="P47" s="586">
        <f t="shared" si="13"/>
        <v>0</v>
      </c>
      <c r="Q47" s="586">
        <f t="shared" si="13"/>
        <v>0</v>
      </c>
      <c r="R47" s="586">
        <f t="shared" si="13"/>
        <v>0</v>
      </c>
      <c r="S47" s="586">
        <f t="shared" si="13"/>
        <v>0</v>
      </c>
      <c r="T47" s="586">
        <f t="shared" ref="T47:AH50" si="14">IFERROR(
INDEX($F$50:$F$90,
MATCH(T$37,$D$50:$D$90,0))
*
INDEX(
$J$29:$AJ$32,
MATCH($I47,$I$29:$I$32,0),
MATCH(T$37,$J$19:$AJ$19,0)
),
0)</f>
        <v>0</v>
      </c>
      <c r="U47" s="586">
        <f t="shared" si="14"/>
        <v>0</v>
      </c>
      <c r="V47" s="586">
        <f t="shared" si="14"/>
        <v>7.5949999999999989</v>
      </c>
      <c r="W47" s="586">
        <f t="shared" si="14"/>
        <v>12.95</v>
      </c>
      <c r="X47" s="586">
        <f t="shared" si="14"/>
        <v>0</v>
      </c>
      <c r="Y47" s="586">
        <f t="shared" si="14"/>
        <v>30.869999999999997</v>
      </c>
      <c r="Z47" s="586">
        <f t="shared" si="14"/>
        <v>9.1</v>
      </c>
      <c r="AA47" s="586">
        <f t="shared" si="14"/>
        <v>10.88</v>
      </c>
      <c r="AB47" s="586">
        <f t="shared" si="14"/>
        <v>0</v>
      </c>
      <c r="AC47" s="586">
        <f t="shared" si="14"/>
        <v>0</v>
      </c>
      <c r="AD47" s="586">
        <f t="shared" si="14"/>
        <v>10.5</v>
      </c>
      <c r="AE47" s="586">
        <f t="shared" si="14"/>
        <v>2.0499999999999998</v>
      </c>
      <c r="AF47" s="586">
        <f t="shared" si="14"/>
        <v>13.909000000000001</v>
      </c>
      <c r="AG47" s="586">
        <f t="shared" si="14"/>
        <v>1350</v>
      </c>
      <c r="AH47" s="586">
        <f t="shared" si="14"/>
        <v>540</v>
      </c>
      <c r="AI47" s="674" t="s">
        <v>288</v>
      </c>
    </row>
    <row r="48" spans="2:36" ht="16">
      <c r="I48" s="10" t="s">
        <v>282</v>
      </c>
      <c r="J48" s="586">
        <f t="shared" si="13"/>
        <v>508.40999999999991</v>
      </c>
      <c r="K48" s="586">
        <f t="shared" si="13"/>
        <v>223.51</v>
      </c>
      <c r="L48" s="586">
        <f t="shared" si="13"/>
        <v>21.3</v>
      </c>
      <c r="M48" s="586">
        <f t="shared" si="13"/>
        <v>136.46499999999997</v>
      </c>
      <c r="N48" s="586">
        <f t="shared" si="13"/>
        <v>124.175</v>
      </c>
      <c r="O48" s="586">
        <f t="shared" si="13"/>
        <v>0</v>
      </c>
      <c r="P48" s="586">
        <f t="shared" si="13"/>
        <v>0</v>
      </c>
      <c r="Q48" s="586">
        <f t="shared" si="13"/>
        <v>0</v>
      </c>
      <c r="R48" s="586">
        <f t="shared" si="13"/>
        <v>0</v>
      </c>
      <c r="S48" s="586">
        <f t="shared" si="13"/>
        <v>0</v>
      </c>
      <c r="T48" s="586">
        <f t="shared" si="14"/>
        <v>0</v>
      </c>
      <c r="U48" s="586">
        <f t="shared" si="14"/>
        <v>0</v>
      </c>
      <c r="V48" s="586">
        <f t="shared" si="14"/>
        <v>7.5949999999999989</v>
      </c>
      <c r="W48" s="586">
        <f t="shared" si="14"/>
        <v>9.25</v>
      </c>
      <c r="X48" s="586">
        <f t="shared" si="14"/>
        <v>0</v>
      </c>
      <c r="Y48" s="586">
        <f t="shared" si="14"/>
        <v>22.05</v>
      </c>
      <c r="Z48" s="586">
        <f t="shared" si="14"/>
        <v>6.5</v>
      </c>
      <c r="AA48" s="586">
        <f t="shared" si="14"/>
        <v>10.88</v>
      </c>
      <c r="AB48" s="586">
        <f t="shared" si="14"/>
        <v>0</v>
      </c>
      <c r="AC48" s="586">
        <f t="shared" si="14"/>
        <v>0</v>
      </c>
      <c r="AD48" s="586">
        <f t="shared" si="14"/>
        <v>10.5</v>
      </c>
      <c r="AE48" s="586">
        <f t="shared" si="14"/>
        <v>2.0499999999999998</v>
      </c>
      <c r="AF48" s="586">
        <f t="shared" si="14"/>
        <v>11.922000000000001</v>
      </c>
      <c r="AG48" s="586">
        <f t="shared" si="14"/>
        <v>1500</v>
      </c>
      <c r="AH48" s="586">
        <f t="shared" si="14"/>
        <v>600</v>
      </c>
      <c r="AI48" s="674" t="s">
        <v>288</v>
      </c>
    </row>
    <row r="49" spans="2:36" ht="16">
      <c r="D49" s="304"/>
      <c r="I49" s="10" t="s">
        <v>283</v>
      </c>
      <c r="J49" s="586">
        <f t="shared" si="13"/>
        <v>435.78</v>
      </c>
      <c r="K49" s="586">
        <f t="shared" si="13"/>
        <v>191.58</v>
      </c>
      <c r="L49" s="586">
        <f t="shared" si="13"/>
        <v>17.75</v>
      </c>
      <c r="M49" s="586">
        <f t="shared" si="13"/>
        <v>116.96999999999998</v>
      </c>
      <c r="N49" s="586">
        <f t="shared" si="13"/>
        <v>149.01</v>
      </c>
      <c r="O49" s="586">
        <f t="shared" si="13"/>
        <v>0</v>
      </c>
      <c r="P49" s="586">
        <f t="shared" si="13"/>
        <v>0</v>
      </c>
      <c r="Q49" s="586">
        <f t="shared" si="13"/>
        <v>0</v>
      </c>
      <c r="R49" s="586">
        <f t="shared" si="13"/>
        <v>0</v>
      </c>
      <c r="S49" s="586">
        <f t="shared" si="13"/>
        <v>0</v>
      </c>
      <c r="T49" s="586">
        <f t="shared" si="14"/>
        <v>0</v>
      </c>
      <c r="U49" s="586">
        <f t="shared" si="14"/>
        <v>0</v>
      </c>
      <c r="V49" s="586">
        <f t="shared" si="14"/>
        <v>6.51</v>
      </c>
      <c r="W49" s="586">
        <f t="shared" si="14"/>
        <v>11.1</v>
      </c>
      <c r="X49" s="586">
        <f t="shared" si="14"/>
        <v>0</v>
      </c>
      <c r="Y49" s="586">
        <f t="shared" si="14"/>
        <v>26.46</v>
      </c>
      <c r="Z49" s="586">
        <f t="shared" si="14"/>
        <v>6.5</v>
      </c>
      <c r="AA49" s="586">
        <f t="shared" si="14"/>
        <v>10.88</v>
      </c>
      <c r="AB49" s="586">
        <f t="shared" si="14"/>
        <v>0</v>
      </c>
      <c r="AC49" s="586">
        <f t="shared" si="14"/>
        <v>0</v>
      </c>
      <c r="AD49" s="586">
        <f t="shared" si="14"/>
        <v>10.5</v>
      </c>
      <c r="AE49" s="586">
        <f t="shared" si="14"/>
        <v>2.0499999999999998</v>
      </c>
      <c r="AF49" s="586">
        <f t="shared" si="14"/>
        <v>9.9350000000000005</v>
      </c>
      <c r="AG49" s="586">
        <f t="shared" si="14"/>
        <v>1250</v>
      </c>
      <c r="AH49" s="586">
        <f t="shared" si="14"/>
        <v>500</v>
      </c>
      <c r="AI49" s="674" t="s">
        <v>288</v>
      </c>
    </row>
    <row r="50" spans="2:36" ht="16">
      <c r="B50" s="390" t="s">
        <v>63</v>
      </c>
      <c r="C50" s="387" t="s">
        <v>42</v>
      </c>
      <c r="D50" s="388" t="s">
        <v>29</v>
      </c>
      <c r="E50" s="388" t="s">
        <v>1</v>
      </c>
      <c r="F50" s="389" t="s">
        <v>10</v>
      </c>
      <c r="G50" s="381" t="s">
        <v>14</v>
      </c>
      <c r="I50" s="10" t="s">
        <v>284</v>
      </c>
      <c r="J50" s="586">
        <f t="shared" si="13"/>
        <v>363.15</v>
      </c>
      <c r="K50" s="586">
        <f t="shared" si="13"/>
        <v>159.65</v>
      </c>
      <c r="L50" s="586">
        <f t="shared" si="13"/>
        <v>7.1000000000000005</v>
      </c>
      <c r="M50" s="586">
        <f t="shared" si="13"/>
        <v>38.99</v>
      </c>
      <c r="N50" s="586">
        <f t="shared" si="13"/>
        <v>49.67</v>
      </c>
      <c r="O50" s="586">
        <f t="shared" si="13"/>
        <v>0</v>
      </c>
      <c r="P50" s="586">
        <f t="shared" si="13"/>
        <v>0</v>
      </c>
      <c r="Q50" s="586">
        <f t="shared" si="13"/>
        <v>0</v>
      </c>
      <c r="R50" s="586">
        <f t="shared" si="13"/>
        <v>0</v>
      </c>
      <c r="S50" s="586">
        <f t="shared" si="13"/>
        <v>0</v>
      </c>
      <c r="T50" s="586">
        <f t="shared" si="14"/>
        <v>0</v>
      </c>
      <c r="U50" s="586">
        <f t="shared" si="14"/>
        <v>0</v>
      </c>
      <c r="V50" s="586">
        <f t="shared" si="14"/>
        <v>5.4249999999999998</v>
      </c>
      <c r="W50" s="586">
        <f t="shared" si="14"/>
        <v>11.1</v>
      </c>
      <c r="X50" s="586">
        <f t="shared" si="14"/>
        <v>0</v>
      </c>
      <c r="Y50" s="586">
        <f t="shared" si="14"/>
        <v>8.82</v>
      </c>
      <c r="Z50" s="586">
        <f t="shared" si="14"/>
        <v>6.5</v>
      </c>
      <c r="AA50" s="586">
        <f t="shared" si="14"/>
        <v>10.88</v>
      </c>
      <c r="AB50" s="586">
        <f t="shared" si="14"/>
        <v>0</v>
      </c>
      <c r="AC50" s="586">
        <f t="shared" si="14"/>
        <v>0</v>
      </c>
      <c r="AD50" s="586">
        <f t="shared" si="14"/>
        <v>10.5</v>
      </c>
      <c r="AE50" s="586">
        <f t="shared" si="14"/>
        <v>2.0499999999999998</v>
      </c>
      <c r="AF50" s="586">
        <f t="shared" si="14"/>
        <v>3.9740000000000002</v>
      </c>
      <c r="AG50" s="586">
        <f t="shared" si="14"/>
        <v>1000</v>
      </c>
      <c r="AH50" s="586">
        <f t="shared" si="14"/>
        <v>400</v>
      </c>
      <c r="AI50" s="674" t="s">
        <v>288</v>
      </c>
    </row>
    <row r="51" spans="2:36" ht="19" customHeight="1">
      <c r="B51" s="386">
        <v>2</v>
      </c>
      <c r="C51" s="12" t="s">
        <v>502</v>
      </c>
      <c r="D51" s="454" t="s">
        <v>112</v>
      </c>
      <c r="E51" s="455" t="s">
        <v>528</v>
      </c>
      <c r="F51" s="305">
        <f>SUMIFS(DATA_THIDUA_ST!M:M,DATA_THIDUA_ST!K:K,KB!C:C)</f>
        <v>71</v>
      </c>
      <c r="G51" s="391">
        <f>SUMIFS(DATA_THIDUA_ST!O:O,DATA_THIDUA_ST!K:K,Table4[[#This Row],[Nhóm Thi Đua]])</f>
        <v>0.56340000000000001</v>
      </c>
      <c r="J51" s="671"/>
    </row>
    <row r="52" spans="2:36" ht="19" customHeight="1">
      <c r="B52" s="386">
        <v>12</v>
      </c>
      <c r="C52" s="12" t="s">
        <v>508</v>
      </c>
      <c r="D52" s="454" t="s">
        <v>52</v>
      </c>
      <c r="E52" s="455" t="s">
        <v>528</v>
      </c>
      <c r="F52" s="305">
        <f>SUMIFS(DATA_THIDUA_ST!M:M,DATA_THIDUA_ST!K:K,KB!C:C)</f>
        <v>1452.6</v>
      </c>
      <c r="G52" s="391">
        <f>SUMIFS(DATA_THIDUA_ST!O:O,DATA_THIDUA_ST!K:K,Table4[[#This Row],[Nhóm Thi Đua]])</f>
        <v>0.57150000000000001</v>
      </c>
    </row>
    <row r="53" spans="2:36" ht="19" customHeight="1">
      <c r="B53" s="386">
        <v>13</v>
      </c>
      <c r="C53" s="12" t="s">
        <v>509</v>
      </c>
      <c r="D53" s="454" t="s">
        <v>104</v>
      </c>
      <c r="E53" s="455" t="s">
        <v>528</v>
      </c>
      <c r="F53" s="305">
        <f>SUMIFS(DATA_THIDUA_ST!M:M,DATA_THIDUA_ST!K:K,KB!C:C)</f>
        <v>21.7</v>
      </c>
      <c r="G53" s="391">
        <f>SUMIFS(DATA_THIDUA_ST!O:O,DATA_THIDUA_ST!K:K,Table4[[#This Row],[Nhóm Thi Đua]])</f>
        <v>1.0310999999999999</v>
      </c>
    </row>
    <row r="54" spans="2:36" ht="19" customHeight="1">
      <c r="B54" s="386">
        <v>16</v>
      </c>
      <c r="C54" s="12" t="s">
        <v>510</v>
      </c>
      <c r="D54" s="454" t="s">
        <v>30</v>
      </c>
      <c r="E54" s="455" t="s">
        <v>528</v>
      </c>
      <c r="F54" s="305">
        <f>SUMIFS(DATA_THIDUA_ST!M:M,DATA_THIDUA_ST!K:K,KB!C:C)</f>
        <v>389.9</v>
      </c>
      <c r="G54" s="391">
        <f>SUMIFS(DATA_THIDUA_ST!O:O,DATA_THIDUA_ST!K:K,Table4[[#This Row],[Nhóm Thi Đua]])</f>
        <v>0.746</v>
      </c>
      <c r="I54" s="335" t="s">
        <v>206</v>
      </c>
      <c r="J54" s="335"/>
      <c r="K54" s="335"/>
      <c r="L54" s="335"/>
      <c r="M54" s="335"/>
      <c r="N54" s="335"/>
      <c r="O54" s="335"/>
      <c r="P54" s="335"/>
      <c r="Q54" s="335"/>
      <c r="R54" s="335"/>
      <c r="S54" s="335"/>
      <c r="T54" s="335"/>
      <c r="U54" s="335"/>
      <c r="V54" s="335"/>
      <c r="W54" s="335"/>
      <c r="X54" s="335"/>
      <c r="Y54" s="335"/>
      <c r="Z54" s="335"/>
      <c r="AA54" s="335"/>
      <c r="AB54" s="335"/>
      <c r="AC54" s="335"/>
      <c r="AD54" s="335"/>
      <c r="AE54" s="335"/>
      <c r="AF54" s="335"/>
    </row>
    <row r="55" spans="2:36" ht="19" customHeight="1">
      <c r="B55" s="386">
        <v>17</v>
      </c>
      <c r="C55" s="12" t="s">
        <v>511</v>
      </c>
      <c r="D55" s="454" t="s">
        <v>32</v>
      </c>
      <c r="E55" s="455" t="s">
        <v>528</v>
      </c>
      <c r="F55" s="305">
        <f>SUMIFS(DATA_THIDUA_ST!M:M,DATA_THIDUA_ST!K:K,KB!C:C)</f>
        <v>496.7</v>
      </c>
      <c r="G55" s="391">
        <f>SUMIFS(DATA_THIDUA_ST!O:O,DATA_THIDUA_ST!K:K,Table4[[#This Row],[Nhóm Thi Đua]])</f>
        <v>0.59489999999999998</v>
      </c>
      <c r="I55" s="641"/>
      <c r="J55" s="642" t="s">
        <v>52</v>
      </c>
      <c r="K55" s="642" t="s">
        <v>33</v>
      </c>
      <c r="L55" s="642" t="s">
        <v>112</v>
      </c>
      <c r="M55" s="642" t="s">
        <v>30</v>
      </c>
      <c r="N55" s="642" t="s">
        <v>32</v>
      </c>
      <c r="O55" s="643" t="s">
        <v>64</v>
      </c>
      <c r="P55" s="644" t="s">
        <v>168</v>
      </c>
      <c r="Q55" s="642" t="s">
        <v>169</v>
      </c>
      <c r="R55" s="643" t="s">
        <v>147</v>
      </c>
      <c r="S55" s="643" t="s">
        <v>26</v>
      </c>
      <c r="T55" s="643" t="s">
        <v>229</v>
      </c>
      <c r="U55" s="642" t="s">
        <v>524</v>
      </c>
      <c r="V55" s="642" t="s">
        <v>104</v>
      </c>
      <c r="W55" s="642" t="s">
        <v>25</v>
      </c>
      <c r="X55" s="643" t="s">
        <v>70</v>
      </c>
      <c r="Y55" s="643" t="s">
        <v>171</v>
      </c>
      <c r="Z55" s="643" t="s">
        <v>231</v>
      </c>
      <c r="AA55" s="644" t="s">
        <v>31</v>
      </c>
      <c r="AB55" s="642" t="s">
        <v>228</v>
      </c>
      <c r="AC55" s="645" t="s">
        <v>232</v>
      </c>
      <c r="AD55" s="646" t="s">
        <v>128</v>
      </c>
      <c r="AE55" s="646" t="s">
        <v>61</v>
      </c>
      <c r="AF55" s="583" t="s">
        <v>103</v>
      </c>
      <c r="AG55" s="22" t="s">
        <v>556</v>
      </c>
      <c r="AH55" s="22" t="s">
        <v>557</v>
      </c>
      <c r="AI55" s="670" t="s">
        <v>558</v>
      </c>
      <c r="AJ55" s="651">
        <f ca="1">_xlfn.XLOOKUP(
CONFIG!B8,
CONFIG!B3:B7,
CONFIG!C3:C7
)</f>
        <v>0.25</v>
      </c>
    </row>
    <row r="56" spans="2:36" ht="19" customHeight="1">
      <c r="B56" s="386">
        <v>21</v>
      </c>
      <c r="C56" s="12" t="s">
        <v>514</v>
      </c>
      <c r="D56" s="454" t="s">
        <v>33</v>
      </c>
      <c r="E56" s="455" t="s">
        <v>528</v>
      </c>
      <c r="F56" s="305">
        <f>SUMIFS(DATA_THIDUA_ST!M:M,DATA_THIDUA_ST!K:K,KB!C:C)</f>
        <v>638.6</v>
      </c>
      <c r="G56" s="391">
        <f>SUMIFS(DATA_THIDUA_ST!O:O,DATA_THIDUA_ST!K:K,Table4[[#This Row],[Nhóm Thi Đua]])</f>
        <v>0.59279999999999999</v>
      </c>
      <c r="I56" s="647" t="s">
        <v>56</v>
      </c>
      <c r="J56" s="648">
        <f t="shared" ref="J56:AF56" ca="1" si="15">ROUND(J38*$AJ$55,0)</f>
        <v>8</v>
      </c>
      <c r="K56" s="648">
        <f t="shared" ca="1" si="15"/>
        <v>11</v>
      </c>
      <c r="L56" s="648">
        <f t="shared" ca="1" si="15"/>
        <v>1</v>
      </c>
      <c r="M56" s="648">
        <f t="shared" ca="1" si="15"/>
        <v>12</v>
      </c>
      <c r="N56" s="648">
        <f t="shared" ca="1" si="15"/>
        <v>24</v>
      </c>
      <c r="O56" s="648">
        <f t="shared" ca="1" si="15"/>
        <v>37</v>
      </c>
      <c r="P56" s="648">
        <f t="shared" ca="1" si="15"/>
        <v>45</v>
      </c>
      <c r="Q56" s="648">
        <f t="shared" ca="1" si="15"/>
        <v>51</v>
      </c>
      <c r="R56" s="648">
        <f t="shared" ca="1" si="15"/>
        <v>62</v>
      </c>
      <c r="S56" s="648">
        <f t="shared" ca="1" si="15"/>
        <v>13</v>
      </c>
      <c r="T56" s="648">
        <f t="shared" ca="1" si="15"/>
        <v>4</v>
      </c>
      <c r="U56" s="648">
        <f t="shared" ca="1" si="15"/>
        <v>40</v>
      </c>
      <c r="V56" s="648">
        <f t="shared" ca="1" si="15"/>
        <v>1</v>
      </c>
      <c r="W56" s="648">
        <f t="shared" ca="1" si="15"/>
        <v>2</v>
      </c>
      <c r="X56" s="648">
        <f t="shared" ca="1" si="15"/>
        <v>43</v>
      </c>
      <c r="Y56" s="648">
        <f t="shared" ca="1" si="15"/>
        <v>1</v>
      </c>
      <c r="Z56" s="648">
        <f t="shared" ca="1" si="15"/>
        <v>1</v>
      </c>
      <c r="AA56" s="648">
        <f t="shared" ca="1" si="15"/>
        <v>1</v>
      </c>
      <c r="AB56" s="648">
        <f t="shared" ca="1" si="15"/>
        <v>5</v>
      </c>
      <c r="AC56" s="648">
        <f t="shared" ca="1" si="15"/>
        <v>10</v>
      </c>
      <c r="AD56" s="648">
        <f t="shared" ca="1" si="15"/>
        <v>2</v>
      </c>
      <c r="AE56" s="648">
        <f t="shared" ca="1" si="15"/>
        <v>1</v>
      </c>
      <c r="AF56" s="648">
        <f t="shared" ca="1" si="15"/>
        <v>0</v>
      </c>
      <c r="AG56" s="648">
        <f t="shared" ref="AG56:AH67" ca="1" si="16">ROUND(AG38*$AJ$55,0)</f>
        <v>350</v>
      </c>
      <c r="AH56" s="648">
        <f t="shared" ca="1" si="16"/>
        <v>105</v>
      </c>
      <c r="AI56" s="338" t="s">
        <v>559</v>
      </c>
    </row>
    <row r="57" spans="2:36" ht="19" customHeight="1">
      <c r="B57" s="386">
        <v>4</v>
      </c>
      <c r="C57" s="12" t="s">
        <v>114</v>
      </c>
      <c r="D57" s="454" t="s">
        <v>25</v>
      </c>
      <c r="E57" s="455" t="s">
        <v>185</v>
      </c>
      <c r="F57" s="305">
        <f>SUMIFS(DATA_THIDUA_ST!M:M,DATA_THIDUA_ST!K:K,KB!C:C)</f>
        <v>37</v>
      </c>
      <c r="G57" s="391">
        <f>SUMIFS(DATA_THIDUA_ST!O:O,DATA_THIDUA_ST!K:K,Table4[[#This Row],[Nhóm Thi Đua]])</f>
        <v>0.1351</v>
      </c>
      <c r="I57" s="647" t="s">
        <v>60</v>
      </c>
      <c r="J57" s="648">
        <f t="shared" ref="J57:Y68" ca="1" si="17">ROUND(J39*$AJ$55,0)</f>
        <v>10</v>
      </c>
      <c r="K57" s="648">
        <f t="shared" ca="1" si="17"/>
        <v>14</v>
      </c>
      <c r="L57" s="648">
        <f t="shared" ca="1" si="17"/>
        <v>1</v>
      </c>
      <c r="M57" s="648">
        <f t="shared" ca="1" si="17"/>
        <v>12</v>
      </c>
      <c r="N57" s="648">
        <f t="shared" ca="1" si="17"/>
        <v>17</v>
      </c>
      <c r="O57" s="648">
        <f t="shared" ca="1" si="17"/>
        <v>25</v>
      </c>
      <c r="P57" s="648">
        <f t="shared" ca="1" si="17"/>
        <v>36</v>
      </c>
      <c r="Q57" s="648">
        <f t="shared" ca="1" si="17"/>
        <v>51</v>
      </c>
      <c r="R57" s="648">
        <f t="shared" ca="1" si="17"/>
        <v>51</v>
      </c>
      <c r="S57" s="648">
        <f t="shared" ca="1" si="17"/>
        <v>11</v>
      </c>
      <c r="T57" s="648">
        <f t="shared" ca="1" si="17"/>
        <v>4</v>
      </c>
      <c r="U57" s="648">
        <f t="shared" ca="1" si="17"/>
        <v>32</v>
      </c>
      <c r="V57" s="648">
        <f t="shared" ca="1" si="17"/>
        <v>1</v>
      </c>
      <c r="W57" s="648">
        <f t="shared" ca="1" si="17"/>
        <v>3</v>
      </c>
      <c r="X57" s="648">
        <f t="shared" ca="1" si="17"/>
        <v>35</v>
      </c>
      <c r="Y57" s="648">
        <f t="shared" ca="1" si="17"/>
        <v>1</v>
      </c>
      <c r="Z57" s="648">
        <f t="shared" ref="Z57:AF67" ca="1" si="18">ROUND(Z39*$AJ$55,0)</f>
        <v>1</v>
      </c>
      <c r="AA57" s="648">
        <f t="shared" ca="1" si="18"/>
        <v>1</v>
      </c>
      <c r="AB57" s="648">
        <f t="shared" ca="1" si="18"/>
        <v>5</v>
      </c>
      <c r="AC57" s="648">
        <f t="shared" ca="1" si="18"/>
        <v>8</v>
      </c>
      <c r="AD57" s="648">
        <f t="shared" ca="1" si="18"/>
        <v>2</v>
      </c>
      <c r="AE57" s="648">
        <f t="shared" ca="1" si="18"/>
        <v>1</v>
      </c>
      <c r="AF57" s="648">
        <f t="shared" ca="1" si="18"/>
        <v>0</v>
      </c>
      <c r="AG57" s="648">
        <f t="shared" ca="1" si="16"/>
        <v>315</v>
      </c>
      <c r="AH57" s="648">
        <f t="shared" ca="1" si="16"/>
        <v>105</v>
      </c>
      <c r="AI57" s="338" t="s">
        <v>559</v>
      </c>
    </row>
    <row r="58" spans="2:36" ht="19" customHeight="1">
      <c r="B58" s="386">
        <v>7</v>
      </c>
      <c r="C58" s="12" t="s">
        <v>506</v>
      </c>
      <c r="D58" s="454" t="s">
        <v>231</v>
      </c>
      <c r="E58" s="455" t="s">
        <v>185</v>
      </c>
      <c r="F58" s="305">
        <f>SUMIFS(DATA_THIDUA_ST!M:M,DATA_THIDUA_ST!K:K,KB!C:C)</f>
        <v>26</v>
      </c>
      <c r="G58" s="391">
        <f>SUMIFS(DATA_THIDUA_ST!O:O,DATA_THIDUA_ST!K:K,Table4[[#This Row],[Nhóm Thi Đua]])</f>
        <v>1.1537999999999999</v>
      </c>
      <c r="I58" s="647" t="s">
        <v>57</v>
      </c>
      <c r="J58" s="648">
        <f t="shared" ca="1" si="17"/>
        <v>10</v>
      </c>
      <c r="K58" s="648">
        <f t="shared" ref="K58:Y58" ca="1" si="19">ROUND(K40*$AJ$55,0)</f>
        <v>11</v>
      </c>
      <c r="L58" s="648">
        <f t="shared" ca="1" si="19"/>
        <v>1</v>
      </c>
      <c r="M58" s="648">
        <f t="shared" ca="1" si="19"/>
        <v>12</v>
      </c>
      <c r="N58" s="648">
        <f t="shared" ca="1" si="19"/>
        <v>24</v>
      </c>
      <c r="O58" s="648">
        <f t="shared" ca="1" si="19"/>
        <v>30</v>
      </c>
      <c r="P58" s="648">
        <f t="shared" ca="1" si="19"/>
        <v>45</v>
      </c>
      <c r="Q58" s="648">
        <f t="shared" ca="1" si="19"/>
        <v>42</v>
      </c>
      <c r="R58" s="648">
        <f t="shared" ca="1" si="19"/>
        <v>51</v>
      </c>
      <c r="S58" s="648">
        <f t="shared" ca="1" si="19"/>
        <v>11</v>
      </c>
      <c r="T58" s="648">
        <f t="shared" ca="1" si="19"/>
        <v>3</v>
      </c>
      <c r="U58" s="648">
        <f t="shared" ca="1" si="19"/>
        <v>32</v>
      </c>
      <c r="V58" s="648">
        <f t="shared" ca="1" si="19"/>
        <v>1</v>
      </c>
      <c r="W58" s="648">
        <f t="shared" ca="1" si="19"/>
        <v>2</v>
      </c>
      <c r="X58" s="648">
        <f t="shared" ca="1" si="19"/>
        <v>43</v>
      </c>
      <c r="Y58" s="648">
        <f t="shared" ca="1" si="19"/>
        <v>1</v>
      </c>
      <c r="Z58" s="648">
        <f t="shared" ca="1" si="18"/>
        <v>1</v>
      </c>
      <c r="AA58" s="648">
        <f t="shared" ca="1" si="18"/>
        <v>1</v>
      </c>
      <c r="AB58" s="648">
        <f t="shared" ca="1" si="18"/>
        <v>4</v>
      </c>
      <c r="AC58" s="648">
        <f t="shared" ca="1" si="18"/>
        <v>8</v>
      </c>
      <c r="AD58" s="648">
        <f t="shared" ca="1" si="18"/>
        <v>2</v>
      </c>
      <c r="AE58" s="648">
        <f t="shared" ca="1" si="18"/>
        <v>1</v>
      </c>
      <c r="AF58" s="648">
        <f t="shared" ca="1" si="18"/>
        <v>0</v>
      </c>
      <c r="AG58" s="648">
        <f t="shared" ca="1" si="16"/>
        <v>219</v>
      </c>
      <c r="AH58" s="648">
        <f t="shared" ca="1" si="16"/>
        <v>66</v>
      </c>
      <c r="AI58" s="338" t="s">
        <v>559</v>
      </c>
    </row>
    <row r="59" spans="2:36" ht="19" customHeight="1">
      <c r="B59" s="386">
        <v>11</v>
      </c>
      <c r="C59" s="12" t="s">
        <v>176</v>
      </c>
      <c r="D59" s="454" t="s">
        <v>31</v>
      </c>
      <c r="E59" s="455" t="s">
        <v>185</v>
      </c>
      <c r="F59" s="305">
        <f>SUMIFS(DATA_THIDUA_ST!M:M,DATA_THIDUA_ST!K:K,KB!C:C)</f>
        <v>108.8</v>
      </c>
      <c r="G59" s="391">
        <f>SUMIFS(DATA_THIDUA_ST!O:O,DATA_THIDUA_ST!K:K,Table4[[#This Row],[Nhóm Thi Đua]])</f>
        <v>0.10290000000000001</v>
      </c>
      <c r="I59" s="647" t="s">
        <v>151</v>
      </c>
      <c r="J59" s="648">
        <f t="shared" ca="1" si="17"/>
        <v>12</v>
      </c>
      <c r="K59" s="648">
        <f t="shared" ca="1" si="17"/>
        <v>14</v>
      </c>
      <c r="L59" s="648">
        <f t="shared" ca="1" si="17"/>
        <v>1</v>
      </c>
      <c r="M59" s="648">
        <f t="shared" ca="1" si="17"/>
        <v>12</v>
      </c>
      <c r="N59" s="648">
        <f t="shared" ca="1" si="17"/>
        <v>20</v>
      </c>
      <c r="O59" s="648">
        <f t="shared" ca="1" si="17"/>
        <v>30</v>
      </c>
      <c r="P59" s="648">
        <f t="shared" ca="1" si="17"/>
        <v>36</v>
      </c>
      <c r="Q59" s="648">
        <f t="shared" ca="1" si="17"/>
        <v>62</v>
      </c>
      <c r="R59" s="648">
        <f t="shared" ca="1" si="17"/>
        <v>51</v>
      </c>
      <c r="S59" s="648">
        <f t="shared" ca="1" si="17"/>
        <v>9</v>
      </c>
      <c r="T59" s="648">
        <f t="shared" ca="1" si="17"/>
        <v>3</v>
      </c>
      <c r="U59" s="648">
        <f t="shared" ca="1" si="17"/>
        <v>27</v>
      </c>
      <c r="V59" s="648">
        <f t="shared" ca="1" si="17"/>
        <v>1</v>
      </c>
      <c r="W59" s="648">
        <f t="shared" ca="1" si="17"/>
        <v>1</v>
      </c>
      <c r="X59" s="648">
        <f t="shared" ca="1" si="17"/>
        <v>35</v>
      </c>
      <c r="Y59" s="648">
        <f t="shared" ca="1" si="17"/>
        <v>1</v>
      </c>
      <c r="Z59" s="648">
        <f t="shared" ca="1" si="18"/>
        <v>1</v>
      </c>
      <c r="AA59" s="648">
        <f t="shared" ca="1" si="18"/>
        <v>1</v>
      </c>
      <c r="AB59" s="648">
        <f t="shared" ca="1" si="18"/>
        <v>5</v>
      </c>
      <c r="AC59" s="648">
        <f t="shared" ca="1" si="18"/>
        <v>7</v>
      </c>
      <c r="AD59" s="648">
        <f t="shared" ca="1" si="18"/>
        <v>2</v>
      </c>
      <c r="AE59" s="648">
        <f t="shared" ca="1" si="18"/>
        <v>1</v>
      </c>
      <c r="AF59" s="648">
        <f t="shared" ca="1" si="18"/>
        <v>0</v>
      </c>
      <c r="AG59" s="648">
        <f t="shared" ca="1" si="16"/>
        <v>263</v>
      </c>
      <c r="AH59" s="648">
        <f t="shared" ca="1" si="16"/>
        <v>79</v>
      </c>
      <c r="AI59" s="338" t="s">
        <v>559</v>
      </c>
    </row>
    <row r="60" spans="2:36" ht="19" customHeight="1">
      <c r="B60" s="386">
        <v>15</v>
      </c>
      <c r="C60" s="12" t="s">
        <v>225</v>
      </c>
      <c r="D60" s="454" t="s">
        <v>61</v>
      </c>
      <c r="E60" s="455" t="s">
        <v>185</v>
      </c>
      <c r="F60" s="305">
        <f>SUMIFS(DATA_THIDUA_ST!M:M,DATA_THIDUA_ST!K:K,KB!C:C)</f>
        <v>8.1999999999999993</v>
      </c>
      <c r="G60" s="391">
        <f>SUMIFS(DATA_THIDUA_ST!O:O,DATA_THIDUA_ST!K:K,Table4[[#This Row],[Nhóm Thi Đua]])</f>
        <v>0</v>
      </c>
      <c r="I60" s="647" t="s">
        <v>15</v>
      </c>
      <c r="J60" s="648">
        <f t="shared" ca="1" si="17"/>
        <v>10</v>
      </c>
      <c r="K60" s="648">
        <f t="shared" ca="1" si="17"/>
        <v>11</v>
      </c>
      <c r="L60" s="648">
        <f t="shared" ca="1" si="17"/>
        <v>1</v>
      </c>
      <c r="M60" s="648">
        <f t="shared" ca="1" si="17"/>
        <v>14</v>
      </c>
      <c r="N60" s="648">
        <f t="shared" ca="1" si="17"/>
        <v>17</v>
      </c>
      <c r="O60" s="648">
        <f t="shared" ca="1" si="17"/>
        <v>25</v>
      </c>
      <c r="P60" s="648">
        <f t="shared" ca="1" si="17"/>
        <v>45</v>
      </c>
      <c r="Q60" s="648">
        <f t="shared" ca="1" si="17"/>
        <v>51</v>
      </c>
      <c r="R60" s="648">
        <f t="shared" ca="1" si="17"/>
        <v>42</v>
      </c>
      <c r="S60" s="648">
        <f t="shared" ca="1" si="17"/>
        <v>9</v>
      </c>
      <c r="T60" s="648">
        <f t="shared" ca="1" si="17"/>
        <v>3</v>
      </c>
      <c r="U60" s="648">
        <f t="shared" ca="1" si="17"/>
        <v>32</v>
      </c>
      <c r="V60" s="648">
        <f t="shared" ca="1" si="17"/>
        <v>1</v>
      </c>
      <c r="W60" s="648">
        <f t="shared" ca="1" si="17"/>
        <v>3</v>
      </c>
      <c r="X60" s="648">
        <f t="shared" ca="1" si="17"/>
        <v>43</v>
      </c>
      <c r="Y60" s="648">
        <f t="shared" ca="1" si="17"/>
        <v>1</v>
      </c>
      <c r="Z60" s="648">
        <f t="shared" ca="1" si="18"/>
        <v>1</v>
      </c>
      <c r="AA60" s="648">
        <f t="shared" ca="1" si="18"/>
        <v>1</v>
      </c>
      <c r="AB60" s="648">
        <f t="shared" ca="1" si="18"/>
        <v>4</v>
      </c>
      <c r="AC60" s="648">
        <f t="shared" ca="1" si="18"/>
        <v>7</v>
      </c>
      <c r="AD60" s="648">
        <f t="shared" ca="1" si="18"/>
        <v>2</v>
      </c>
      <c r="AE60" s="648">
        <f t="shared" ca="1" si="18"/>
        <v>1</v>
      </c>
      <c r="AF60" s="648">
        <f t="shared" ca="1" si="18"/>
        <v>0</v>
      </c>
      <c r="AG60" s="648">
        <f t="shared" ca="1" si="16"/>
        <v>245</v>
      </c>
      <c r="AH60" s="648">
        <f t="shared" ca="1" si="16"/>
        <v>74</v>
      </c>
      <c r="AI60" s="338" t="s">
        <v>559</v>
      </c>
    </row>
    <row r="61" spans="2:36" ht="19" customHeight="1">
      <c r="B61" s="386">
        <v>18</v>
      </c>
      <c r="C61" s="12" t="s">
        <v>226</v>
      </c>
      <c r="D61" s="454" t="s">
        <v>128</v>
      </c>
      <c r="E61" s="455" t="s">
        <v>185</v>
      </c>
      <c r="F61" s="305">
        <f>SUMIFS(DATA_THIDUA_ST!M:M,DATA_THIDUA_ST!K:K,KB!C:C)</f>
        <v>42</v>
      </c>
      <c r="G61" s="391">
        <f>SUMIFS(DATA_THIDUA_ST!O:O,DATA_THIDUA_ST!K:K,Table4[[#This Row],[Nhóm Thi Đua]])</f>
        <v>0</v>
      </c>
      <c r="I61" s="647" t="s">
        <v>293</v>
      </c>
      <c r="J61" s="648">
        <f t="shared" ca="1" si="17"/>
        <v>8</v>
      </c>
      <c r="K61" s="648">
        <f t="shared" ca="1" si="17"/>
        <v>11</v>
      </c>
      <c r="L61" s="648">
        <f t="shared" ca="1" si="17"/>
        <v>0</v>
      </c>
      <c r="M61" s="648">
        <f t="shared" ca="1" si="17"/>
        <v>6</v>
      </c>
      <c r="N61" s="648">
        <f t="shared" ca="1" si="17"/>
        <v>11</v>
      </c>
      <c r="O61" s="648">
        <f t="shared" ca="1" si="17"/>
        <v>17</v>
      </c>
      <c r="P61" s="648">
        <f t="shared" ca="1" si="17"/>
        <v>20</v>
      </c>
      <c r="Q61" s="648">
        <f t="shared" ca="1" si="17"/>
        <v>28</v>
      </c>
      <c r="R61" s="648">
        <f t="shared" ca="1" si="17"/>
        <v>28</v>
      </c>
      <c r="S61" s="648">
        <f t="shared" ca="1" si="17"/>
        <v>6</v>
      </c>
      <c r="T61" s="648">
        <f t="shared" ca="1" si="17"/>
        <v>2</v>
      </c>
      <c r="U61" s="648">
        <f t="shared" ca="1" si="17"/>
        <v>27</v>
      </c>
      <c r="V61" s="648">
        <f t="shared" ca="1" si="17"/>
        <v>1</v>
      </c>
      <c r="W61" s="648">
        <f t="shared" ca="1" si="17"/>
        <v>2</v>
      </c>
      <c r="X61" s="648">
        <f t="shared" ca="1" si="17"/>
        <v>29</v>
      </c>
      <c r="Y61" s="648">
        <f t="shared" ca="1" si="17"/>
        <v>1</v>
      </c>
      <c r="Z61" s="648">
        <f t="shared" ca="1" si="18"/>
        <v>1</v>
      </c>
      <c r="AA61" s="648">
        <f t="shared" ca="1" si="18"/>
        <v>1</v>
      </c>
      <c r="AB61" s="648">
        <f t="shared" ca="1" si="18"/>
        <v>4</v>
      </c>
      <c r="AC61" s="648">
        <f t="shared" ca="1" si="18"/>
        <v>4</v>
      </c>
      <c r="AD61" s="648">
        <f t="shared" ca="1" si="18"/>
        <v>2</v>
      </c>
      <c r="AE61" s="648">
        <f t="shared" ca="1" si="18"/>
        <v>1</v>
      </c>
      <c r="AF61" s="648">
        <f t="shared" ca="1" si="18"/>
        <v>0</v>
      </c>
      <c r="AG61" s="648">
        <f t="shared" ca="1" si="16"/>
        <v>210</v>
      </c>
      <c r="AH61" s="648">
        <f t="shared" ca="1" si="16"/>
        <v>63</v>
      </c>
      <c r="AI61" s="338" t="s">
        <v>559</v>
      </c>
    </row>
    <row r="62" spans="2:36" ht="19" customHeight="1">
      <c r="B62" s="386">
        <v>19</v>
      </c>
      <c r="C62" s="12" t="s">
        <v>512</v>
      </c>
      <c r="D62" s="454" t="s">
        <v>171</v>
      </c>
      <c r="E62" s="455" t="s">
        <v>185</v>
      </c>
      <c r="F62" s="305">
        <f>SUMIFS(DATA_THIDUA_ST!M:M,DATA_THIDUA_ST!K:K,KB!C:C)</f>
        <v>88.2</v>
      </c>
      <c r="G62" s="391">
        <f>SUMIFS(DATA_THIDUA_ST!O:O,DATA_THIDUA_ST!K:K,Table4[[#This Row],[Nhóm Thi Đua]])</f>
        <v>0.15559999999999999</v>
      </c>
      <c r="I62" s="647" t="s">
        <v>433</v>
      </c>
      <c r="J62" s="648">
        <f t="shared" ca="1" si="17"/>
        <v>8</v>
      </c>
      <c r="K62" s="648">
        <f t="shared" ca="1" si="17"/>
        <v>11</v>
      </c>
      <c r="L62" s="648">
        <f t="shared" ca="1" si="17"/>
        <v>0</v>
      </c>
      <c r="M62" s="648">
        <f t="shared" ca="1" si="17"/>
        <v>6</v>
      </c>
      <c r="N62" s="648">
        <f t="shared" ca="1" si="17"/>
        <v>11</v>
      </c>
      <c r="O62" s="648">
        <f t="shared" ca="1" si="17"/>
        <v>17</v>
      </c>
      <c r="P62" s="648">
        <f t="shared" ca="1" si="17"/>
        <v>20</v>
      </c>
      <c r="Q62" s="648">
        <f t="shared" ca="1" si="17"/>
        <v>28</v>
      </c>
      <c r="R62" s="648">
        <f t="shared" ca="1" si="17"/>
        <v>28</v>
      </c>
      <c r="S62" s="648">
        <f t="shared" ca="1" si="17"/>
        <v>6</v>
      </c>
      <c r="T62" s="648">
        <f t="shared" ca="1" si="17"/>
        <v>2</v>
      </c>
      <c r="U62" s="648">
        <f t="shared" ca="1" si="17"/>
        <v>27</v>
      </c>
      <c r="V62" s="648">
        <f t="shared" ca="1" si="17"/>
        <v>1</v>
      </c>
      <c r="W62" s="648">
        <f t="shared" ca="1" si="17"/>
        <v>2</v>
      </c>
      <c r="X62" s="648">
        <f t="shared" ca="1" si="17"/>
        <v>29</v>
      </c>
      <c r="Y62" s="648">
        <f t="shared" ca="1" si="17"/>
        <v>1</v>
      </c>
      <c r="Z62" s="672">
        <f t="shared" ca="1" si="18"/>
        <v>1</v>
      </c>
      <c r="AA62" s="648">
        <f t="shared" ca="1" si="18"/>
        <v>1</v>
      </c>
      <c r="AB62" s="648">
        <f t="shared" ca="1" si="18"/>
        <v>4</v>
      </c>
      <c r="AC62" s="648">
        <f t="shared" ca="1" si="18"/>
        <v>4</v>
      </c>
      <c r="AD62" s="648">
        <f t="shared" ca="1" si="18"/>
        <v>2</v>
      </c>
      <c r="AE62" s="648">
        <f t="shared" ca="1" si="18"/>
        <v>1</v>
      </c>
      <c r="AF62" s="648">
        <f t="shared" ca="1" si="18"/>
        <v>0</v>
      </c>
      <c r="AG62" s="648">
        <f t="shared" ca="1" si="16"/>
        <v>210</v>
      </c>
      <c r="AH62" s="648">
        <f t="shared" ca="1" si="16"/>
        <v>63</v>
      </c>
      <c r="AI62" s="338" t="s">
        <v>559</v>
      </c>
    </row>
    <row r="63" spans="2:36" ht="19" customHeight="1">
      <c r="B63" s="386">
        <v>14</v>
      </c>
      <c r="C63" s="12" t="s">
        <v>103</v>
      </c>
      <c r="D63" s="454" t="s">
        <v>103</v>
      </c>
      <c r="E63" s="455" t="s">
        <v>185</v>
      </c>
      <c r="F63" s="305">
        <f>SUMIFS(DATA_THIDUA_ST!M:M,DATA_THIDUA_ST!K:K,KB!C:C)</f>
        <v>39.74</v>
      </c>
      <c r="G63" s="391">
        <f>SUMIFS(DATA_THIDUA_ST!O:O,DATA_THIDUA_ST!K:K,Table4[[#This Row],[Nhóm Thi Đua]])</f>
        <v>0.67359999999999998</v>
      </c>
      <c r="I63" s="321" t="s">
        <v>530</v>
      </c>
      <c r="J63" s="648">
        <f t="shared" ca="1" si="17"/>
        <v>0</v>
      </c>
      <c r="K63" s="648">
        <f t="shared" ca="1" si="17"/>
        <v>0</v>
      </c>
      <c r="L63" s="648">
        <f t="shared" ca="1" si="17"/>
        <v>0</v>
      </c>
      <c r="M63" s="648">
        <f t="shared" ca="1" si="17"/>
        <v>0</v>
      </c>
      <c r="N63" s="648">
        <f t="shared" ca="1" si="17"/>
        <v>0</v>
      </c>
      <c r="O63" s="648">
        <f t="shared" ca="1" si="17"/>
        <v>0</v>
      </c>
      <c r="P63" s="648">
        <f t="shared" ca="1" si="17"/>
        <v>0</v>
      </c>
      <c r="Q63" s="648">
        <f t="shared" ca="1" si="17"/>
        <v>0</v>
      </c>
      <c r="R63" s="648">
        <f t="shared" ca="1" si="17"/>
        <v>0</v>
      </c>
      <c r="S63" s="648">
        <f t="shared" ca="1" si="17"/>
        <v>0</v>
      </c>
      <c r="T63" s="648">
        <f t="shared" ca="1" si="17"/>
        <v>0</v>
      </c>
      <c r="U63" s="648">
        <f t="shared" ca="1" si="17"/>
        <v>0</v>
      </c>
      <c r="V63" s="648">
        <f t="shared" ca="1" si="17"/>
        <v>0</v>
      </c>
      <c r="W63" s="648">
        <f t="shared" ca="1" si="17"/>
        <v>0</v>
      </c>
      <c r="X63" s="648">
        <f t="shared" ca="1" si="17"/>
        <v>0</v>
      </c>
      <c r="Y63" s="648">
        <f t="shared" ca="1" si="17"/>
        <v>0</v>
      </c>
      <c r="Z63" s="648">
        <f t="shared" ca="1" si="18"/>
        <v>0</v>
      </c>
      <c r="AA63" s="648">
        <f t="shared" ca="1" si="18"/>
        <v>0</v>
      </c>
      <c r="AB63" s="648">
        <f t="shared" ca="1" si="18"/>
        <v>0</v>
      </c>
      <c r="AC63" s="648">
        <f t="shared" ca="1" si="18"/>
        <v>0</v>
      </c>
      <c r="AD63" s="648">
        <f t="shared" ca="1" si="18"/>
        <v>0</v>
      </c>
      <c r="AE63" s="648">
        <f t="shared" ca="1" si="18"/>
        <v>0</v>
      </c>
      <c r="AF63" s="648">
        <f t="shared" ca="1" si="18"/>
        <v>0</v>
      </c>
      <c r="AG63" s="648">
        <f t="shared" ca="1" si="16"/>
        <v>0</v>
      </c>
      <c r="AH63" s="648">
        <f t="shared" ca="1" si="16"/>
        <v>0</v>
      </c>
      <c r="AI63" s="338" t="s">
        <v>559</v>
      </c>
    </row>
    <row r="64" spans="2:36" ht="19" customHeight="1">
      <c r="B64" s="386">
        <v>10</v>
      </c>
      <c r="C64" s="12" t="s">
        <v>507</v>
      </c>
      <c r="D64" s="454" t="s">
        <v>392</v>
      </c>
      <c r="E64" s="455"/>
      <c r="F64" s="305">
        <f>SUMIFS(DATA_THIDUA_ST!M:M,DATA_THIDUA_ST!K:K,KB!C:C)</f>
        <v>5.2</v>
      </c>
      <c r="G64" s="391">
        <f>SUMIFS(DATA_THIDUA_ST!O:O,DATA_THIDUA_ST!K:K,Table4[[#This Row],[Nhóm Thi Đua]])</f>
        <v>0</v>
      </c>
      <c r="I64" s="315" t="s">
        <v>531</v>
      </c>
      <c r="J64" s="648">
        <f t="shared" ca="1" si="17"/>
        <v>0</v>
      </c>
      <c r="K64" s="648">
        <f t="shared" ca="1" si="17"/>
        <v>0</v>
      </c>
      <c r="L64" s="648">
        <f t="shared" ca="1" si="17"/>
        <v>0</v>
      </c>
      <c r="M64" s="648">
        <f t="shared" ca="1" si="17"/>
        <v>0</v>
      </c>
      <c r="N64" s="648">
        <f t="shared" ca="1" si="17"/>
        <v>0</v>
      </c>
      <c r="O64" s="648">
        <f t="shared" ca="1" si="17"/>
        <v>0</v>
      </c>
      <c r="P64" s="648">
        <f t="shared" ca="1" si="17"/>
        <v>0</v>
      </c>
      <c r="Q64" s="648">
        <f t="shared" ca="1" si="17"/>
        <v>0</v>
      </c>
      <c r="R64" s="648">
        <f t="shared" ca="1" si="17"/>
        <v>0</v>
      </c>
      <c r="S64" s="648">
        <f t="shared" ca="1" si="17"/>
        <v>0</v>
      </c>
      <c r="T64" s="648">
        <f t="shared" ca="1" si="17"/>
        <v>0</v>
      </c>
      <c r="U64" s="648">
        <f t="shared" ca="1" si="17"/>
        <v>0</v>
      </c>
      <c r="V64" s="648">
        <f t="shared" ca="1" si="17"/>
        <v>0</v>
      </c>
      <c r="W64" s="648">
        <f t="shared" ca="1" si="17"/>
        <v>0</v>
      </c>
      <c r="X64" s="648">
        <f t="shared" ca="1" si="17"/>
        <v>0</v>
      </c>
      <c r="Y64" s="648">
        <f t="shared" ca="1" si="17"/>
        <v>0</v>
      </c>
      <c r="Z64" s="648">
        <f t="shared" ca="1" si="18"/>
        <v>0</v>
      </c>
      <c r="AA64" s="648">
        <f t="shared" ca="1" si="18"/>
        <v>0</v>
      </c>
      <c r="AB64" s="648">
        <f t="shared" ca="1" si="18"/>
        <v>0</v>
      </c>
      <c r="AC64" s="648">
        <f t="shared" ca="1" si="18"/>
        <v>0</v>
      </c>
      <c r="AD64" s="648">
        <f t="shared" ca="1" si="18"/>
        <v>0</v>
      </c>
      <c r="AE64" s="648">
        <f t="shared" ca="1" si="18"/>
        <v>0</v>
      </c>
      <c r="AF64" s="648">
        <f t="shared" ca="1" si="18"/>
        <v>0</v>
      </c>
      <c r="AG64" s="648">
        <f t="shared" ca="1" si="16"/>
        <v>0</v>
      </c>
      <c r="AH64" s="648">
        <f t="shared" ca="1" si="16"/>
        <v>0</v>
      </c>
      <c r="AI64" s="338" t="s">
        <v>559</v>
      </c>
    </row>
    <row r="65" spans="2:35" ht="19" customHeight="1">
      <c r="B65" s="386">
        <v>1</v>
      </c>
      <c r="C65" s="12" t="s">
        <v>501</v>
      </c>
      <c r="D65" s="454" t="s">
        <v>219</v>
      </c>
      <c r="E65" s="455"/>
      <c r="F65" s="305">
        <f>SUMIFS(DATA_THIDUA_ST!M:M,DATA_THIDUA_ST!K:K,KB!C:C)</f>
        <v>32</v>
      </c>
      <c r="G65" s="391">
        <f>SUMIFS(DATA_THIDUA_ST!O:O,DATA_THIDUA_ST!K:K,Table4[[#This Row],[Nhóm Thi Đua]])</f>
        <v>0.3125</v>
      </c>
      <c r="I65" s="649" t="s">
        <v>281</v>
      </c>
      <c r="J65" s="648">
        <f t="shared" ca="1" si="17"/>
        <v>127</v>
      </c>
      <c r="K65" s="648">
        <f t="shared" ca="1" si="17"/>
        <v>48</v>
      </c>
      <c r="L65" s="648">
        <f t="shared" ca="1" si="17"/>
        <v>6</v>
      </c>
      <c r="M65" s="648">
        <f t="shared" ca="1" si="17"/>
        <v>24</v>
      </c>
      <c r="N65" s="648">
        <f t="shared" ca="1" si="17"/>
        <v>43</v>
      </c>
      <c r="O65" s="648">
        <f t="shared" ca="1" si="17"/>
        <v>0</v>
      </c>
      <c r="P65" s="648">
        <f t="shared" ca="1" si="17"/>
        <v>0</v>
      </c>
      <c r="Q65" s="648">
        <f t="shared" ca="1" si="17"/>
        <v>0</v>
      </c>
      <c r="R65" s="648">
        <f t="shared" ca="1" si="17"/>
        <v>0</v>
      </c>
      <c r="S65" s="648">
        <f t="shared" ca="1" si="17"/>
        <v>0</v>
      </c>
      <c r="T65" s="648">
        <f t="shared" ca="1" si="17"/>
        <v>0</v>
      </c>
      <c r="U65" s="648">
        <f t="shared" ca="1" si="17"/>
        <v>0</v>
      </c>
      <c r="V65" s="648">
        <f t="shared" ca="1" si="17"/>
        <v>2</v>
      </c>
      <c r="W65" s="648">
        <f t="shared" ca="1" si="17"/>
        <v>3</v>
      </c>
      <c r="X65" s="648">
        <f t="shared" ca="1" si="17"/>
        <v>0</v>
      </c>
      <c r="Y65" s="648">
        <f t="shared" ca="1" si="17"/>
        <v>8</v>
      </c>
      <c r="Z65" s="648">
        <f t="shared" ca="1" si="18"/>
        <v>2</v>
      </c>
      <c r="AA65" s="648">
        <f t="shared" ca="1" si="18"/>
        <v>3</v>
      </c>
      <c r="AB65" s="648">
        <f t="shared" ca="1" si="18"/>
        <v>0</v>
      </c>
      <c r="AC65" s="648">
        <f t="shared" ca="1" si="18"/>
        <v>0</v>
      </c>
      <c r="AD65" s="648">
        <f t="shared" ca="1" si="18"/>
        <v>3</v>
      </c>
      <c r="AE65" s="648">
        <f t="shared" ca="1" si="18"/>
        <v>1</v>
      </c>
      <c r="AF65" s="648">
        <f t="shared" ca="1" si="18"/>
        <v>3</v>
      </c>
      <c r="AG65" s="648">
        <f t="shared" ca="1" si="16"/>
        <v>338</v>
      </c>
      <c r="AH65" s="648">
        <f t="shared" ca="1" si="16"/>
        <v>135</v>
      </c>
      <c r="AI65" s="674" t="s">
        <v>288</v>
      </c>
    </row>
    <row r="66" spans="2:35" ht="19" customHeight="1">
      <c r="B66" s="386">
        <v>3</v>
      </c>
      <c r="C66" s="12" t="s">
        <v>503</v>
      </c>
      <c r="D66" s="454" t="s">
        <v>53</v>
      </c>
      <c r="E66" s="455"/>
      <c r="F66" s="305">
        <f>SUMIFS(DATA_THIDUA_ST!M:M,DATA_THIDUA_ST!K:K,KB!C:C)</f>
        <v>16</v>
      </c>
      <c r="G66" s="391">
        <f>SUMIFS(DATA_THIDUA_ST!O:O,DATA_THIDUA_ST!K:K,Table4[[#This Row],[Nhóm Thi Đua]])</f>
        <v>1.5625</v>
      </c>
      <c r="I66" s="649" t="s">
        <v>282</v>
      </c>
      <c r="J66" s="648">
        <f t="shared" ca="1" si="17"/>
        <v>127</v>
      </c>
      <c r="K66" s="648">
        <f t="shared" ca="1" si="17"/>
        <v>56</v>
      </c>
      <c r="L66" s="648">
        <f t="shared" ca="1" si="17"/>
        <v>5</v>
      </c>
      <c r="M66" s="648">
        <f t="shared" ca="1" si="17"/>
        <v>34</v>
      </c>
      <c r="N66" s="648">
        <f t="shared" ca="1" si="17"/>
        <v>31</v>
      </c>
      <c r="O66" s="648">
        <f t="shared" ca="1" si="17"/>
        <v>0</v>
      </c>
      <c r="P66" s="648">
        <f t="shared" ca="1" si="17"/>
        <v>0</v>
      </c>
      <c r="Q66" s="648">
        <f t="shared" ca="1" si="17"/>
        <v>0</v>
      </c>
      <c r="R66" s="648">
        <f t="shared" ca="1" si="17"/>
        <v>0</v>
      </c>
      <c r="S66" s="648">
        <f t="shared" ca="1" si="17"/>
        <v>0</v>
      </c>
      <c r="T66" s="648">
        <f t="shared" ca="1" si="17"/>
        <v>0</v>
      </c>
      <c r="U66" s="648">
        <f t="shared" ca="1" si="17"/>
        <v>0</v>
      </c>
      <c r="V66" s="648">
        <f t="shared" ca="1" si="17"/>
        <v>2</v>
      </c>
      <c r="W66" s="648">
        <f t="shared" ca="1" si="17"/>
        <v>2</v>
      </c>
      <c r="X66" s="648">
        <f t="shared" ca="1" si="17"/>
        <v>0</v>
      </c>
      <c r="Y66" s="648">
        <f t="shared" ca="1" si="17"/>
        <v>6</v>
      </c>
      <c r="Z66" s="648">
        <f t="shared" ca="1" si="18"/>
        <v>2</v>
      </c>
      <c r="AA66" s="648">
        <f t="shared" ca="1" si="18"/>
        <v>3</v>
      </c>
      <c r="AB66" s="648">
        <f t="shared" ca="1" si="18"/>
        <v>0</v>
      </c>
      <c r="AC66" s="648">
        <f t="shared" ca="1" si="18"/>
        <v>0</v>
      </c>
      <c r="AD66" s="648">
        <f t="shared" ca="1" si="18"/>
        <v>3</v>
      </c>
      <c r="AE66" s="648">
        <f t="shared" ca="1" si="18"/>
        <v>1</v>
      </c>
      <c r="AF66" s="648">
        <f t="shared" ca="1" si="18"/>
        <v>3</v>
      </c>
      <c r="AG66" s="648">
        <f t="shared" ca="1" si="16"/>
        <v>375</v>
      </c>
      <c r="AH66" s="648">
        <f t="shared" ca="1" si="16"/>
        <v>150</v>
      </c>
      <c r="AI66" s="674" t="s">
        <v>288</v>
      </c>
    </row>
    <row r="67" spans="2:35" ht="19" customHeight="1">
      <c r="B67" s="386">
        <v>5</v>
      </c>
      <c r="C67" s="12" t="s">
        <v>504</v>
      </c>
      <c r="D67" s="454" t="s">
        <v>230</v>
      </c>
      <c r="E67" s="455"/>
      <c r="F67" s="305">
        <f>SUMIFS(DATA_THIDUA_ST!M:M,DATA_THIDUA_ST!K:K,KB!C:C)</f>
        <v>4</v>
      </c>
      <c r="G67" s="391">
        <f>SUMIFS(DATA_THIDUA_ST!O:O,DATA_THIDUA_ST!K:K,Table4[[#This Row],[Nhóm Thi Đua]])</f>
        <v>0</v>
      </c>
      <c r="I67" s="649" t="s">
        <v>283</v>
      </c>
      <c r="J67" s="648">
        <f t="shared" ca="1" si="17"/>
        <v>109</v>
      </c>
      <c r="K67" s="648">
        <f t="shared" ca="1" si="17"/>
        <v>48</v>
      </c>
      <c r="L67" s="648">
        <f t="shared" ca="1" si="17"/>
        <v>4</v>
      </c>
      <c r="M67" s="648">
        <f t="shared" ca="1" si="17"/>
        <v>29</v>
      </c>
      <c r="N67" s="648">
        <f t="shared" ca="1" si="17"/>
        <v>37</v>
      </c>
      <c r="O67" s="648">
        <f t="shared" ca="1" si="17"/>
        <v>0</v>
      </c>
      <c r="P67" s="648">
        <f t="shared" ca="1" si="17"/>
        <v>0</v>
      </c>
      <c r="Q67" s="648">
        <f t="shared" ca="1" si="17"/>
        <v>0</v>
      </c>
      <c r="R67" s="648">
        <f t="shared" ca="1" si="17"/>
        <v>0</v>
      </c>
      <c r="S67" s="648">
        <f t="shared" ca="1" si="17"/>
        <v>0</v>
      </c>
      <c r="T67" s="648">
        <f t="shared" ca="1" si="17"/>
        <v>0</v>
      </c>
      <c r="U67" s="648">
        <f t="shared" ca="1" si="17"/>
        <v>0</v>
      </c>
      <c r="V67" s="648">
        <f t="shared" ca="1" si="17"/>
        <v>2</v>
      </c>
      <c r="W67" s="648">
        <f t="shared" ca="1" si="17"/>
        <v>3</v>
      </c>
      <c r="X67" s="648">
        <f t="shared" ca="1" si="17"/>
        <v>0</v>
      </c>
      <c r="Y67" s="648">
        <f t="shared" ca="1" si="17"/>
        <v>7</v>
      </c>
      <c r="Z67" s="648">
        <f t="shared" ca="1" si="18"/>
        <v>2</v>
      </c>
      <c r="AA67" s="648">
        <f t="shared" ca="1" si="18"/>
        <v>3</v>
      </c>
      <c r="AB67" s="648">
        <f t="shared" ca="1" si="18"/>
        <v>0</v>
      </c>
      <c r="AC67" s="648">
        <f t="shared" ca="1" si="18"/>
        <v>0</v>
      </c>
      <c r="AD67" s="648">
        <f t="shared" ca="1" si="18"/>
        <v>3</v>
      </c>
      <c r="AE67" s="648">
        <f t="shared" ca="1" si="18"/>
        <v>1</v>
      </c>
      <c r="AF67" s="648">
        <f t="shared" ca="1" si="18"/>
        <v>2</v>
      </c>
      <c r="AG67" s="648">
        <f t="shared" ca="1" si="16"/>
        <v>313</v>
      </c>
      <c r="AH67" s="648">
        <f t="shared" ca="1" si="16"/>
        <v>125</v>
      </c>
      <c r="AI67" s="674" t="s">
        <v>288</v>
      </c>
    </row>
    <row r="68" spans="2:35" ht="19" customHeight="1">
      <c r="B68" s="386">
        <v>6</v>
      </c>
      <c r="C68" s="12" t="s">
        <v>505</v>
      </c>
      <c r="D68" s="454" t="s">
        <v>178</v>
      </c>
      <c r="E68" s="455"/>
      <c r="F68" s="305">
        <f>SUMIFS(DATA_THIDUA_ST!M:M,DATA_THIDUA_ST!K:K,KB!C:C)</f>
        <v>677</v>
      </c>
      <c r="G68" s="391">
        <f>SUMIFS(DATA_THIDUA_ST!O:O,DATA_THIDUA_ST!K:K,Table4[[#This Row],[Nhóm Thi Đua]])</f>
        <v>0.83399999999999996</v>
      </c>
      <c r="I68" s="649" t="s">
        <v>284</v>
      </c>
      <c r="J68" s="648">
        <f t="shared" ca="1" si="17"/>
        <v>91</v>
      </c>
      <c r="K68" s="648">
        <f t="shared" ref="K68:P68" ca="1" si="20">ROUND(K50*$AJ$55,0)</f>
        <v>40</v>
      </c>
      <c r="L68" s="648">
        <f t="shared" ca="1" si="20"/>
        <v>2</v>
      </c>
      <c r="M68" s="648">
        <f t="shared" ca="1" si="20"/>
        <v>10</v>
      </c>
      <c r="N68" s="648">
        <f t="shared" ca="1" si="20"/>
        <v>12</v>
      </c>
      <c r="O68" s="648">
        <f t="shared" ca="1" si="20"/>
        <v>0</v>
      </c>
      <c r="P68" s="648">
        <f t="shared" ca="1" si="20"/>
        <v>0</v>
      </c>
      <c r="Q68" s="648">
        <f t="shared" ref="Q68:AF68" ca="1" si="21">ROUND(Q50*$AJ$55,0)</f>
        <v>0</v>
      </c>
      <c r="R68" s="648">
        <f t="shared" ca="1" si="21"/>
        <v>0</v>
      </c>
      <c r="S68" s="648">
        <f t="shared" ca="1" si="21"/>
        <v>0</v>
      </c>
      <c r="T68" s="648">
        <f t="shared" ca="1" si="21"/>
        <v>0</v>
      </c>
      <c r="U68" s="648">
        <f t="shared" ca="1" si="21"/>
        <v>0</v>
      </c>
      <c r="V68" s="648">
        <f t="shared" ca="1" si="21"/>
        <v>1</v>
      </c>
      <c r="W68" s="648">
        <f t="shared" ca="1" si="21"/>
        <v>3</v>
      </c>
      <c r="X68" s="648">
        <f t="shared" ca="1" si="21"/>
        <v>0</v>
      </c>
      <c r="Y68" s="648">
        <f t="shared" ca="1" si="21"/>
        <v>2</v>
      </c>
      <c r="Z68" s="648">
        <f t="shared" ca="1" si="21"/>
        <v>2</v>
      </c>
      <c r="AA68" s="648">
        <f t="shared" ca="1" si="21"/>
        <v>3</v>
      </c>
      <c r="AB68" s="648">
        <f t="shared" ca="1" si="21"/>
        <v>0</v>
      </c>
      <c r="AC68" s="648">
        <f t="shared" ca="1" si="21"/>
        <v>0</v>
      </c>
      <c r="AD68" s="648">
        <f t="shared" ca="1" si="21"/>
        <v>3</v>
      </c>
      <c r="AE68" s="648">
        <f t="shared" ca="1" si="21"/>
        <v>1</v>
      </c>
      <c r="AF68" s="648">
        <f t="shared" ca="1" si="21"/>
        <v>1</v>
      </c>
      <c r="AG68" s="648">
        <f t="shared" ref="AG68:AH68" ca="1" si="22">ROUND(AG50*$AJ$55,0)</f>
        <v>250</v>
      </c>
      <c r="AH68" s="648">
        <f t="shared" ca="1" si="22"/>
        <v>100</v>
      </c>
      <c r="AI68" s="674" t="s">
        <v>288</v>
      </c>
    </row>
    <row r="69" spans="2:35" ht="19" customHeight="1">
      <c r="B69" s="386">
        <v>20</v>
      </c>
      <c r="C69" s="12" t="s">
        <v>513</v>
      </c>
      <c r="D69" s="454" t="s">
        <v>513</v>
      </c>
      <c r="E69" s="455"/>
      <c r="F69" s="305">
        <f>SUMIFS(DATA_THIDUA_ST!M:M,DATA_THIDUA_ST!K:K,KB!C:C)</f>
        <v>4</v>
      </c>
      <c r="G69" s="391">
        <f>SUMIFS(DATA_THIDUA_ST!O:O,DATA_THIDUA_ST!K:K,Table4[[#This Row],[Nhóm Thi Đua]])</f>
        <v>1.177</v>
      </c>
      <c r="I69" s="650"/>
      <c r="J69" s="650"/>
      <c r="K69" s="650"/>
      <c r="L69" s="650"/>
      <c r="M69" s="650"/>
      <c r="N69" s="650"/>
      <c r="O69" s="650"/>
      <c r="P69" s="650"/>
      <c r="Q69" s="650"/>
      <c r="R69" s="650"/>
      <c r="S69" s="650"/>
      <c r="T69" s="650"/>
      <c r="U69" s="650"/>
      <c r="V69" s="650"/>
      <c r="W69" s="650"/>
      <c r="X69" s="650"/>
      <c r="Y69" s="650"/>
      <c r="Z69" s="650"/>
      <c r="AA69" s="650"/>
      <c r="AB69" s="650"/>
      <c r="AC69" s="650"/>
      <c r="AD69" s="650"/>
      <c r="AE69" s="650"/>
      <c r="AF69" s="650"/>
    </row>
    <row r="70" spans="2:35" ht="19" customHeight="1">
      <c r="B70" s="386">
        <v>22</v>
      </c>
      <c r="C70" s="12" t="s">
        <v>262</v>
      </c>
      <c r="D70" s="454" t="s">
        <v>556</v>
      </c>
      <c r="E70" s="455"/>
      <c r="F70" s="21">
        <v>5000</v>
      </c>
      <c r="G70" s="456"/>
    </row>
    <row r="71" spans="2:35" ht="19" customHeight="1">
      <c r="B71" s="386">
        <v>23</v>
      </c>
      <c r="C71" s="50" t="s">
        <v>212</v>
      </c>
      <c r="D71" s="454" t="s">
        <v>557</v>
      </c>
      <c r="E71" s="455"/>
      <c r="F71" s="21">
        <f>40%*F70</f>
        <v>2000</v>
      </c>
    </row>
  </sheetData>
  <customSheetViews>
    <customSheetView guid="{FEB50EEF-352C-B844-A6F4-33499875B85A}" scale="70" showAutoFilter="1">
      <selection activeCell="C27" sqref="C27:C29"/>
      <pageMargins left="0.7" right="0.7" top="0.75" bottom="0.75" header="0.3" footer="0.3"/>
      <pageSetup paperSize="9" orientation="portrait" horizontalDpi="0" verticalDpi="0"/>
      <autoFilter ref="B1:E1" xr:uid="{3EFA9AB7-54BF-C542-8325-D9EFAA7215B5}">
        <sortState xmlns:xlrd2="http://schemas.microsoft.com/office/spreadsheetml/2017/richdata2" ref="B2:E28">
          <sortCondition ref="E1:E28"/>
        </sortState>
      </autoFilter>
    </customSheetView>
  </customSheetViews>
  <phoneticPr fontId="45" type="noConversion"/>
  <conditionalFormatting sqref="AJ13 AJ27:AJ29 AJ19:AJ24 AJ35:AJ41 AJ3:AJ8 J20:AG20 J12:AI15 J3:AI7 J28:AF32 AG21:AG32 AH20:AI32 AF3:AF9 J21:AF26 J38:AI50">
    <cfRule type="containsText" dxfId="28" priority="101" operator="containsText" text="D1">
      <formula>NOT(ISERROR(SEARCH("D1",J3)))</formula>
    </cfRule>
    <cfRule type="containsText" dxfId="27" priority="102" operator="containsText" text="D2">
      <formula>NOT(ISERROR(SEARCH("D2",J3)))</formula>
    </cfRule>
    <cfRule type="containsText" dxfId="26" priority="103" operator="containsText" text="D3">
      <formula>NOT(ISERROR(SEARCH("D3",J3)))</formula>
    </cfRule>
    <cfRule type="containsText" dxfId="25" priority="104" operator="containsText" text="D4">
      <formula>NOT(ISERROR(SEARCH("D4",J3)))</formula>
    </cfRule>
  </conditionalFormatting>
  <conditionalFormatting sqref="AF29:AF32">
    <cfRule type="containsText" dxfId="24" priority="9" operator="containsText" text="D1">
      <formula>NOT(ISERROR(SEARCH("D1",AF29)))</formula>
    </cfRule>
    <cfRule type="containsText" dxfId="23" priority="10" operator="containsText" text="D2">
      <formula>NOT(ISERROR(SEARCH("D2",AF29)))</formula>
    </cfRule>
    <cfRule type="containsText" dxfId="22" priority="11" operator="containsText" text="D3">
      <formula>NOT(ISERROR(SEARCH("D3",AF29)))</formula>
    </cfRule>
    <cfRule type="containsText" dxfId="21" priority="12" operator="containsText" text="D4">
      <formula>NOT(ISERROR(SEARCH("D4",AF29)))</formula>
    </cfRule>
  </conditionalFormatting>
  <conditionalFormatting sqref="AI56:AI68">
    <cfRule type="containsText" dxfId="20" priority="1" operator="containsText" text="D1">
      <formula>NOT(ISERROR(SEARCH("D1",AI56)))</formula>
    </cfRule>
    <cfRule type="containsText" dxfId="19" priority="2" operator="containsText" text="D2">
      <formula>NOT(ISERROR(SEARCH("D2",AI56)))</formula>
    </cfRule>
    <cfRule type="containsText" dxfId="18" priority="3" operator="containsText" text="D3">
      <formula>NOT(ISERROR(SEARCH("D3",AI56)))</formula>
    </cfRule>
    <cfRule type="containsText" dxfId="17" priority="4" operator="containsText" text="D4">
      <formula>NOT(ISERROR(SEARCH("D4",AI56)))</formula>
    </cfRule>
  </conditionalFormatting>
  <pageMargins left="0.7" right="0.7" top="0.75" bottom="0.75" header="0.3" footer="0.3"/>
  <pageSetup paperSize="9" orientation="portrait" horizontalDpi="0" verticalDpi="0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E77F-EA0C-4A46-85D6-3FEFE40CE7AF}">
  <sheetPr codeName="Sheet9"/>
  <dimension ref="A1:T440"/>
  <sheetViews>
    <sheetView topLeftCell="B1" workbookViewId="0">
      <pane ySplit="1" topLeftCell="A406" activePane="bottomLeft" state="frozen"/>
      <selection activeCell="A27" sqref="A27"/>
      <selection pane="bottomLeft" activeCell="M430" sqref="M430"/>
    </sheetView>
  </sheetViews>
  <sheetFormatPr baseColWidth="10" defaultColWidth="8.83203125" defaultRowHeight="16"/>
  <cols>
    <col min="1" max="1" width="8.83203125" style="19"/>
    <col min="2" max="2" width="25" bestFit="1" customWidth="1"/>
    <col min="3" max="3" width="38.6640625" style="19" customWidth="1"/>
    <col min="4" max="4" width="12.1640625" style="19" bestFit="1" customWidth="1"/>
    <col min="5" max="5" width="32.1640625" style="19" bestFit="1" customWidth="1"/>
    <col min="6" max="6" width="67.1640625" style="19" hidden="1" customWidth="1"/>
    <col min="7" max="7" width="11.33203125" style="20" bestFit="1" customWidth="1"/>
    <col min="8" max="8" width="7.83203125" style="20" bestFit="1" customWidth="1"/>
    <col min="9" max="9" width="7.5" style="20" bestFit="1" customWidth="1"/>
    <col min="10" max="11" width="7" style="20" bestFit="1" customWidth="1"/>
    <col min="12" max="12" width="7.6640625" style="20" bestFit="1" customWidth="1"/>
    <col min="13" max="13" width="9.1640625" style="17" customWidth="1"/>
    <col min="14" max="14" width="7.1640625" style="655" customWidth="1"/>
    <col min="15" max="15" width="7.1640625" style="656" customWidth="1"/>
    <col min="16" max="18" width="7.1640625" style="657" customWidth="1"/>
    <col min="19" max="19" width="8.83203125" style="669"/>
    <col min="20" max="20" width="8.83203125" style="652"/>
    <col min="21" max="16384" width="8.83203125" style="19"/>
  </cols>
  <sheetData>
    <row r="1" spans="3:20" s="18" customFormat="1" ht="51">
      <c r="C1" s="114" t="s">
        <v>28</v>
      </c>
      <c r="D1" s="114" t="s">
        <v>43</v>
      </c>
      <c r="E1" s="114" t="s">
        <v>11</v>
      </c>
      <c r="F1" s="114"/>
      <c r="G1" s="115" t="s">
        <v>12</v>
      </c>
      <c r="H1" s="115" t="s">
        <v>34</v>
      </c>
      <c r="I1" s="115" t="s">
        <v>35</v>
      </c>
      <c r="J1" s="115" t="s">
        <v>36</v>
      </c>
      <c r="K1" s="115" t="s">
        <v>17</v>
      </c>
      <c r="L1" s="115" t="s">
        <v>37</v>
      </c>
      <c r="M1" s="115" t="s">
        <v>206</v>
      </c>
      <c r="N1" s="654" t="s">
        <v>550</v>
      </c>
      <c r="O1" s="654" t="s">
        <v>551</v>
      </c>
      <c r="P1" s="654" t="s">
        <v>552</v>
      </c>
      <c r="Q1" s="654" t="s">
        <v>553</v>
      </c>
      <c r="R1" s="654" t="s">
        <v>554</v>
      </c>
      <c r="S1" s="668" t="s">
        <v>555</v>
      </c>
      <c r="T1" s="653" t="s">
        <v>14</v>
      </c>
    </row>
    <row r="2" spans="3:20" ht="19" customHeight="1">
      <c r="C2" s="116" t="str">
        <f>INDEX(KB!C:D,MATCH(D2,KB!D:D,0),1)</f>
        <v>ĐIỆN THOẠI &amp; TABLET ANDROID</v>
      </c>
      <c r="D2" s="116" t="s">
        <v>52</v>
      </c>
      <c r="E2" s="321" t="s">
        <v>57</v>
      </c>
      <c r="F2" s="116" t="str">
        <f>C2&amp;E2</f>
        <v>ĐIỆN THOẠI &amp; TABLET ANDROIDNguyễn Thị Ngọc - 54026</v>
      </c>
      <c r="G2" s="118" cm="1">
        <f t="array" ref="G2">IFERROR(INDEX(KB!$I$38:$AJ$50,MATCH(XL_DT_TD!E2,KB!$I$38:$I$50,0),MATCH(XL_DT_TD!D2,KB!$J$37:$AJ$37,0)+1),0)</f>
        <v>40.661999999999999</v>
      </c>
      <c r="H2" s="118" cm="1">
        <f t="array" ref="H2">IFERROR(INDEX(DATA_TĐ!$B$1:$AZ$16,MATCH(XL_DT_TD!E2,DATA_TĐ!B:B,0),MATCH(XL_DT_TD!C2,DATA_TĐ!$1:$1,0)-1),0)</f>
        <v>9.25</v>
      </c>
      <c r="I2" s="118">
        <f ca="1">H2/DAY(NOW()-1)*'Hieu Qua NV'!$J$1</f>
        <v>46.25</v>
      </c>
      <c r="J2" s="118">
        <f>G2-H2</f>
        <v>31.411999999999999</v>
      </c>
      <c r="K2" s="118">
        <f ca="1">J2/'Hieu Qua NV'!$J$2</f>
        <v>1.3657391304347826</v>
      </c>
      <c r="L2" s="119">
        <f t="shared" ref="L2:L15" ca="1" si="0">I2/G2</f>
        <v>1.1374256062171069</v>
      </c>
      <c r="M2" s="118">
        <f ca="1">IFERROR(
INDEX(
KB!$I$55:$AJ$68,
MATCH(E2,KB!$I$55:$I$68,0),
MATCH(D2,KB!$I$55:$AJ$55,0)
),
0)</f>
        <v>10</v>
      </c>
      <c r="S2" s="669" cm="1">
        <f t="array" aca="1" ref="S2" ca="1">_xlfn.IFS(
CONFIG!$B$8="W1",H2-N2,
CONFIG!$B$8="W2",H2-O2,
CONFIG!$B$8="W3",H2-P2,
CONFIG!$B$8="W4",H2-Q2,
CONFIG!$B$8="W5",H2-R2
)</f>
        <v>9.25</v>
      </c>
      <c r="T2" s="652">
        <f ca="1">IF(M2=0,0,S2/M2)</f>
        <v>0.92500000000000004</v>
      </c>
    </row>
    <row r="3" spans="3:20" ht="19" customHeight="1">
      <c r="C3" s="116" t="str">
        <f>INDEX(KB!C:D,MATCH(D3,KB!D:D,0),1)</f>
        <v>ĐIỆN THOẠI &amp; TABLET ANDROID</v>
      </c>
      <c r="D3" s="116" t="s">
        <v>52</v>
      </c>
      <c r="E3" s="321" t="s">
        <v>60</v>
      </c>
      <c r="F3" s="116" t="str">
        <f t="shared" ref="F3:F16" si="1">C3&amp;E3</f>
        <v>ĐIỆN THOẠI &amp; TABLET ANDROIDNguyễn Viết Sơn - 94065</v>
      </c>
      <c r="G3" s="118" cm="1">
        <f t="array" ref="G3">IFERROR(INDEX(KB!$I$38:$AJ$50,MATCH(XL_DT_TD!E3,KB!$I$38:$I$50,0),MATCH(XL_DT_TD!D3,KB!$J$37:$AJ$37,0)+1),0)</f>
        <v>40.661999999999999</v>
      </c>
      <c r="H3" s="118" cm="1">
        <f t="array" ref="H3">IFERROR(INDEX(DATA_TĐ!$B$1:$AZ$16,MATCH(XL_DT_TD!E3,DATA_TĐ!B:B,0),MATCH(XL_DT_TD!C3,DATA_TĐ!$1:$1,0)-1),0)</f>
        <v>0</v>
      </c>
      <c r="I3" s="118">
        <f ca="1">H3/DAY(NOW()-1)*'Hieu Qua NV'!$J$1</f>
        <v>0</v>
      </c>
      <c r="J3" s="118">
        <f t="shared" ref="J3:J16" si="2">G3-H3</f>
        <v>40.661999999999999</v>
      </c>
      <c r="K3" s="118">
        <f ca="1">J3/'Hieu Qua NV'!$J$2</f>
        <v>1.7679130434782608</v>
      </c>
      <c r="L3" s="119">
        <f t="shared" ca="1" si="0"/>
        <v>0</v>
      </c>
      <c r="M3" s="118">
        <f ca="1">IFERROR(
INDEX(
KB!$I$55:$AJ$68,
MATCH(E3,KB!$I$55:$I$68,0),
MATCH(D3,KB!$I$55:$AJ$55,0)
),
0)</f>
        <v>10</v>
      </c>
      <c r="Q3" s="658"/>
      <c r="R3" s="659"/>
      <c r="S3" s="669" cm="1">
        <f t="array" aca="1" ref="S3" ca="1">_xlfn.IFS(
CONFIG!$B$8="W1",H3-N3,
CONFIG!$B$8="W2",H3-O3,
CONFIG!$B$8="W3",H3-P3,
CONFIG!$B$8="W4",H3-Q3,
CONFIG!$B$8="W5",H3-R3
)</f>
        <v>0</v>
      </c>
      <c r="T3" s="652">
        <f t="shared" ref="T3:T66" ca="1" si="3">IF(M3=0,0,S3/M3)</f>
        <v>0</v>
      </c>
    </row>
    <row r="4" spans="3:20" ht="19" customHeight="1">
      <c r="C4" s="116" t="str">
        <f>INDEX(KB!C:D,MATCH(D4,KB!D:D,0),1)</f>
        <v>ĐIỆN THOẠI &amp; TABLET ANDROID</v>
      </c>
      <c r="D4" s="116" t="s">
        <v>52</v>
      </c>
      <c r="E4" s="321" t="s">
        <v>15</v>
      </c>
      <c r="F4" s="116" t="str">
        <f t="shared" si="1"/>
        <v>ĐIỆN THOẠI &amp; TABLET ANDROIDNguyễn Trang Nhung - 25734</v>
      </c>
      <c r="G4" s="118" cm="1">
        <f t="array" ref="G4">IFERROR(INDEX(KB!$I$38:$AJ$50,MATCH(XL_DT_TD!E4,KB!$I$38:$I$50,0),MATCH(XL_DT_TD!D4,KB!$J$37:$AJ$37,0)+1),0)</f>
        <v>40.661999999999999</v>
      </c>
      <c r="H4" s="118" cm="1">
        <f t="array" ref="H4">IFERROR(INDEX(DATA_TĐ!$B$1:$AZ$16,MATCH(XL_DT_TD!E4,DATA_TĐ!B:B,0),MATCH(XL_DT_TD!C4,DATA_TĐ!$1:$1,0)-1),0)</f>
        <v>0</v>
      </c>
      <c r="I4" s="118">
        <f ca="1">H4/DAY(NOW()-1)*'Hieu Qua NV'!$J$1</f>
        <v>0</v>
      </c>
      <c r="J4" s="118">
        <f t="shared" si="2"/>
        <v>40.661999999999999</v>
      </c>
      <c r="K4" s="118">
        <f ca="1">J4/'Hieu Qua NV'!$J$2</f>
        <v>1.7679130434782608</v>
      </c>
      <c r="L4" s="119">
        <f t="shared" ca="1" si="0"/>
        <v>0</v>
      </c>
      <c r="M4" s="118">
        <f ca="1">IFERROR(
INDEX(
KB!$I$55:$AJ$68,
MATCH(E4,KB!$I$55:$I$68,0),
MATCH(D4,KB!$I$55:$AJ$55,0)
),
0)</f>
        <v>10</v>
      </c>
      <c r="Q4" s="658"/>
      <c r="R4" s="659"/>
      <c r="S4" s="669" cm="1">
        <f t="array" aca="1" ref="S4" ca="1">_xlfn.IFS(
CONFIG!$B$8="W1",H4-N4,
CONFIG!$B$8="W2",H4-O4,
CONFIG!$B$8="W3",H4-P4,
CONFIG!$B$8="W4",H4-Q4,
CONFIG!$B$8="W5",H4-R4
)</f>
        <v>0</v>
      </c>
      <c r="T4" s="652">
        <f t="shared" ca="1" si="3"/>
        <v>0</v>
      </c>
    </row>
    <row r="5" spans="3:20" ht="19" customHeight="1">
      <c r="C5" s="116" t="str">
        <f>INDEX(KB!C:D,MATCH(D5,KB!D:D,0),1)</f>
        <v>ĐIỆN THOẠI &amp; TABLET ANDROID</v>
      </c>
      <c r="D5" s="116" t="s">
        <v>52</v>
      </c>
      <c r="E5" s="321" t="s">
        <v>151</v>
      </c>
      <c r="F5" s="116" t="str">
        <f t="shared" si="1"/>
        <v>ĐIỆN THOẠI &amp; TABLET ANDROIDTrần Huy Hoàn - 270828</v>
      </c>
      <c r="G5" s="118" cm="1">
        <f t="array" ref="G5">IFERROR(INDEX(KB!$I$38:$AJ$50,MATCH(XL_DT_TD!E5,KB!$I$38:$I$50,0),MATCH(XL_DT_TD!D5,KB!$J$37:$AJ$37,0)+1),0)</f>
        <v>49.698</v>
      </c>
      <c r="H5" s="118" cm="1">
        <f t="array" ref="H5">IFERROR(INDEX(DATA_TĐ!$B$1:$AZ$16,MATCH(XL_DT_TD!E5,DATA_TĐ!B:B,0),MATCH(XL_DT_TD!C5,DATA_TĐ!$1:$1,0)-1),0)</f>
        <v>0</v>
      </c>
      <c r="I5" s="118">
        <f ca="1">H5/DAY(NOW()-1)*'Hieu Qua NV'!$J$1</f>
        <v>0</v>
      </c>
      <c r="J5" s="118">
        <f t="shared" si="2"/>
        <v>49.698</v>
      </c>
      <c r="K5" s="118">
        <f ca="1">J5/'Hieu Qua NV'!$J$2</f>
        <v>2.1607826086956523</v>
      </c>
      <c r="L5" s="119">
        <f t="shared" ca="1" si="0"/>
        <v>0</v>
      </c>
      <c r="M5" s="118">
        <f ca="1">IFERROR(
INDEX(
KB!$I$55:$AJ$68,
MATCH(E5,KB!$I$55:$I$68,0),
MATCH(D5,KB!$I$55:$AJ$55,0)
),
0)</f>
        <v>12</v>
      </c>
      <c r="Q5" s="658"/>
      <c r="R5" s="659"/>
      <c r="S5" s="669" cm="1">
        <f t="array" aca="1" ref="S5" ca="1">_xlfn.IFS(
CONFIG!$B$8="W1",H5-N5,
CONFIG!$B$8="W2",H5-O5,
CONFIG!$B$8="W3",H5-P5,
CONFIG!$B$8="W4",H5-Q5,
CONFIG!$B$8="W5",H5-R5
)</f>
        <v>0</v>
      </c>
      <c r="T5" s="652">
        <f t="shared" ca="1" si="3"/>
        <v>0</v>
      </c>
    </row>
    <row r="6" spans="3:20" ht="19" customHeight="1">
      <c r="C6" s="116" t="str">
        <f>INDEX(KB!C:D,MATCH(D6,KB!D:D,0),1)</f>
        <v>ĐIỆN THOẠI &amp; TABLET ANDROID</v>
      </c>
      <c r="D6" s="116" t="s">
        <v>52</v>
      </c>
      <c r="E6" s="321" t="s">
        <v>293</v>
      </c>
      <c r="F6" s="116" t="str">
        <f t="shared" si="1"/>
        <v>ĐIỆN THOẠI &amp; TABLET ANDROIDPhạm Văn Thanh - 279935</v>
      </c>
      <c r="G6" s="118" cm="1">
        <f t="array" ref="G6">IFERROR(INDEX(KB!$I$38:$AJ$50,MATCH(XL_DT_TD!E6,KB!$I$38:$I$50,0),MATCH(XL_DT_TD!D6,KB!$J$37:$AJ$37,0)+1),0)</f>
        <v>33.884999999999998</v>
      </c>
      <c r="H6" s="118" cm="1">
        <f t="array" ref="H6">IFERROR(INDEX(DATA_TĐ!$B$1:$AZ$16,MATCH(XL_DT_TD!E6,DATA_TĐ!B:B,0),MATCH(XL_DT_TD!C6,DATA_TĐ!$1:$1,0)-1),0)</f>
        <v>9.65</v>
      </c>
      <c r="I6" s="118">
        <f ca="1">H6/DAY(NOW()-1)*'Hieu Qua NV'!$J$1</f>
        <v>48.25</v>
      </c>
      <c r="J6" s="118">
        <f t="shared" si="2"/>
        <v>24.234999999999999</v>
      </c>
      <c r="K6" s="118">
        <f ca="1">J6/'Hieu Qua NV'!$J$2</f>
        <v>1.0536956521739129</v>
      </c>
      <c r="L6" s="119">
        <f t="shared" ca="1" si="0"/>
        <v>1.4239338940534161</v>
      </c>
      <c r="M6" s="118">
        <f ca="1">IFERROR(
INDEX(
KB!$I$55:$AJ$68,
MATCH(E6,KB!$I$55:$I$68,0),
MATCH(D6,KB!$I$55:$AJ$55,0)
),
0)</f>
        <v>8</v>
      </c>
      <c r="Q6" s="658"/>
      <c r="R6" s="659"/>
      <c r="S6" s="669" cm="1">
        <f t="array" aca="1" ref="S6" ca="1">_xlfn.IFS(
CONFIG!$B$8="W1",H6-N6,
CONFIG!$B$8="W2",H6-O6,
CONFIG!$B$8="W3",H6-P6,
CONFIG!$B$8="W4",H6-Q6,
CONFIG!$B$8="W5",H6-R6
)</f>
        <v>9.65</v>
      </c>
      <c r="T6" s="652">
        <f t="shared" ca="1" si="3"/>
        <v>1.20625</v>
      </c>
    </row>
    <row r="7" spans="3:20" ht="19" customHeight="1">
      <c r="C7" s="116" t="str">
        <f>INDEX(KB!C:D,MATCH(D7,KB!D:D,0),1)</f>
        <v>ĐIỆN THOẠI &amp; TABLET ANDROID</v>
      </c>
      <c r="D7" s="116" t="s">
        <v>52</v>
      </c>
      <c r="E7" s="321" t="s">
        <v>433</v>
      </c>
      <c r="F7" s="116" t="str">
        <f t="shared" ref="F7:F8" si="4">C7&amp;E7</f>
        <v>ĐIỆN THOẠI &amp; TABLET ANDROIDNguyễn Thành Đạt - 280855</v>
      </c>
      <c r="G7" s="118" cm="1">
        <f t="array" ref="G7">IFERROR(INDEX(KB!$I$38:$AJ$50,MATCH(XL_DT_TD!E7,KB!$I$38:$I$50,0),MATCH(XL_DT_TD!D7,KB!$J$37:$AJ$37,0)+1),0)</f>
        <v>33.884999999999998</v>
      </c>
      <c r="H7" s="118" cm="1">
        <f t="array" ref="H7">IFERROR(INDEX(DATA_TĐ!$B$1:$AZ$16,MATCH(XL_DT_TD!E7,DATA_TĐ!B:B,0),MATCH(XL_DT_TD!C7,DATA_TĐ!$1:$1,0)-1),0)</f>
        <v>4.34</v>
      </c>
      <c r="I7" s="118">
        <f ca="1">H7/DAY(NOW()-1)*'Hieu Qua NV'!$J$1</f>
        <v>21.7</v>
      </c>
      <c r="J7" s="118">
        <f t="shared" ref="J7:J8" si="5">G7-H7</f>
        <v>29.544999999999998</v>
      </c>
      <c r="K7" s="118">
        <f ca="1">J7/'Hieu Qua NV'!$J$2</f>
        <v>1.2845652173913042</v>
      </c>
      <c r="L7" s="119">
        <f t="shared" ref="L7:L8" ca="1" si="6">I7/G7</f>
        <v>0.64040135753283167</v>
      </c>
      <c r="M7" s="118">
        <f ca="1">IFERROR(
INDEX(
KB!$I$55:$AJ$68,
MATCH(E7,KB!$I$55:$I$68,0),
MATCH(D7,KB!$I$55:$AJ$55,0)
),
0)</f>
        <v>8</v>
      </c>
      <c r="Q7" s="658"/>
      <c r="R7" s="659"/>
      <c r="S7" s="669" cm="1">
        <f t="array" aca="1" ref="S7" ca="1">_xlfn.IFS(
CONFIG!$B$8="W1",H7-N7,
CONFIG!$B$8="W2",H7-O7,
CONFIG!$B$8="W3",H7-P7,
CONFIG!$B$8="W4",H7-Q7,
CONFIG!$B$8="W5",H7-R7
)</f>
        <v>4.34</v>
      </c>
      <c r="T7" s="652">
        <f t="shared" ca="1" si="3"/>
        <v>0.54249999999999998</v>
      </c>
    </row>
    <row r="8" spans="3:20" ht="19" customHeight="1">
      <c r="C8" s="116" t="str">
        <f>INDEX(KB!C:D,MATCH(D8,KB!D:D,0),1)</f>
        <v>ĐIỆN THOẠI &amp; TABLET ANDROID</v>
      </c>
      <c r="D8" s="116" t="s">
        <v>52</v>
      </c>
      <c r="E8" s="321" t="s">
        <v>56</v>
      </c>
      <c r="F8" s="116" t="str">
        <f t="shared" si="4"/>
        <v>ĐIỆN THOẠI &amp; TABLET ANDROIDĐỗ Văn Duân - 62025</v>
      </c>
      <c r="G8" s="118" cm="1">
        <f t="array" ref="G8">IFERROR(INDEX(KB!$I$38:$AJ$50,MATCH(XL_DT_TD!E8,KB!$I$38:$I$50,0),MATCH(XL_DT_TD!D8,KB!$J$37:$AJ$37,0)+1),0)</f>
        <v>33.884999999999998</v>
      </c>
      <c r="H8" s="118" cm="1">
        <f t="array" ref="H8">IFERROR(INDEX(DATA_TĐ!$B$1:$AZ$16,MATCH(XL_DT_TD!E8,DATA_TĐ!B:B,0),MATCH(XL_DT_TD!C8,DATA_TĐ!$1:$1,0)-1),0)</f>
        <v>26.06</v>
      </c>
      <c r="I8" s="118">
        <f ca="1">H8/DAY(NOW()-1)*'Hieu Qua NV'!$J$1</f>
        <v>130.29999999999998</v>
      </c>
      <c r="J8" s="118">
        <f t="shared" si="5"/>
        <v>7.8249999999999993</v>
      </c>
      <c r="K8" s="118">
        <f ca="1">J8/'Hieu Qua NV'!$J$2</f>
        <v>0.3402173913043478</v>
      </c>
      <c r="L8" s="119">
        <f t="shared" ca="1" si="6"/>
        <v>3.8453593035266338</v>
      </c>
      <c r="M8" s="118">
        <f ca="1">IFERROR(
INDEX(
KB!$I$55:$AJ$68,
MATCH(E8,KB!$I$55:$I$68,0),
MATCH(D8,KB!$I$55:$AJ$55,0)
),
0)</f>
        <v>8</v>
      </c>
      <c r="Q8" s="658"/>
      <c r="R8" s="659"/>
      <c r="S8" s="669" cm="1">
        <f t="array" aca="1" ref="S8" ca="1">_xlfn.IFS(
CONFIG!$B$8="W1",H8-N8,
CONFIG!$B$8="W2",H8-O8,
CONFIG!$B$8="W3",H8-P8,
CONFIG!$B$8="W4",H8-Q8,
CONFIG!$B$8="W5",H8-R8
)</f>
        <v>26.06</v>
      </c>
      <c r="T8" s="652">
        <f t="shared" ca="1" si="3"/>
        <v>3.2574999999999998</v>
      </c>
    </row>
    <row r="9" spans="3:20" ht="19" customHeight="1">
      <c r="C9" s="116" t="str">
        <f>INDEX(KB!C:D,MATCH(D9,KB!D:D,0),1)</f>
        <v>ĐIỆN THOẠI &amp; TABLET ANDROID</v>
      </c>
      <c r="D9" s="116" t="s">
        <v>52</v>
      </c>
      <c r="E9" s="321" t="s">
        <v>530</v>
      </c>
      <c r="F9" s="116" t="str">
        <f t="shared" si="1"/>
        <v>ĐIỆN THOẠI &amp; TABLET ANDROIDNhân viên Mới 1</v>
      </c>
      <c r="G9" s="118" cm="1">
        <f t="array" ref="G9">IFERROR(INDEX(KB!$I$38:$AJ$50,MATCH(XL_DT_TD!E9,KB!$I$38:$I$50,0),MATCH(XL_DT_TD!D9,KB!$J$37:$AJ$37,0)+1),0)</f>
        <v>0</v>
      </c>
      <c r="H9" s="118" cm="1">
        <f t="array" ref="H9">IFERROR(INDEX(DATA_TĐ!$B$1:$AZ$16,MATCH(XL_DT_TD!E9,DATA_TĐ!B:B,0),MATCH(XL_DT_TD!C9,DATA_TĐ!$1:$1,0)-1),0)</f>
        <v>0</v>
      </c>
      <c r="I9" s="118">
        <f ca="1">H9/DAY(NOW()-1)*'Hieu Qua NV'!$J$1</f>
        <v>0</v>
      </c>
      <c r="J9" s="118">
        <f t="shared" si="2"/>
        <v>0</v>
      </c>
      <c r="K9" s="118">
        <f ca="1">J9/'Hieu Qua NV'!$J$2</f>
        <v>0</v>
      </c>
      <c r="L9" s="119" t="e">
        <f t="shared" ca="1" si="0"/>
        <v>#DIV/0!</v>
      </c>
      <c r="M9" s="118">
        <f ca="1">IFERROR(
INDEX(
KB!$I$55:$AJ$68,
MATCH(E9,KB!$I$55:$I$68,0),
MATCH(D9,KB!$I$55:$AJ$55,0)
),
0)</f>
        <v>0</v>
      </c>
      <c r="Q9" s="658"/>
      <c r="R9" s="659"/>
      <c r="S9" s="669" cm="1">
        <f t="array" aca="1" ref="S9" ca="1">_xlfn.IFS(
CONFIG!$B$8="W1",H9-N9,
CONFIG!$B$8="W2",H9-O9,
CONFIG!$B$8="W3",H9-P9,
CONFIG!$B$8="W4",H9-Q9,
CONFIG!$B$8="W5",H9-R9
)</f>
        <v>0</v>
      </c>
      <c r="T9" s="652">
        <f t="shared" ca="1" si="3"/>
        <v>0</v>
      </c>
    </row>
    <row r="10" spans="3:20" ht="19" customHeight="1">
      <c r="C10" s="116" t="str">
        <f>INDEX(KB!C:D,MATCH(D10,KB!D:D,0),1)</f>
        <v>ĐIỆN THOẠI &amp; TABLET ANDROID</v>
      </c>
      <c r="D10" s="116" t="s">
        <v>52</v>
      </c>
      <c r="E10" s="321" t="s">
        <v>560</v>
      </c>
      <c r="F10" s="116" t="str">
        <f t="shared" si="1"/>
        <v>ĐIỆN THOẠI &amp; TABLET ANDROIDNhân viên Mới 2</v>
      </c>
      <c r="G10" s="118" cm="1">
        <f t="array" ref="G10">IFERROR(INDEX(KB!$I$38:$AJ$50,MATCH(XL_DT_TD!E10,KB!$I$38:$I$50,0),MATCH(XL_DT_TD!D10,KB!$J$37:$AJ$37,0)+1),0)</f>
        <v>0</v>
      </c>
      <c r="H10" s="118" cm="1">
        <f t="array" ref="H10">IFERROR(INDEX(DATA_TĐ!$B$1:$AZ$16,MATCH(XL_DT_TD!E10,DATA_TĐ!B:B,0),MATCH(XL_DT_TD!C10,DATA_TĐ!$1:$1,0)-1),0)</f>
        <v>0</v>
      </c>
      <c r="I10" s="118">
        <f ca="1">H10/DAY(NOW()-1)*'Hieu Qua NV'!$J$1</f>
        <v>0</v>
      </c>
      <c r="J10" s="118">
        <f t="shared" si="2"/>
        <v>0</v>
      </c>
      <c r="K10" s="118">
        <f ca="1">J10/'Hieu Qua NV'!$J$2</f>
        <v>0</v>
      </c>
      <c r="L10" s="119" t="e">
        <f t="shared" ca="1" si="0"/>
        <v>#DIV/0!</v>
      </c>
      <c r="M10" s="118">
        <f ca="1">IFERROR(
INDEX(
KB!$I$55:$AJ$68,
MATCH(E10,KB!$I$55:$I$68,0),
MATCH(D10,KB!$I$55:$AJ$55,0)
),
0)</f>
        <v>0</v>
      </c>
      <c r="Q10" s="658"/>
      <c r="R10" s="659"/>
      <c r="S10" s="669" cm="1">
        <f t="array" aca="1" ref="S10" ca="1">_xlfn.IFS(
CONFIG!$B$8="W1",H10-N10,
CONFIG!$B$8="W2",H10-O10,
CONFIG!$B$8="W3",H10-P10,
CONFIG!$B$8="W4",H10-Q10,
CONFIG!$B$8="W5",H10-R10
)</f>
        <v>0</v>
      </c>
      <c r="T10" s="652">
        <f t="shared" ca="1" si="3"/>
        <v>0</v>
      </c>
    </row>
    <row r="11" spans="3:20" ht="19" customHeight="1">
      <c r="C11" s="116" t="str">
        <f>INDEX(KB!C:D,MATCH(D11,KB!D:D,0),1)</f>
        <v>ĐIỆN THOẠI &amp; TABLET ANDROID</v>
      </c>
      <c r="D11" s="116" t="s">
        <v>52</v>
      </c>
      <c r="E11" s="117" t="s">
        <v>281</v>
      </c>
      <c r="F11" s="116" t="str">
        <f t="shared" si="1"/>
        <v>ĐIỆN THOẠI &amp; TABLET ANDROIDTrần Thị Nhung - 11082</v>
      </c>
      <c r="G11" s="118" cm="1">
        <f t="array" ref="G11">IFERROR(INDEX(KB!$I$38:$AJ$50,MATCH(XL_DT_TD!E11,KB!$I$38:$I$50,0),MATCH(XL_DT_TD!D11,KB!$J$37:$AJ$37,0)+1),0)</f>
        <v>508.40999999999991</v>
      </c>
      <c r="H11" s="118" cm="1">
        <f t="array" ref="H11">IFERROR(
  INDEX(DATA_TĐ!$B$36:$Z$47,
    MATCH(TRUE, INDEX(TRIM(DATA_TĐ!$B$36:$B$45)=TRIM(E11),0),0),
    MATCH(TRUE, INDEX(TRIM(DATA_TĐ!$B$36:$Z$36)=TRIM(C11),0),0)
  ),
0)</f>
        <v>0</v>
      </c>
      <c r="I11" s="118">
        <f ca="1">H11/DAY(NOW()-1)*'Hieu Qua NV'!$J$1</f>
        <v>0</v>
      </c>
      <c r="J11" s="118">
        <f t="shared" si="2"/>
        <v>508.40999999999991</v>
      </c>
      <c r="K11" s="118">
        <f ca="1">J11/'Hieu Qua NV'!$J$2</f>
        <v>22.104782608695647</v>
      </c>
      <c r="L11" s="119">
        <f t="shared" ca="1" si="0"/>
        <v>0</v>
      </c>
      <c r="M11" s="118">
        <f ca="1">IFERROR(
INDEX(
KB!$I$55:$AJ$68,
MATCH(E11,KB!$I$55:$I$68,0),
MATCH(D11,KB!$I$55:$AJ$55,0)
),
0)</f>
        <v>127</v>
      </c>
      <c r="Q11" s="658"/>
      <c r="R11" s="659"/>
      <c r="S11" s="669" cm="1">
        <f t="array" aca="1" ref="S11" ca="1">_xlfn.IFS(
CONFIG!$B$8="W1",H11-N11,
CONFIG!$B$8="W2",H11-O11,
CONFIG!$B$8="W3",H11-P11,
CONFIG!$B$8="W4",H11-Q11,
CONFIG!$B$8="W5",H11-R11
)</f>
        <v>0</v>
      </c>
      <c r="T11" s="652">
        <f t="shared" ca="1" si="3"/>
        <v>0</v>
      </c>
    </row>
    <row r="12" spans="3:20" ht="19" customHeight="1">
      <c r="C12" s="116" t="str">
        <f>INDEX(KB!C:D,MATCH(D12,KB!D:D,0),1)</f>
        <v>ĐIỆN THOẠI &amp; TABLET ANDROID</v>
      </c>
      <c r="D12" s="116" t="s">
        <v>52</v>
      </c>
      <c r="E12" s="117" t="s">
        <v>282</v>
      </c>
      <c r="F12" s="116" t="str">
        <f t="shared" si="1"/>
        <v>ĐIỆN THOẠI &amp; TABLET ANDROIDNguyễn Thị Phương Oanh - 164808</v>
      </c>
      <c r="G12" s="118" cm="1">
        <f t="array" ref="G12">IFERROR(INDEX(KB!$I$38:$AJ$50,MATCH(XL_DT_TD!E12,KB!$I$38:$I$50,0),MATCH(XL_DT_TD!D12,KB!$J$37:$AJ$37,0)+1),0)</f>
        <v>508.40999999999991</v>
      </c>
      <c r="H12" s="118" cm="1">
        <f t="array" ref="H12">IFERROR(
  INDEX(DATA_TĐ!$B$36:$Z$47,
    MATCH(TRUE, INDEX(TRIM(DATA_TĐ!$B$36:$B$45)=TRIM(E12),0),0),
    MATCH(TRUE, INDEX(TRIM(DATA_TĐ!$B$36:$Z$36)=TRIM(C12),0),0)
  ),
0)</f>
        <v>42.49</v>
      </c>
      <c r="I12" s="118">
        <f ca="1">H12/DAY(NOW()-1)*'Hieu Qua NV'!$J$1</f>
        <v>212.45000000000002</v>
      </c>
      <c r="J12" s="118">
        <f t="shared" si="2"/>
        <v>465.9199999999999</v>
      </c>
      <c r="K12" s="118">
        <f ca="1">J12/'Hieu Qua NV'!$J$2</f>
        <v>20.257391304347824</v>
      </c>
      <c r="L12" s="119">
        <f t="shared" ca="1" si="0"/>
        <v>0.41787140300151465</v>
      </c>
      <c r="M12" s="118">
        <f ca="1">IFERROR(
INDEX(
KB!$I$55:$AJ$68,
MATCH(E12,KB!$I$55:$I$68,0),
MATCH(D12,KB!$I$55:$AJ$55,0)
),
0)</f>
        <v>127</v>
      </c>
      <c r="Q12" s="658"/>
      <c r="R12" s="659"/>
      <c r="S12" s="669" cm="1">
        <f t="array" aca="1" ref="S12" ca="1">_xlfn.IFS(
CONFIG!$B$8="W1",H12-N12,
CONFIG!$B$8="W2",H12-O12,
CONFIG!$B$8="W3",H12-P12,
CONFIG!$B$8="W4",H12-Q12,
CONFIG!$B$8="W5",H12-R12
)</f>
        <v>42.49</v>
      </c>
      <c r="T12" s="652">
        <f t="shared" ca="1" si="3"/>
        <v>0.33456692913385827</v>
      </c>
    </row>
    <row r="13" spans="3:20" ht="19" customHeight="1">
      <c r="C13" s="116" t="str">
        <f>INDEX(KB!C:D,MATCH(D13,KB!D:D,0),1)</f>
        <v>ĐIỆN THOẠI &amp; TABLET ANDROID</v>
      </c>
      <c r="D13" s="116" t="s">
        <v>52</v>
      </c>
      <c r="E13" s="117" t="s">
        <v>283</v>
      </c>
      <c r="F13" s="116" t="str">
        <f t="shared" si="1"/>
        <v>ĐIỆN THOẠI &amp; TABLET ANDROIDNguyễn Anh Tài - 269055</v>
      </c>
      <c r="G13" s="118" cm="1">
        <f t="array" ref="G13">IFERROR(INDEX(KB!$I$38:$AJ$50,MATCH(XL_DT_TD!E13,KB!$I$38:$I$50,0),MATCH(XL_DT_TD!D13,KB!$J$37:$AJ$37,0)+1),0)</f>
        <v>435.78</v>
      </c>
      <c r="H13" s="118" cm="1">
        <f t="array" ref="H13">IFERROR(
  INDEX(DATA_TĐ!$B$36:$Z$47,
    MATCH(TRUE, INDEX(TRIM(DATA_TĐ!$B$36:$B$45)=TRIM(E13),0),0),
    MATCH(TRUE, INDEX(TRIM(DATA_TĐ!$B$36:$Z$36)=TRIM(C13),0),0)
  ),
0)</f>
        <v>8.1999999999999993</v>
      </c>
      <c r="I13" s="118">
        <f ca="1">H13/DAY(NOW()-1)*'Hieu Qua NV'!$J$1</f>
        <v>40.999999999999993</v>
      </c>
      <c r="J13" s="118">
        <f t="shared" si="2"/>
        <v>427.58</v>
      </c>
      <c r="K13" s="118">
        <f ca="1">J13/'Hieu Qua NV'!$J$2</f>
        <v>18.590434782608696</v>
      </c>
      <c r="L13" s="119">
        <f t="shared" ca="1" si="0"/>
        <v>9.4084170911928028E-2</v>
      </c>
      <c r="M13" s="118">
        <f ca="1">IFERROR(
INDEX(
KB!$I$55:$AJ$68,
MATCH(E13,KB!$I$55:$I$68,0),
MATCH(D13,KB!$I$55:$AJ$55,0)
),
0)</f>
        <v>109</v>
      </c>
      <c r="Q13" s="658"/>
      <c r="R13" s="659"/>
      <c r="S13" s="669" cm="1">
        <f t="array" aca="1" ref="S13" ca="1">_xlfn.IFS(
CONFIG!$B$8="W1",H13-N13,
CONFIG!$B$8="W2",H13-O13,
CONFIG!$B$8="W3",H13-P13,
CONFIG!$B$8="W4",H13-Q13,
CONFIG!$B$8="W5",H13-R13
)</f>
        <v>8.1999999999999993</v>
      </c>
      <c r="T13" s="652">
        <f t="shared" ca="1" si="3"/>
        <v>7.5229357798165128E-2</v>
      </c>
    </row>
    <row r="14" spans="3:20" ht="19" customHeight="1">
      <c r="C14" s="116" t="str">
        <f>INDEX(KB!C:D,MATCH(D14,KB!D:D,0),1)</f>
        <v>ĐIỆN THOẠI &amp; TABLET ANDROID</v>
      </c>
      <c r="D14" s="116" t="s">
        <v>52</v>
      </c>
      <c r="E14" s="117" t="s">
        <v>284</v>
      </c>
      <c r="F14" s="116" t="str">
        <f t="shared" si="1"/>
        <v>ĐIỆN THOẠI &amp; TABLET ANDROIDLê Văn Hợp - 279884</v>
      </c>
      <c r="G14" s="118" cm="1">
        <f t="array" ref="G14">IFERROR(INDEX(KB!$I$38:$AJ$50,MATCH(XL_DT_TD!E14,KB!$I$38:$I$50,0),MATCH(XL_DT_TD!D14,KB!$J$37:$AJ$37,0)+1),0)</f>
        <v>363.15</v>
      </c>
      <c r="H14" s="118" cm="1">
        <f t="array" ref="H14">IFERROR(
  INDEX(DATA_TĐ!$B$36:$Z$47,
    MATCH(TRUE, INDEX(TRIM(DATA_TĐ!$B$36:$B$45)=TRIM(E14),0),0),
    MATCH(TRUE, INDEX(TRIM(DATA_TĐ!$B$36:$Z$36)=TRIM(C14),0),0)
  ),
0)</f>
        <v>52</v>
      </c>
      <c r="I14" s="118">
        <f ca="1">H14/DAY(NOW()-1)*'Hieu Qua NV'!$J$1</f>
        <v>260</v>
      </c>
      <c r="J14" s="118">
        <f t="shared" si="2"/>
        <v>311.14999999999998</v>
      </c>
      <c r="K14" s="118">
        <f ca="1">J14/'Hieu Qua NV'!$J$2</f>
        <v>13.528260869565216</v>
      </c>
      <c r="L14" s="119">
        <f t="shared" ca="1" si="0"/>
        <v>0.71595759328101338</v>
      </c>
      <c r="M14" s="118">
        <f ca="1">IFERROR(
INDEX(
KB!$I$55:$AJ$68,
MATCH(E14,KB!$I$55:$I$68,0),
MATCH(D14,KB!$I$55:$AJ$55,0)
),
0)</f>
        <v>91</v>
      </c>
      <c r="Q14" s="658"/>
      <c r="R14" s="659"/>
      <c r="S14" s="669" cm="1">
        <f t="array" aca="1" ref="S14" ca="1">_xlfn.IFS(
CONFIG!$B$8="W1",H14-N14,
CONFIG!$B$8="W2",H14-O14,
CONFIG!$B$8="W3",H14-P14,
CONFIG!$B$8="W4",H14-Q14,
CONFIG!$B$8="W5",H14-R14
)</f>
        <v>52</v>
      </c>
      <c r="T14" s="652">
        <f t="shared" ca="1" si="3"/>
        <v>0.5714285714285714</v>
      </c>
    </row>
    <row r="15" spans="3:20" ht="19" customHeight="1">
      <c r="C15" s="120" t="str">
        <f>INDEX(KB!C:D,MATCH(D15,KB!D:D,0),1)</f>
        <v>ĐIỆN THOẠI &amp; TABLET ANDROID</v>
      </c>
      <c r="D15" s="120" t="s">
        <v>52</v>
      </c>
      <c r="E15" s="120" t="s">
        <v>20</v>
      </c>
      <c r="F15" s="121" t="str">
        <f t="shared" si="1"/>
        <v>ĐIỆN THOẠI &amp; TABLET ANDROIDTổng</v>
      </c>
      <c r="G15" s="122">
        <f>SUM(G2:G13)</f>
        <v>1725.9389999999999</v>
      </c>
      <c r="H15" s="122">
        <f>SUM(H2:H13)</f>
        <v>99.99</v>
      </c>
      <c r="I15" s="122">
        <f ca="1">SUM(I2:I13)</f>
        <v>499.95000000000005</v>
      </c>
      <c r="J15" s="122">
        <f t="shared" si="2"/>
        <v>1625.9489999999998</v>
      </c>
      <c r="K15" s="122">
        <f ca="1">J15/'Hieu Qua NV'!$J$2</f>
        <v>70.693434782608691</v>
      </c>
      <c r="L15" s="119">
        <f t="shared" ca="1" si="0"/>
        <v>0.28966840658910892</v>
      </c>
      <c r="M15" s="122">
        <f ca="1">SUM(M2:M13)</f>
        <v>429</v>
      </c>
      <c r="N15" s="660"/>
      <c r="P15" s="661"/>
      <c r="S15" s="669" cm="1">
        <f t="array" aca="1" ref="S15" ca="1">_xlfn.IFS(
CONFIG!$B$8="W1",H15-N15,
CONFIG!$B$8="W2",H15-O15,
CONFIG!$B$8="W3",H15-P15,
CONFIG!$B$8="W4",H15-Q15,
CONFIG!$B$8="W5",H15-R15
)</f>
        <v>99.99</v>
      </c>
      <c r="T15" s="652">
        <f t="shared" ca="1" si="3"/>
        <v>0.23307692307692307</v>
      </c>
    </row>
    <row r="16" spans="3:20" ht="19" customHeight="1">
      <c r="C16" s="116" t="str">
        <f>INDEX(KB!C:D,MATCH(D16,KB!D:D,0),1)</f>
        <v>PHỤ KIỆN - ĐỒNG HỒ</v>
      </c>
      <c r="D16" s="116" t="s">
        <v>33</v>
      </c>
      <c r="E16" s="321" t="s">
        <v>57</v>
      </c>
      <c r="F16" s="116" t="str">
        <f t="shared" si="1"/>
        <v>PHỤ KIỆN - ĐỒNG HỒNguyễn Thị Ngọc - 54026</v>
      </c>
      <c r="G16" s="118" cm="1">
        <f t="array" ref="G16">IFERROR(INDEX(KB!$I$38:$AJ$50,MATCH(XL_DT_TD!E16,KB!$I$38:$I$50,0),MATCH(XL_DT_TD!D16,KB!$J$37:$AJ$37,0)+1),0)</f>
        <v>45.594000000000001</v>
      </c>
      <c r="H16" s="118" cm="1">
        <f t="array" ref="H16">IFERROR(INDEX(DATA_TĐ!$B$1:$AZ$19,MATCH(XL_DT_TD!E16,DATA_TĐ!B:B,0),MATCH(XL_DT_TD!C16,DATA_TĐ!$1:$1,0)-1),0)</f>
        <v>3.21</v>
      </c>
      <c r="I16" s="118">
        <f ca="1">H16/DAY(NOW()-1)*'Hieu Qua NV'!$J$1</f>
        <v>16.05</v>
      </c>
      <c r="J16" s="118">
        <f t="shared" si="2"/>
        <v>42.384</v>
      </c>
      <c r="K16" s="118">
        <f ca="1">J16/'Hieu Qua NV'!$J$2</f>
        <v>1.8427826086956522</v>
      </c>
      <c r="L16" s="119">
        <f t="shared" ref="L16:L79" ca="1" si="7">I16/G16</f>
        <v>0.35202000263192523</v>
      </c>
      <c r="M16" s="118">
        <f ca="1">IFERROR(
INDEX(
KB!$I$55:$AJ$68,
MATCH(E16,KB!$I$55:$I$68,0),
MATCH(D16,KB!$I$55:$AJ$55,0)
),
0)</f>
        <v>11</v>
      </c>
      <c r="N16" s="660"/>
      <c r="P16" s="661"/>
      <c r="S16" s="669" cm="1">
        <f t="array" aca="1" ref="S16" ca="1">_xlfn.IFS(
CONFIG!$B$8="W1",H16-N16,
CONFIG!$B$8="W2",H16-O16,
CONFIG!$B$8="W3",H16-P16,
CONFIG!$B$8="W4",H16-Q16,
CONFIG!$B$8="W5",H16-R16
)</f>
        <v>3.21</v>
      </c>
      <c r="T16" s="652">
        <f t="shared" ca="1" si="3"/>
        <v>0.29181818181818181</v>
      </c>
    </row>
    <row r="17" spans="3:20" ht="19" customHeight="1">
      <c r="C17" s="116" t="str">
        <f>INDEX(KB!C:D,MATCH(D17,KB!D:D,0),1)</f>
        <v>PHỤ KIỆN - ĐỒNG HỒ</v>
      </c>
      <c r="D17" s="116" t="s">
        <v>33</v>
      </c>
      <c r="E17" s="321" t="s">
        <v>60</v>
      </c>
      <c r="F17" s="116" t="str">
        <f t="shared" ref="F17:F80" si="8">C17&amp;E17</f>
        <v>PHỤ KIỆN - ĐỒNG HỒNguyễn Viết Sơn - 94065</v>
      </c>
      <c r="G17" s="118" cm="1">
        <f t="array" ref="G17">IFERROR(INDEX(KB!$I$38:$AJ$50,MATCH(XL_DT_TD!E17,KB!$I$38:$I$50,0),MATCH(XL_DT_TD!D17,KB!$J$37:$AJ$37,0)+1),0)</f>
        <v>55.726000000000006</v>
      </c>
      <c r="H17" s="118" cm="1">
        <f t="array" ref="H17">IFERROR(INDEX(DATA_TĐ!$B$1:$AZ$19,MATCH(XL_DT_TD!E17,DATA_TĐ!B:B,0),MATCH(XL_DT_TD!C17,DATA_TĐ!$1:$1,0)-1),0)</f>
        <v>0</v>
      </c>
      <c r="I17" s="118">
        <f ca="1">H17/DAY(NOW()-1)*'Hieu Qua NV'!$J$1</f>
        <v>0</v>
      </c>
      <c r="J17" s="118">
        <f t="shared" ref="J17:J80" si="9">G17-H17</f>
        <v>55.726000000000006</v>
      </c>
      <c r="K17" s="118">
        <f ca="1">J17/'Hieu Qua NV'!$J$2</f>
        <v>2.4228695652173915</v>
      </c>
      <c r="L17" s="119">
        <f t="shared" ca="1" si="7"/>
        <v>0</v>
      </c>
      <c r="M17" s="118">
        <f ca="1">IFERROR(
INDEX(
KB!$I$55:$AJ$68,
MATCH(E17,KB!$I$55:$I$68,0),
MATCH(D17,KB!$I$55:$AJ$55,0)
),
0)</f>
        <v>14</v>
      </c>
      <c r="N17" s="660"/>
      <c r="P17" s="661"/>
      <c r="S17" s="669" cm="1">
        <f t="array" aca="1" ref="S17" ca="1">_xlfn.IFS(
CONFIG!$B$8="W1",H17-N17,
CONFIG!$B$8="W2",H17-O17,
CONFIG!$B$8="W3",H17-P17,
CONFIG!$B$8="W4",H17-Q17,
CONFIG!$B$8="W5",H17-R17
)</f>
        <v>0</v>
      </c>
      <c r="T17" s="652">
        <f t="shared" ca="1" si="3"/>
        <v>0</v>
      </c>
    </row>
    <row r="18" spans="3:20" ht="19" customHeight="1">
      <c r="C18" s="116" t="str">
        <f>INDEX(KB!C:D,MATCH(D18,KB!D:D,0),1)</f>
        <v>PHỤ KIỆN - ĐỒNG HỒ</v>
      </c>
      <c r="D18" s="116" t="s">
        <v>33</v>
      </c>
      <c r="E18" s="321" t="s">
        <v>15</v>
      </c>
      <c r="F18" s="116" t="str">
        <f t="shared" si="8"/>
        <v>PHỤ KIỆN - ĐỒNG HỒNguyễn Trang Nhung - 25734</v>
      </c>
      <c r="G18" s="118" cm="1">
        <f t="array" ref="G18">IFERROR(INDEX(KB!$I$38:$AJ$50,MATCH(XL_DT_TD!E18,KB!$I$38:$I$50,0),MATCH(XL_DT_TD!D18,KB!$J$37:$AJ$37,0)+1),0)</f>
        <v>45.594000000000001</v>
      </c>
      <c r="H18" s="118" cm="1">
        <f t="array" ref="H18">IFERROR(INDEX(DATA_TĐ!$B$1:$AZ$19,MATCH(XL_DT_TD!E18,DATA_TĐ!B:B,0),MATCH(XL_DT_TD!C18,DATA_TĐ!$1:$1,0)-1),0)</f>
        <v>17</v>
      </c>
      <c r="I18" s="118">
        <f ca="1">H18/DAY(NOW()-1)*'Hieu Qua NV'!$J$1</f>
        <v>85</v>
      </c>
      <c r="J18" s="118">
        <f t="shared" si="9"/>
        <v>28.594000000000001</v>
      </c>
      <c r="K18" s="118">
        <f ca="1">J18/'Hieu Qua NV'!$J$2</f>
        <v>1.2432173913043478</v>
      </c>
      <c r="L18" s="119">
        <f t="shared" ca="1" si="7"/>
        <v>1.8642803877703207</v>
      </c>
      <c r="M18" s="118">
        <f ca="1">IFERROR(
INDEX(
KB!$I$55:$AJ$68,
MATCH(E18,KB!$I$55:$I$68,0),
MATCH(D18,KB!$I$55:$AJ$55,0)
),
0)</f>
        <v>11</v>
      </c>
      <c r="N18" s="660"/>
      <c r="P18" s="661"/>
      <c r="S18" s="669" cm="1">
        <f t="array" aca="1" ref="S18" ca="1">_xlfn.IFS(
CONFIG!$B$8="W1",H18-N18,
CONFIG!$B$8="W2",H18-O18,
CONFIG!$B$8="W3",H18-P18,
CONFIG!$B$8="W4",H18-Q18,
CONFIG!$B$8="W5",H18-R18
)</f>
        <v>17</v>
      </c>
      <c r="T18" s="652">
        <f t="shared" ca="1" si="3"/>
        <v>1.5454545454545454</v>
      </c>
    </row>
    <row r="19" spans="3:20" ht="19" customHeight="1">
      <c r="C19" s="116" t="str">
        <f>INDEX(KB!C:D,MATCH(D19,KB!D:D,0),1)</f>
        <v>PHỤ KIỆN - ĐỒNG HỒ</v>
      </c>
      <c r="D19" s="116" t="s">
        <v>33</v>
      </c>
      <c r="E19" s="321" t="s">
        <v>151</v>
      </c>
      <c r="F19" s="116" t="str">
        <f t="shared" si="8"/>
        <v>PHỤ KIỆN - ĐỒNG HỒTrần Huy Hoàn - 270828</v>
      </c>
      <c r="G19" s="118" cm="1">
        <f t="array" ref="G19">IFERROR(INDEX(KB!$I$38:$AJ$50,MATCH(XL_DT_TD!E19,KB!$I$38:$I$50,0),MATCH(XL_DT_TD!D19,KB!$J$37:$AJ$37,0)+1),0)</f>
        <v>55.726000000000006</v>
      </c>
      <c r="H19" s="118" cm="1">
        <f t="array" ref="H19">IFERROR(INDEX(DATA_TĐ!$B$1:$AZ$19,MATCH(XL_DT_TD!E19,DATA_TĐ!B:B,0),MATCH(XL_DT_TD!C19,DATA_TĐ!$1:$1,0)-1),0)</f>
        <v>1.76</v>
      </c>
      <c r="I19" s="118">
        <f ca="1">H19/DAY(NOW()-1)*'Hieu Qua NV'!$J$1</f>
        <v>8.8000000000000007</v>
      </c>
      <c r="J19" s="118">
        <f t="shared" si="9"/>
        <v>53.966000000000008</v>
      </c>
      <c r="K19" s="118">
        <f ca="1">J19/'Hieu Qua NV'!$J$2</f>
        <v>2.3463478260869568</v>
      </c>
      <c r="L19" s="119">
        <f t="shared" ca="1" si="7"/>
        <v>0.15791551519936833</v>
      </c>
      <c r="M19" s="118">
        <f ca="1">IFERROR(
INDEX(
KB!$I$55:$AJ$68,
MATCH(E19,KB!$I$55:$I$68,0),
MATCH(D19,KB!$I$55:$AJ$55,0)
),
0)</f>
        <v>14</v>
      </c>
      <c r="N19" s="660"/>
      <c r="P19" s="661"/>
      <c r="S19" s="669" cm="1">
        <f t="array" aca="1" ref="S19" ca="1">_xlfn.IFS(
CONFIG!$B$8="W1",H19-N19,
CONFIG!$B$8="W2",H19-O19,
CONFIG!$B$8="W3",H19-P19,
CONFIG!$B$8="W4",H19-Q19,
CONFIG!$B$8="W5",H19-R19
)</f>
        <v>1.76</v>
      </c>
      <c r="T19" s="652">
        <f t="shared" ca="1" si="3"/>
        <v>0.12571428571428572</v>
      </c>
    </row>
    <row r="20" spans="3:20" ht="19" customHeight="1">
      <c r="C20" s="116" t="str">
        <f>INDEX(KB!C:D,MATCH(D20,KB!D:D,0),1)</f>
        <v>PHỤ KIỆN - ĐỒNG HỒ</v>
      </c>
      <c r="D20" s="116" t="s">
        <v>33</v>
      </c>
      <c r="E20" s="321" t="s">
        <v>293</v>
      </c>
      <c r="F20" s="116" t="str">
        <f t="shared" si="8"/>
        <v>PHỤ KIỆN - ĐỒNG HỒPhạm Văn Thanh - 279935</v>
      </c>
      <c r="G20" s="118" cm="1">
        <f t="array" ref="G20">IFERROR(INDEX(KB!$I$38:$AJ$50,MATCH(XL_DT_TD!E20,KB!$I$38:$I$50,0),MATCH(XL_DT_TD!D20,KB!$J$37:$AJ$37,0)+1),0)</f>
        <v>45.594000000000001</v>
      </c>
      <c r="H20" s="118" cm="1">
        <f t="array" ref="H20">IFERROR(INDEX(DATA_TĐ!$B$1:$AZ$19,MATCH(XL_DT_TD!E20,DATA_TĐ!B:B,0),MATCH(XL_DT_TD!C20,DATA_TĐ!$1:$1,0)-1),0)</f>
        <v>0.67</v>
      </c>
      <c r="I20" s="118">
        <f ca="1">H20/DAY(NOW()-1)*'Hieu Qua NV'!$J$1</f>
        <v>3.3500000000000005</v>
      </c>
      <c r="J20" s="118">
        <f t="shared" si="9"/>
        <v>44.923999999999999</v>
      </c>
      <c r="K20" s="118">
        <f ca="1">J20/'Hieu Qua NV'!$J$2</f>
        <v>1.9532173913043478</v>
      </c>
      <c r="L20" s="119">
        <f t="shared" ca="1" si="7"/>
        <v>7.3474579988594996E-2</v>
      </c>
      <c r="M20" s="118">
        <f ca="1">IFERROR(
INDEX(
KB!$I$55:$AJ$68,
MATCH(E20,KB!$I$55:$I$68,0),
MATCH(D20,KB!$I$55:$AJ$55,0)
),
0)</f>
        <v>11</v>
      </c>
      <c r="N20" s="660"/>
      <c r="P20" s="661"/>
      <c r="S20" s="669" cm="1">
        <f t="array" aca="1" ref="S20" ca="1">_xlfn.IFS(
CONFIG!$B$8="W1",H20-N20,
CONFIG!$B$8="W2",H20-O20,
CONFIG!$B$8="W3",H20-P20,
CONFIG!$B$8="W4",H20-Q20,
CONFIG!$B$8="W5",H20-R20
)</f>
        <v>0.67</v>
      </c>
      <c r="T20" s="652">
        <f t="shared" ca="1" si="3"/>
        <v>6.0909090909090913E-2</v>
      </c>
    </row>
    <row r="21" spans="3:20" ht="19" customHeight="1">
      <c r="C21" s="116" t="str">
        <f>INDEX(KB!C:D,MATCH(D21,KB!D:D,0),1)</f>
        <v>PHỤ KIỆN - ĐỒNG HỒ</v>
      </c>
      <c r="D21" s="116" t="s">
        <v>33</v>
      </c>
      <c r="E21" s="321" t="s">
        <v>433</v>
      </c>
      <c r="F21" s="116" t="str">
        <f t="shared" si="8"/>
        <v>PHỤ KIỆN - ĐỒNG HỒNguyễn Thành Đạt - 280855</v>
      </c>
      <c r="G21" s="118" cm="1">
        <f t="array" ref="G21">IFERROR(INDEX(KB!$I$38:$AJ$50,MATCH(XL_DT_TD!E21,KB!$I$38:$I$50,0),MATCH(XL_DT_TD!D21,KB!$J$37:$AJ$37,0)+1),0)</f>
        <v>45.594000000000001</v>
      </c>
      <c r="H21" s="118" cm="1">
        <f t="array" ref="H21">IFERROR(INDEX(DATA_TĐ!$B$1:$AZ$19,MATCH(XL_DT_TD!E21,DATA_TĐ!B:B,0),MATCH(XL_DT_TD!C21,DATA_TĐ!$1:$1,0)-1),0)</f>
        <v>1.44</v>
      </c>
      <c r="I21" s="118">
        <f ca="1">H21/DAY(NOW()-1)*'Hieu Qua NV'!$J$1</f>
        <v>7.1999999999999993</v>
      </c>
      <c r="J21" s="118">
        <f t="shared" si="9"/>
        <v>44.154000000000003</v>
      </c>
      <c r="K21" s="118">
        <f ca="1">J21/'Hieu Qua NV'!$J$2</f>
        <v>1.9197391304347828</v>
      </c>
      <c r="L21" s="119">
        <f t="shared" ca="1" si="7"/>
        <v>0.15791551519936831</v>
      </c>
      <c r="M21" s="118">
        <f ca="1">IFERROR(
INDEX(
KB!$I$55:$AJ$68,
MATCH(E21,KB!$I$55:$I$68,0),
MATCH(D21,KB!$I$55:$AJ$55,0)
),
0)</f>
        <v>11</v>
      </c>
      <c r="N21" s="660"/>
      <c r="P21" s="661"/>
      <c r="S21" s="669" cm="1">
        <f t="array" aca="1" ref="S21" ca="1">_xlfn.IFS(
CONFIG!$B$8="W1",H21-N21,
CONFIG!$B$8="W2",H21-O21,
CONFIG!$B$8="W3",H21-P21,
CONFIG!$B$8="W4",H21-Q21,
CONFIG!$B$8="W5",H21-R21
)</f>
        <v>1.44</v>
      </c>
      <c r="T21" s="652">
        <f t="shared" ca="1" si="3"/>
        <v>0.13090909090909089</v>
      </c>
    </row>
    <row r="22" spans="3:20" ht="19" customHeight="1">
      <c r="C22" s="116" t="str">
        <f>INDEX(KB!C:D,MATCH(D22,KB!D:D,0),1)</f>
        <v>PHỤ KIỆN - ĐỒNG HỒ</v>
      </c>
      <c r="D22" s="116" t="s">
        <v>33</v>
      </c>
      <c r="E22" s="321" t="s">
        <v>56</v>
      </c>
      <c r="F22" s="116" t="str">
        <f t="shared" si="8"/>
        <v>PHỤ KIỆN - ĐỒNG HỒĐỗ Văn Duân - 62025</v>
      </c>
      <c r="G22" s="118" cm="1">
        <f t="array" ref="G22">IFERROR(INDEX(KB!$I$38:$AJ$50,MATCH(XL_DT_TD!E22,KB!$I$38:$I$50,0),MATCH(XL_DT_TD!D22,KB!$J$37:$AJ$37,0)+1),0)</f>
        <v>45.594000000000001</v>
      </c>
      <c r="H22" s="118" cm="1">
        <f t="array" ref="H22">IFERROR(INDEX(DATA_TĐ!$B$1:$AZ$19,MATCH(XL_DT_TD!E22,DATA_TĐ!B:B,0),MATCH(XL_DT_TD!C22,DATA_TĐ!$1:$1,0)-1),0)</f>
        <v>2.96</v>
      </c>
      <c r="I22" s="118">
        <f ca="1">H22/DAY(NOW()-1)*'Hieu Qua NV'!$J$1</f>
        <v>14.8</v>
      </c>
      <c r="J22" s="118">
        <f t="shared" si="9"/>
        <v>42.634</v>
      </c>
      <c r="K22" s="118">
        <f ca="1">J22/'Hieu Qua NV'!$J$2</f>
        <v>1.8536521739130436</v>
      </c>
      <c r="L22" s="119">
        <f t="shared" ca="1" si="7"/>
        <v>0.32460411457647936</v>
      </c>
      <c r="M22" s="118">
        <f ca="1">IFERROR(
INDEX(
KB!$I$55:$AJ$68,
MATCH(E22,KB!$I$55:$I$68,0),
MATCH(D22,KB!$I$55:$AJ$55,0)
),
0)</f>
        <v>11</v>
      </c>
      <c r="N22" s="660"/>
      <c r="P22" s="661"/>
      <c r="S22" s="669" cm="1">
        <f t="array" aca="1" ref="S22" ca="1">_xlfn.IFS(
CONFIG!$B$8="W1",H22-N22,
CONFIG!$B$8="W2",H22-O22,
CONFIG!$B$8="W3",H22-P22,
CONFIG!$B$8="W4",H22-Q22,
CONFIG!$B$8="W5",H22-R22
)</f>
        <v>2.96</v>
      </c>
      <c r="T22" s="652">
        <f t="shared" ca="1" si="3"/>
        <v>0.2690909090909091</v>
      </c>
    </row>
    <row r="23" spans="3:20" ht="19" customHeight="1">
      <c r="C23" s="116" t="str">
        <f>INDEX(KB!C:D,MATCH(D23,KB!D:D,0),1)</f>
        <v>PHỤ KIỆN - ĐỒNG HỒ</v>
      </c>
      <c r="D23" s="116" t="s">
        <v>33</v>
      </c>
      <c r="E23" s="321" t="s">
        <v>530</v>
      </c>
      <c r="F23" s="116" t="str">
        <f t="shared" si="8"/>
        <v>PHỤ KIỆN - ĐỒNG HỒNhân viên Mới 1</v>
      </c>
      <c r="G23" s="118" cm="1">
        <f t="array" ref="G23">IFERROR(INDEX(KB!$I$38:$AJ$50,MATCH(XL_DT_TD!E23,KB!$I$38:$I$50,0),MATCH(XL_DT_TD!D23,KB!$J$37:$AJ$37,0)+1),0)</f>
        <v>0</v>
      </c>
      <c r="H23" s="118" cm="1">
        <f t="array" ref="H23">IFERROR(INDEX(DATA_TĐ!$B$1:$AZ$19,MATCH(XL_DT_TD!E23,DATA_TĐ!B:B,0),MATCH(XL_DT_TD!C23,DATA_TĐ!$1:$1,0)-1),0)</f>
        <v>0</v>
      </c>
      <c r="I23" s="118">
        <f ca="1">H23/DAY(NOW()-1)*'Hieu Qua NV'!$J$1</f>
        <v>0</v>
      </c>
      <c r="J23" s="118">
        <f t="shared" si="9"/>
        <v>0</v>
      </c>
      <c r="K23" s="118">
        <f ca="1">J23/'Hieu Qua NV'!$J$2</f>
        <v>0</v>
      </c>
      <c r="L23" s="119" t="e">
        <f t="shared" ca="1" si="7"/>
        <v>#DIV/0!</v>
      </c>
      <c r="M23" s="118">
        <f ca="1">IFERROR(
INDEX(
KB!$I$55:$AJ$68,
MATCH(E23,KB!$I$55:$I$68,0),
MATCH(D23,KB!$I$55:$AJ$55,0)
),
0)</f>
        <v>0</v>
      </c>
      <c r="N23" s="660"/>
      <c r="P23" s="661"/>
      <c r="S23" s="669" cm="1">
        <f t="array" aca="1" ref="S23" ca="1">_xlfn.IFS(
CONFIG!$B$8="W1",H23-N23,
CONFIG!$B$8="W2",H23-O23,
CONFIG!$B$8="W3",H23-P23,
CONFIG!$B$8="W4",H23-Q23,
CONFIG!$B$8="W5",H23-R23
)</f>
        <v>0</v>
      </c>
      <c r="T23" s="652">
        <f t="shared" ca="1" si="3"/>
        <v>0</v>
      </c>
    </row>
    <row r="24" spans="3:20" ht="19" customHeight="1">
      <c r="C24" s="116" t="str">
        <f>INDEX(KB!C:D,MATCH(D24,KB!D:D,0),1)</f>
        <v>PHỤ KIỆN - ĐỒNG HỒ</v>
      </c>
      <c r="D24" s="116" t="s">
        <v>33</v>
      </c>
      <c r="E24" s="321" t="s">
        <v>560</v>
      </c>
      <c r="F24" s="116" t="str">
        <f t="shared" si="8"/>
        <v>PHỤ KIỆN - ĐỒNG HỒNhân viên Mới 2</v>
      </c>
      <c r="G24" s="118" cm="1">
        <f t="array" ref="G24">IFERROR(INDEX(KB!$I$38:$AJ$50,MATCH(XL_DT_TD!E24,KB!$I$38:$I$50,0),MATCH(XL_DT_TD!D24,KB!$J$37:$AJ$37,0)+1),0)</f>
        <v>0</v>
      </c>
      <c r="H24" s="118" cm="1">
        <f t="array" ref="H24">IFERROR(INDEX(DATA_TĐ!$B$1:$AZ$19,MATCH(XL_DT_TD!E24,DATA_TĐ!B:B,0),MATCH(XL_DT_TD!C24,DATA_TĐ!$1:$1,0)-1),0)</f>
        <v>0</v>
      </c>
      <c r="I24" s="118">
        <f ca="1">H24/DAY(NOW()-1)*'Hieu Qua NV'!$J$1</f>
        <v>0</v>
      </c>
      <c r="J24" s="118">
        <f t="shared" si="9"/>
        <v>0</v>
      </c>
      <c r="K24" s="118">
        <f ca="1">J24/'Hieu Qua NV'!$J$2</f>
        <v>0</v>
      </c>
      <c r="L24" s="119" t="e">
        <f t="shared" ca="1" si="7"/>
        <v>#DIV/0!</v>
      </c>
      <c r="M24" s="118">
        <f ca="1">IFERROR(
INDEX(
KB!$I$55:$AJ$68,
MATCH(E24,KB!$I$55:$I$68,0),
MATCH(D24,KB!$I$55:$AJ$55,0)
),
0)</f>
        <v>0</v>
      </c>
      <c r="N24" s="660"/>
      <c r="P24" s="661"/>
      <c r="S24" s="669" cm="1">
        <f t="array" aca="1" ref="S24" ca="1">_xlfn.IFS(
CONFIG!$B$8="W1",H24-N24,
CONFIG!$B$8="W2",H24-O24,
CONFIG!$B$8="W3",H24-P24,
CONFIG!$B$8="W4",H24-Q24,
CONFIG!$B$8="W5",H24-R24
)</f>
        <v>0</v>
      </c>
      <c r="T24" s="652">
        <f t="shared" ca="1" si="3"/>
        <v>0</v>
      </c>
    </row>
    <row r="25" spans="3:20" ht="19" customHeight="1">
      <c r="C25" s="116" t="str">
        <f>INDEX(KB!C:D,MATCH(D25,KB!D:D,0),1)</f>
        <v>PHỤ KIỆN - ĐỒNG HỒ</v>
      </c>
      <c r="D25" s="116" t="s">
        <v>33</v>
      </c>
      <c r="E25" s="117" t="s">
        <v>281</v>
      </c>
      <c r="F25" s="116" t="str">
        <f t="shared" si="8"/>
        <v>PHỤ KIỆN - ĐỒNG HỒTrần Thị Nhung - 11082</v>
      </c>
      <c r="G25" s="118" cm="1">
        <f t="array" ref="G25">IFERROR(INDEX(KB!$I$38:$AJ$50,MATCH(XL_DT_TD!E25,KB!$I$38:$I$50,0),MATCH(XL_DT_TD!D25,KB!$J$37:$AJ$37,0)+1),0)</f>
        <v>191.58</v>
      </c>
      <c r="H25" s="118" cm="1">
        <f t="array" ref="H25">IFERROR(
  INDEX(DATA_TĐ!$B$36:$Z$47,
    MATCH(TRUE, INDEX(TRIM(DATA_TĐ!$B$36:$B$45)=TRIM(E25),0),0),
    MATCH(TRUE, INDEX(TRIM(DATA_TĐ!$B$36:$Z$36)=TRIM(C25),0),0)
  ),
0)</f>
        <v>11</v>
      </c>
      <c r="I25" s="118">
        <f ca="1">H25/DAY(NOW()-1)*'Hieu Qua NV'!$J$1</f>
        <v>55</v>
      </c>
      <c r="J25" s="118">
        <f t="shared" si="9"/>
        <v>180.58</v>
      </c>
      <c r="K25" s="118">
        <f ca="1">J25/'Hieu Qua NV'!$J$2</f>
        <v>7.8513043478260878</v>
      </c>
      <c r="L25" s="119">
        <f t="shared" ca="1" si="7"/>
        <v>0.28708633469046874</v>
      </c>
      <c r="M25" s="118">
        <f ca="1">IFERROR(
INDEX(
KB!$I$55:$AJ$68,
MATCH(E25,KB!$I$55:$I$68,0),
MATCH(D25,KB!$I$55:$AJ$55,0)
),
0)</f>
        <v>48</v>
      </c>
      <c r="N25" s="660"/>
      <c r="P25" s="661"/>
      <c r="S25" s="669" cm="1">
        <f t="array" aca="1" ref="S25" ca="1">_xlfn.IFS(
CONFIG!$B$8="W1",H25-N25,
CONFIG!$B$8="W2",H25-O25,
CONFIG!$B$8="W3",H25-P25,
CONFIG!$B$8="W4",H25-Q25,
CONFIG!$B$8="W5",H25-R25
)</f>
        <v>11</v>
      </c>
      <c r="T25" s="652">
        <f t="shared" ca="1" si="3"/>
        <v>0.22916666666666666</v>
      </c>
    </row>
    <row r="26" spans="3:20" ht="19" customHeight="1">
      <c r="C26" s="116" t="str">
        <f>INDEX(KB!C:D,MATCH(D26,KB!D:D,0),1)</f>
        <v>PHỤ KIỆN - ĐỒNG HỒ</v>
      </c>
      <c r="D26" s="116" t="s">
        <v>33</v>
      </c>
      <c r="E26" s="117" t="s">
        <v>282</v>
      </c>
      <c r="F26" s="116" t="str">
        <f t="shared" si="8"/>
        <v>PHỤ KIỆN - ĐỒNG HỒNguyễn Thị Phương Oanh - 164808</v>
      </c>
      <c r="G26" s="118" cm="1">
        <f t="array" ref="G26">IFERROR(INDEX(KB!$I$38:$AJ$50,MATCH(XL_DT_TD!E26,KB!$I$38:$I$50,0),MATCH(XL_DT_TD!D26,KB!$J$37:$AJ$37,0)+1),0)</f>
        <v>223.51</v>
      </c>
      <c r="H26" s="118" cm="1">
        <f t="array" ref="H26">IFERROR(
  INDEX(DATA_TĐ!$B$36:$Z$47,
    MATCH(TRUE, INDEX(TRIM(DATA_TĐ!$B$36:$B$45)=TRIM(E26),0),0),
    MATCH(TRUE, INDEX(TRIM(DATA_TĐ!$B$36:$Z$36)=TRIM(C26),0),0)
  ),
0)</f>
        <v>28.94</v>
      </c>
      <c r="I26" s="118">
        <f ca="1">H26/DAY(NOW()-1)*'Hieu Qua NV'!$J$1</f>
        <v>144.69999999999999</v>
      </c>
      <c r="J26" s="118">
        <f t="shared" si="9"/>
        <v>194.57</v>
      </c>
      <c r="K26" s="118">
        <f ca="1">J26/'Hieu Qua NV'!$J$2</f>
        <v>8.4595652173913045</v>
      </c>
      <c r="L26" s="119">
        <f t="shared" ca="1" si="7"/>
        <v>0.64739832669679209</v>
      </c>
      <c r="M26" s="118">
        <f ca="1">IFERROR(
INDEX(
KB!$I$55:$AJ$68,
MATCH(E26,KB!$I$55:$I$68,0),
MATCH(D26,KB!$I$55:$AJ$55,0)
),
0)</f>
        <v>56</v>
      </c>
      <c r="N26" s="660"/>
      <c r="P26" s="661"/>
      <c r="S26" s="669" cm="1">
        <f t="array" aca="1" ref="S26" ca="1">_xlfn.IFS(
CONFIG!$B$8="W1",H26-N26,
CONFIG!$B$8="W2",H26-O26,
CONFIG!$B$8="W3",H26-P26,
CONFIG!$B$8="W4",H26-Q26,
CONFIG!$B$8="W5",H26-R26
)</f>
        <v>28.94</v>
      </c>
      <c r="T26" s="652">
        <f t="shared" ca="1" si="3"/>
        <v>0.51678571428571429</v>
      </c>
    </row>
    <row r="27" spans="3:20" ht="19" customHeight="1">
      <c r="C27" s="116" t="str">
        <f>INDEX(KB!C:D,MATCH(D27,KB!D:D,0),1)</f>
        <v>PHỤ KIỆN - ĐỒNG HỒ</v>
      </c>
      <c r="D27" s="116" t="s">
        <v>33</v>
      </c>
      <c r="E27" s="117" t="s">
        <v>283</v>
      </c>
      <c r="F27" s="116" t="str">
        <f t="shared" si="8"/>
        <v>PHỤ KIỆN - ĐỒNG HỒNguyễn Anh Tài - 269055</v>
      </c>
      <c r="G27" s="118" cm="1">
        <f t="array" ref="G27">IFERROR(INDEX(KB!$I$38:$AJ$50,MATCH(XL_DT_TD!E27,KB!$I$38:$I$50,0),MATCH(XL_DT_TD!D27,KB!$J$37:$AJ$37,0)+1),0)</f>
        <v>191.58</v>
      </c>
      <c r="H27" s="118" cm="1">
        <f t="array" ref="H27">IFERROR(
  INDEX(DATA_TĐ!$B$36:$Z$47,
    MATCH(TRUE, INDEX(TRIM(DATA_TĐ!$B$36:$B$45)=TRIM(E27),0),0),
    MATCH(TRUE, INDEX(TRIM(DATA_TĐ!$B$36:$Z$36)=TRIM(C27),0),0)
  ),
0)</f>
        <v>1.73</v>
      </c>
      <c r="I27" s="118">
        <f ca="1">H27/DAY(NOW()-1)*'Hieu Qua NV'!$J$1</f>
        <v>8.65</v>
      </c>
      <c r="J27" s="118">
        <f t="shared" si="9"/>
        <v>189.85000000000002</v>
      </c>
      <c r="K27" s="118">
        <f ca="1">J27/'Hieu Qua NV'!$J$2</f>
        <v>8.2543478260869581</v>
      </c>
      <c r="L27" s="119">
        <f t="shared" ca="1" si="7"/>
        <v>4.5150850819500987E-2</v>
      </c>
      <c r="M27" s="118">
        <f ca="1">IFERROR(
INDEX(
KB!$I$55:$AJ$68,
MATCH(E27,KB!$I$55:$I$68,0),
MATCH(D27,KB!$I$55:$AJ$55,0)
),
0)</f>
        <v>48</v>
      </c>
      <c r="S27" s="669" cm="1">
        <f t="array" aca="1" ref="S27" ca="1">_xlfn.IFS(
CONFIG!$B$8="W1",H27-N27,
CONFIG!$B$8="W2",H27-O27,
CONFIG!$B$8="W3",H27-P27,
CONFIG!$B$8="W4",H27-Q27,
CONFIG!$B$8="W5",H27-R27
)</f>
        <v>1.73</v>
      </c>
      <c r="T27" s="652">
        <f t="shared" ca="1" si="3"/>
        <v>3.6041666666666666E-2</v>
      </c>
    </row>
    <row r="28" spans="3:20" ht="19" customHeight="1">
      <c r="C28" s="116" t="str">
        <f>INDEX(KB!C:D,MATCH(D28,KB!D:D,0),1)</f>
        <v>PHỤ KIỆN - ĐỒNG HỒ</v>
      </c>
      <c r="D28" s="116" t="s">
        <v>33</v>
      </c>
      <c r="E28" s="117" t="s">
        <v>284</v>
      </c>
      <c r="F28" s="116" t="str">
        <f t="shared" si="8"/>
        <v>PHỤ KIỆN - ĐỒNG HỒLê Văn Hợp - 279884</v>
      </c>
      <c r="G28" s="118" cm="1">
        <f t="array" ref="G28">IFERROR(INDEX(KB!$I$38:$AJ$50,MATCH(XL_DT_TD!E28,KB!$I$38:$I$50,0),MATCH(XL_DT_TD!D28,KB!$J$37:$AJ$37,0)+1),0)</f>
        <v>159.65</v>
      </c>
      <c r="H28" s="118" cm="1">
        <f t="array" ref="H28">IFERROR(
  INDEX(DATA_TĐ!$B$36:$Z$47,
    MATCH(TRUE, INDEX(TRIM(DATA_TĐ!$B$36:$B$45)=TRIM(E28),0),0),
    MATCH(TRUE, INDEX(TRIM(DATA_TĐ!$B$36:$Z$36)=TRIM(C28),0),0)
  ),
0)</f>
        <v>18.71</v>
      </c>
      <c r="I28" s="118">
        <f ca="1">H28/DAY(NOW()-1)*'Hieu Qua NV'!$J$1</f>
        <v>93.550000000000011</v>
      </c>
      <c r="J28" s="118">
        <f t="shared" si="9"/>
        <v>140.94</v>
      </c>
      <c r="K28" s="118">
        <f ca="1">J28/'Hieu Qua NV'!$J$2</f>
        <v>6.1278260869565218</v>
      </c>
      <c r="L28" s="119">
        <f t="shared" ca="1" si="7"/>
        <v>0.58596930786094592</v>
      </c>
      <c r="M28" s="118">
        <f ca="1">IFERROR(
INDEX(
KB!$I$55:$AJ$68,
MATCH(E28,KB!$I$55:$I$68,0),
MATCH(D28,KB!$I$55:$AJ$55,0)
),
0)</f>
        <v>40</v>
      </c>
      <c r="S28" s="669" cm="1">
        <f t="array" aca="1" ref="S28" ca="1">_xlfn.IFS(
CONFIG!$B$8="W1",H28-N28,
CONFIG!$B$8="W2",H28-O28,
CONFIG!$B$8="W3",H28-P28,
CONFIG!$B$8="W4",H28-Q28,
CONFIG!$B$8="W5",H28-R28
)</f>
        <v>18.71</v>
      </c>
      <c r="T28" s="652">
        <f t="shared" ca="1" si="3"/>
        <v>0.46775</v>
      </c>
    </row>
    <row r="29" spans="3:20" ht="19" customHeight="1">
      <c r="C29" s="120" t="str">
        <f>INDEX(KB!C:D,MATCH(D29,KB!D:D,0),1)</f>
        <v>PHỤ KIỆN - ĐỒNG HỒ</v>
      </c>
      <c r="D29" s="120" t="s">
        <v>33</v>
      </c>
      <c r="E29" s="120" t="s">
        <v>20</v>
      </c>
      <c r="F29" s="121" t="str">
        <f t="shared" si="8"/>
        <v>PHỤ KIỆN - ĐỒNG HỒTổng</v>
      </c>
      <c r="G29" s="122">
        <f t="shared" ref="G29" si="10">SUM(G16:G27)</f>
        <v>946.0920000000001</v>
      </c>
      <c r="H29" s="122">
        <f t="shared" ref="H29:I29" si="11">SUM(H16:H27)</f>
        <v>68.710000000000008</v>
      </c>
      <c r="I29" s="122">
        <f t="shared" ca="1" si="11"/>
        <v>343.54999999999995</v>
      </c>
      <c r="J29" s="122">
        <f t="shared" si="9"/>
        <v>877.38200000000006</v>
      </c>
      <c r="K29" s="122">
        <f ca="1">J29/'Hieu Qua NV'!$J$2</f>
        <v>38.147043478260869</v>
      </c>
      <c r="L29" s="119">
        <f t="shared" ca="1" si="7"/>
        <v>0.3631253620155333</v>
      </c>
      <c r="M29" s="122">
        <f t="shared" ref="M29" ca="1" si="12">SUM(M16:M27)</f>
        <v>235</v>
      </c>
      <c r="S29" s="669" cm="1">
        <f t="array" aca="1" ref="S29" ca="1">_xlfn.IFS(
CONFIG!$B$8="W1",H29-N29,
CONFIG!$B$8="W2",H29-O29,
CONFIG!$B$8="W3",H29-P29,
CONFIG!$B$8="W4",H29-Q29,
CONFIG!$B$8="W5",H29-R29
)</f>
        <v>68.710000000000008</v>
      </c>
      <c r="T29" s="652">
        <f t="shared" ca="1" si="3"/>
        <v>0.2923829787234043</v>
      </c>
    </row>
    <row r="30" spans="3:20" ht="19" customHeight="1">
      <c r="C30" s="116" t="str">
        <f>INDEX(KB!C:D,MATCH(D30,KB!D:D,0),1)</f>
        <v>PIN SẠC DỰ PHÒNG</v>
      </c>
      <c r="D30" s="116" t="s">
        <v>231</v>
      </c>
      <c r="E30" s="321" t="s">
        <v>57</v>
      </c>
      <c r="F30" s="116" t="str">
        <f t="shared" si="8"/>
        <v>PIN SẠC DỰ PHÒNGNguyễn Thị Ngọc - 54026</v>
      </c>
      <c r="G30" s="118" cm="1">
        <f t="array" ref="G30">IFERROR(INDEX(KB!$I$38:$AJ$50,MATCH(XL_DT_TD!E30,KB!$I$38:$I$50,0),MATCH(XL_DT_TD!D30,KB!$J$37:$AJ$37,0)+1),0)</f>
        <v>3.42</v>
      </c>
      <c r="H30" s="118" cm="1">
        <f t="array" ref="H30">IFERROR(INDEX(DATA_TĐ!$B$1:$AZ$19,MATCH(XL_DT_TD!E30,DATA_TĐ!B:B,0),MATCH(XL_DT_TD!C30,DATA_TĐ!$1:$1,0)-1),0)</f>
        <v>0</v>
      </c>
      <c r="I30" s="118">
        <f ca="1">H30/DAY(NOW()-1)*'Hieu Qua NV'!$J$1</f>
        <v>0</v>
      </c>
      <c r="J30" s="118">
        <f t="shared" si="9"/>
        <v>3.42</v>
      </c>
      <c r="K30" s="118">
        <f ca="1">J30/'Hieu Qua NV'!$J$2</f>
        <v>0.14869565217391303</v>
      </c>
      <c r="L30" s="119">
        <f t="shared" ca="1" si="7"/>
        <v>0</v>
      </c>
      <c r="M30" s="118">
        <f ca="1">IFERROR(
INDEX(
KB!$I$55:$AJ$68,
MATCH(E30,KB!$I$55:$I$68,0),
MATCH(D30,KB!$I$55:$AJ$55,0)
),
0)</f>
        <v>1</v>
      </c>
      <c r="S30" s="669" cm="1">
        <f t="array" aca="1" ref="S30" ca="1">_xlfn.IFS(
CONFIG!$B$8="W1",H30-N30,
CONFIG!$B$8="W2",H30-O30,
CONFIG!$B$8="W3",H30-P30,
CONFIG!$B$8="W4",H30-Q30,
CONFIG!$B$8="W5",H30-R30
)</f>
        <v>0</v>
      </c>
      <c r="T30" s="652">
        <f t="shared" ca="1" si="3"/>
        <v>0</v>
      </c>
    </row>
    <row r="31" spans="3:20" ht="19" customHeight="1">
      <c r="C31" s="116" t="str">
        <f>INDEX(KB!C:D,MATCH(D31,KB!D:D,0),1)</f>
        <v>PIN SẠC DỰ PHÒNG</v>
      </c>
      <c r="D31" s="116" t="s">
        <v>231</v>
      </c>
      <c r="E31" s="321" t="s">
        <v>60</v>
      </c>
      <c r="F31" s="116" t="str">
        <f t="shared" si="8"/>
        <v>PIN SẠC DỰ PHÒNGNguyễn Viết Sơn - 94065</v>
      </c>
      <c r="G31" s="118" cm="1">
        <f t="array" ref="G31">IFERROR(INDEX(KB!$I$38:$AJ$50,MATCH(XL_DT_TD!E31,KB!$I$38:$I$50,0),MATCH(XL_DT_TD!D31,KB!$J$37:$AJ$37,0)+1),0)</f>
        <v>4.18</v>
      </c>
      <c r="H31" s="118" cm="1">
        <f t="array" ref="H31">IFERROR(INDEX(DATA_TĐ!$B$1:$AZ$19,MATCH(XL_DT_TD!E31,DATA_TĐ!B:B,0),MATCH(XL_DT_TD!C31,DATA_TĐ!$1:$1,0)-1),0)</f>
        <v>0</v>
      </c>
      <c r="I31" s="118">
        <f ca="1">H31/DAY(NOW()-1)*'Hieu Qua NV'!$J$1</f>
        <v>0</v>
      </c>
      <c r="J31" s="118">
        <f t="shared" si="9"/>
        <v>4.18</v>
      </c>
      <c r="K31" s="118">
        <f ca="1">J31/'Hieu Qua NV'!$J$2</f>
        <v>0.1817391304347826</v>
      </c>
      <c r="L31" s="119">
        <f t="shared" ca="1" si="7"/>
        <v>0</v>
      </c>
      <c r="M31" s="118">
        <f ca="1">IFERROR(
INDEX(
KB!$I$55:$AJ$68,
MATCH(E31,KB!$I$55:$I$68,0),
MATCH(D31,KB!$I$55:$AJ$55,0)
),
0)</f>
        <v>1</v>
      </c>
      <c r="S31" s="669" cm="1">
        <f t="array" aca="1" ref="S31" ca="1">_xlfn.IFS(
CONFIG!$B$8="W1",H31-N31,
CONFIG!$B$8="W2",H31-O31,
CONFIG!$B$8="W3",H31-P31,
CONFIG!$B$8="W4",H31-Q31,
CONFIG!$B$8="W5",H31-R31
)</f>
        <v>0</v>
      </c>
      <c r="T31" s="652">
        <f t="shared" ca="1" si="3"/>
        <v>0</v>
      </c>
    </row>
    <row r="32" spans="3:20" ht="19" customHeight="1">
      <c r="C32" s="116" t="str">
        <f>INDEX(KB!C:D,MATCH(D32,KB!D:D,0),1)</f>
        <v>PIN SẠC DỰ PHÒNG</v>
      </c>
      <c r="D32" s="116" t="s">
        <v>231</v>
      </c>
      <c r="E32" s="321" t="s">
        <v>15</v>
      </c>
      <c r="F32" s="116" t="str">
        <f t="shared" si="8"/>
        <v>PIN SẠC DỰ PHÒNGNguyễn Trang Nhung - 25734</v>
      </c>
      <c r="G32" s="118" cm="1">
        <f t="array" ref="G32">IFERROR(INDEX(KB!$I$38:$AJ$50,MATCH(XL_DT_TD!E32,KB!$I$38:$I$50,0),MATCH(XL_DT_TD!D32,KB!$J$37:$AJ$37,0)+1),0)</f>
        <v>3.42</v>
      </c>
      <c r="H32" s="118" cm="1">
        <f t="array" ref="H32">IFERROR(INDEX(DATA_TĐ!$B$1:$AZ$19,MATCH(XL_DT_TD!E32,DATA_TĐ!B:B,0),MATCH(XL_DT_TD!C32,DATA_TĐ!$1:$1,0)-1),0)</f>
        <v>0</v>
      </c>
      <c r="I32" s="118">
        <f ca="1">H32/DAY(NOW()-1)*'Hieu Qua NV'!$J$1</f>
        <v>0</v>
      </c>
      <c r="J32" s="118">
        <f t="shared" si="9"/>
        <v>3.42</v>
      </c>
      <c r="K32" s="118">
        <f ca="1">J32/'Hieu Qua NV'!$J$2</f>
        <v>0.14869565217391303</v>
      </c>
      <c r="L32" s="119">
        <f t="shared" ca="1" si="7"/>
        <v>0</v>
      </c>
      <c r="M32" s="118">
        <f ca="1">IFERROR(
INDEX(
KB!$I$55:$AJ$68,
MATCH(E32,KB!$I$55:$I$68,0),
MATCH(D32,KB!$I$55:$AJ$55,0)
),
0)</f>
        <v>1</v>
      </c>
      <c r="S32" s="669" cm="1">
        <f t="array" aca="1" ref="S32" ca="1">_xlfn.IFS(
CONFIG!$B$8="W1",H32-N32,
CONFIG!$B$8="W2",H32-O32,
CONFIG!$B$8="W3",H32-P32,
CONFIG!$B$8="W4",H32-Q32,
CONFIG!$B$8="W5",H32-R32
)</f>
        <v>0</v>
      </c>
      <c r="T32" s="652">
        <f t="shared" ca="1" si="3"/>
        <v>0</v>
      </c>
    </row>
    <row r="33" spans="3:20" ht="19" customHeight="1">
      <c r="C33" s="116" t="str">
        <f>INDEX(KB!C:D,MATCH(D33,KB!D:D,0),1)</f>
        <v>PIN SẠC DỰ PHÒNG</v>
      </c>
      <c r="D33" s="116" t="s">
        <v>231</v>
      </c>
      <c r="E33" s="321" t="s">
        <v>151</v>
      </c>
      <c r="F33" s="116" t="str">
        <f t="shared" si="8"/>
        <v>PIN SẠC DỰ PHÒNGTrần Huy Hoàn - 270828</v>
      </c>
      <c r="G33" s="118" cm="1">
        <f t="array" ref="G33">IFERROR(INDEX(KB!$I$38:$AJ$50,MATCH(XL_DT_TD!E33,KB!$I$38:$I$50,0),MATCH(XL_DT_TD!D33,KB!$J$37:$AJ$37,0)+1),0)</f>
        <v>3.42</v>
      </c>
      <c r="H33" s="118" cm="1">
        <f t="array" ref="H33">IFERROR(INDEX(DATA_TĐ!$B$1:$AZ$19,MATCH(XL_DT_TD!E33,DATA_TĐ!B:B,0),MATCH(XL_DT_TD!C33,DATA_TĐ!$1:$1,0)-1),0)</f>
        <v>0</v>
      </c>
      <c r="I33" s="118">
        <f ca="1">H33/DAY(NOW()-1)*'Hieu Qua NV'!$J$1</f>
        <v>0</v>
      </c>
      <c r="J33" s="118">
        <f t="shared" si="9"/>
        <v>3.42</v>
      </c>
      <c r="K33" s="118">
        <f ca="1">J33/'Hieu Qua NV'!$J$2</f>
        <v>0.14869565217391303</v>
      </c>
      <c r="L33" s="119">
        <f t="shared" ca="1" si="7"/>
        <v>0</v>
      </c>
      <c r="M33" s="118">
        <f ca="1">IFERROR(
INDEX(
KB!$I$55:$AJ$68,
MATCH(E33,KB!$I$55:$I$68,0),
MATCH(D33,KB!$I$55:$AJ$55,0)
),
0)</f>
        <v>1</v>
      </c>
      <c r="S33" s="669" cm="1">
        <f t="array" aca="1" ref="S33" ca="1">_xlfn.IFS(
CONFIG!$B$8="W1",H33-N33,
CONFIG!$B$8="W2",H33-O33,
CONFIG!$B$8="W3",H33-P33,
CONFIG!$B$8="W4",H33-Q33,
CONFIG!$B$8="W5",H33-R33
)</f>
        <v>0</v>
      </c>
      <c r="T33" s="652">
        <f t="shared" ca="1" si="3"/>
        <v>0</v>
      </c>
    </row>
    <row r="34" spans="3:20" ht="19" customHeight="1">
      <c r="C34" s="116" t="str">
        <f>INDEX(KB!C:D,MATCH(D34,KB!D:D,0),1)</f>
        <v>PIN SẠC DỰ PHÒNG</v>
      </c>
      <c r="D34" s="116" t="s">
        <v>231</v>
      </c>
      <c r="E34" s="321" t="s">
        <v>293</v>
      </c>
      <c r="F34" s="116" t="str">
        <f t="shared" si="8"/>
        <v>PIN SẠC DỰ PHÒNGPhạm Văn Thanh - 279935</v>
      </c>
      <c r="G34" s="118" cm="1">
        <f t="array" ref="G34">IFERROR(INDEX(KB!$I$38:$AJ$50,MATCH(XL_DT_TD!E34,KB!$I$38:$I$50,0),MATCH(XL_DT_TD!D34,KB!$J$37:$AJ$37,0)+1),0)</f>
        <v>2.85</v>
      </c>
      <c r="H34" s="118" cm="1">
        <f t="array" ref="H34">IFERROR(INDEX(DATA_TĐ!$B$1:$AZ$19,MATCH(XL_DT_TD!E34,DATA_TĐ!B:B,0),MATCH(XL_DT_TD!C34,DATA_TĐ!$1:$1,0)-1),0)</f>
        <v>0</v>
      </c>
      <c r="I34" s="118">
        <f ca="1">H34/DAY(NOW()-1)*'Hieu Qua NV'!$J$1</f>
        <v>0</v>
      </c>
      <c r="J34" s="118">
        <f t="shared" si="9"/>
        <v>2.85</v>
      </c>
      <c r="K34" s="118">
        <f ca="1">J34/'Hieu Qua NV'!$J$2</f>
        <v>0.12391304347826088</v>
      </c>
      <c r="L34" s="119">
        <f t="shared" ca="1" si="7"/>
        <v>0</v>
      </c>
      <c r="M34" s="118">
        <f ca="1">IFERROR(
INDEX(
KB!$I$55:$AJ$68,
MATCH(E34,KB!$I$55:$I$68,0),
MATCH(D34,KB!$I$55:$AJ$55,0)
),
0)</f>
        <v>1</v>
      </c>
      <c r="S34" s="669" cm="1">
        <f t="array" aca="1" ref="S34" ca="1">_xlfn.IFS(
CONFIG!$B$8="W1",H34-N34,
CONFIG!$B$8="W2",H34-O34,
CONFIG!$B$8="W3",H34-P34,
CONFIG!$B$8="W4",H34-Q34,
CONFIG!$B$8="W5",H34-R34
)</f>
        <v>0</v>
      </c>
      <c r="T34" s="652">
        <f t="shared" ca="1" si="3"/>
        <v>0</v>
      </c>
    </row>
    <row r="35" spans="3:20" ht="19" customHeight="1">
      <c r="C35" s="116" t="str">
        <f>INDEX(KB!C:D,MATCH(D35,KB!D:D,0),1)</f>
        <v>PIN SẠC DỰ PHÒNG</v>
      </c>
      <c r="D35" s="116" t="s">
        <v>231</v>
      </c>
      <c r="E35" s="321" t="s">
        <v>433</v>
      </c>
      <c r="F35" s="116" t="str">
        <f t="shared" si="8"/>
        <v>PIN SẠC DỰ PHÒNGNguyễn Thành Đạt - 280855</v>
      </c>
      <c r="G35" s="118" cm="1">
        <f t="array" ref="G35">IFERROR(INDEX(KB!$I$38:$AJ$50,MATCH(XL_DT_TD!E35,KB!$I$38:$I$50,0),MATCH(XL_DT_TD!D35,KB!$J$37:$AJ$37,0)+1),0)</f>
        <v>2.85</v>
      </c>
      <c r="H35" s="118" cm="1">
        <f t="array" ref="H35">IFERROR(INDEX(DATA_TĐ!$B$1:$AZ$19,MATCH(XL_DT_TD!E35,DATA_TĐ!B:B,0),MATCH(XL_DT_TD!C35,DATA_TĐ!$1:$1,0)-1),0)</f>
        <v>0</v>
      </c>
      <c r="I35" s="118">
        <f ca="1">H35/DAY(NOW()-1)*'Hieu Qua NV'!$J$1</f>
        <v>0</v>
      </c>
      <c r="J35" s="118">
        <f t="shared" si="9"/>
        <v>2.85</v>
      </c>
      <c r="K35" s="118">
        <f ca="1">J35/'Hieu Qua NV'!$J$2</f>
        <v>0.12391304347826088</v>
      </c>
      <c r="L35" s="119">
        <f t="shared" ca="1" si="7"/>
        <v>0</v>
      </c>
      <c r="M35" s="118">
        <f ca="1">IFERROR(
INDEX(
KB!$I$55:$AJ$68,
MATCH(E35,KB!$I$55:$I$68,0),
MATCH(D35,KB!$I$55:$AJ$55,0)
),
0)</f>
        <v>1</v>
      </c>
      <c r="S35" s="669" cm="1">
        <f t="array" aca="1" ref="S35" ca="1">_xlfn.IFS(
CONFIG!$B$8="W1",H35-N35,
CONFIG!$B$8="W2",H35-O35,
CONFIG!$B$8="W3",H35-P35,
CONFIG!$B$8="W4",H35-Q35,
CONFIG!$B$8="W5",H35-R35
)</f>
        <v>0</v>
      </c>
      <c r="T35" s="652">
        <f t="shared" ca="1" si="3"/>
        <v>0</v>
      </c>
    </row>
    <row r="36" spans="3:20" ht="19" customHeight="1">
      <c r="C36" s="116" t="str">
        <f>INDEX(KB!C:D,MATCH(D36,KB!D:D,0),1)</f>
        <v>PIN SẠC DỰ PHÒNG</v>
      </c>
      <c r="D36" s="116" t="s">
        <v>231</v>
      </c>
      <c r="E36" s="321" t="s">
        <v>56</v>
      </c>
      <c r="F36" s="116" t="str">
        <f t="shared" si="8"/>
        <v>PIN SẠC DỰ PHÒNGĐỗ Văn Duân - 62025</v>
      </c>
      <c r="G36" s="118" cm="1">
        <f t="array" ref="G36">IFERROR(INDEX(KB!$I$38:$AJ$50,MATCH(XL_DT_TD!E36,KB!$I$38:$I$50,0),MATCH(XL_DT_TD!D36,KB!$J$37:$AJ$37,0)+1),0)</f>
        <v>3.42</v>
      </c>
      <c r="H36" s="118" cm="1">
        <f t="array" ref="H36">IFERROR(INDEX(DATA_TĐ!$B$1:$AZ$19,MATCH(XL_DT_TD!E36,DATA_TĐ!B:B,0),MATCH(XL_DT_TD!C36,DATA_TĐ!$1:$1,0)-1),0)</f>
        <v>0</v>
      </c>
      <c r="I36" s="118">
        <f ca="1">H36/DAY(NOW()-1)*'Hieu Qua NV'!$J$1</f>
        <v>0</v>
      </c>
      <c r="J36" s="118">
        <f t="shared" si="9"/>
        <v>3.42</v>
      </c>
      <c r="K36" s="118">
        <f ca="1">J36/'Hieu Qua NV'!$J$2</f>
        <v>0.14869565217391303</v>
      </c>
      <c r="L36" s="119">
        <f t="shared" ca="1" si="7"/>
        <v>0</v>
      </c>
      <c r="M36" s="118">
        <f ca="1">IFERROR(
INDEX(
KB!$I$55:$AJ$68,
MATCH(E36,KB!$I$55:$I$68,0),
MATCH(D36,KB!$I$55:$AJ$55,0)
),
0)</f>
        <v>1</v>
      </c>
      <c r="S36" s="669" cm="1">
        <f t="array" aca="1" ref="S36" ca="1">_xlfn.IFS(
CONFIG!$B$8="W1",H36-N36,
CONFIG!$B$8="W2",H36-O36,
CONFIG!$B$8="W3",H36-P36,
CONFIG!$B$8="W4",H36-Q36,
CONFIG!$B$8="W5",H36-R36
)</f>
        <v>0</v>
      </c>
      <c r="T36" s="652">
        <f t="shared" ca="1" si="3"/>
        <v>0</v>
      </c>
    </row>
    <row r="37" spans="3:20" ht="19" customHeight="1">
      <c r="C37" s="116" t="str">
        <f>INDEX(KB!C:D,MATCH(D37,KB!D:D,0),1)</f>
        <v>PIN SẠC DỰ PHÒNG</v>
      </c>
      <c r="D37" s="116" t="s">
        <v>231</v>
      </c>
      <c r="E37" s="321" t="s">
        <v>530</v>
      </c>
      <c r="F37" s="116" t="str">
        <f t="shared" si="8"/>
        <v>PIN SẠC DỰ PHÒNGNhân viên Mới 1</v>
      </c>
      <c r="G37" s="118" cm="1">
        <f t="array" ref="G37">IFERROR(INDEX(KB!$I$38:$AJ$50,MATCH(XL_DT_TD!E37,KB!$I$38:$I$50,0),MATCH(XL_DT_TD!D37,KB!$J$37:$AJ$37,0)+1),0)</f>
        <v>0</v>
      </c>
      <c r="H37" s="118" cm="1">
        <f t="array" ref="H37">IFERROR(INDEX(DATA_TĐ!$B$1:$AZ$19,MATCH(XL_DT_TD!E37,DATA_TĐ!B:B,0),MATCH(XL_DT_TD!C37,DATA_TĐ!$1:$1,0)-1),0)</f>
        <v>0</v>
      </c>
      <c r="I37" s="118">
        <f ca="1">H37/DAY(NOW()-1)*'Hieu Qua NV'!$J$1</f>
        <v>0</v>
      </c>
      <c r="J37" s="118">
        <f t="shared" si="9"/>
        <v>0</v>
      </c>
      <c r="K37" s="118">
        <f ca="1">J37/'Hieu Qua NV'!$J$2</f>
        <v>0</v>
      </c>
      <c r="L37" s="119" t="e">
        <f t="shared" ca="1" si="7"/>
        <v>#DIV/0!</v>
      </c>
      <c r="M37" s="118">
        <f ca="1">IFERROR(
INDEX(
KB!$I$55:$AJ$68,
MATCH(E37,KB!$I$55:$I$68,0),
MATCH(D37,KB!$I$55:$AJ$55,0)
),
0)</f>
        <v>0</v>
      </c>
      <c r="S37" s="669" cm="1">
        <f t="array" aca="1" ref="S37" ca="1">_xlfn.IFS(
CONFIG!$B$8="W1",H37-N37,
CONFIG!$B$8="W2",H37-O37,
CONFIG!$B$8="W3",H37-P37,
CONFIG!$B$8="W4",H37-Q37,
CONFIG!$B$8="W5",H37-R37
)</f>
        <v>0</v>
      </c>
      <c r="T37" s="652">
        <f t="shared" ca="1" si="3"/>
        <v>0</v>
      </c>
    </row>
    <row r="38" spans="3:20" ht="19" customHeight="1">
      <c r="C38" s="116" t="str">
        <f>INDEX(KB!C:D,MATCH(D38,KB!D:D,0),1)</f>
        <v>PIN SẠC DỰ PHÒNG</v>
      </c>
      <c r="D38" s="116" t="s">
        <v>231</v>
      </c>
      <c r="E38" s="321" t="s">
        <v>560</v>
      </c>
      <c r="F38" s="116" t="str">
        <f t="shared" si="8"/>
        <v>PIN SẠC DỰ PHÒNGNhân viên Mới 2</v>
      </c>
      <c r="G38" s="118" cm="1">
        <f t="array" ref="G38">IFERROR(INDEX(KB!$I$38:$AJ$50,MATCH(XL_DT_TD!E38,KB!$I$38:$I$50,0),MATCH(XL_DT_TD!D38,KB!$J$37:$AJ$37,0)+1),0)</f>
        <v>0</v>
      </c>
      <c r="H38" s="118" cm="1">
        <f t="array" ref="H38">IFERROR(INDEX(DATA_TĐ!$B$1:$AZ$19,MATCH(XL_DT_TD!E38,DATA_TĐ!B:B,0),MATCH(XL_DT_TD!C38,DATA_TĐ!$1:$1,0)-1),0)</f>
        <v>0</v>
      </c>
      <c r="I38" s="118">
        <f ca="1">H38/DAY(NOW()-1)*'Hieu Qua NV'!$J$1</f>
        <v>0</v>
      </c>
      <c r="J38" s="118">
        <f t="shared" si="9"/>
        <v>0</v>
      </c>
      <c r="K38" s="118">
        <f ca="1">J38/'Hieu Qua NV'!$J$2</f>
        <v>0</v>
      </c>
      <c r="L38" s="119" t="e">
        <f t="shared" ca="1" si="7"/>
        <v>#DIV/0!</v>
      </c>
      <c r="M38" s="118">
        <f ca="1">IFERROR(
INDEX(
KB!$I$55:$AJ$68,
MATCH(E38,KB!$I$55:$I$68,0),
MATCH(D38,KB!$I$55:$AJ$55,0)
),
0)</f>
        <v>0</v>
      </c>
      <c r="S38" s="669" cm="1">
        <f t="array" aca="1" ref="S38" ca="1">_xlfn.IFS(
CONFIG!$B$8="W1",H38-N38,
CONFIG!$B$8="W2",H38-O38,
CONFIG!$B$8="W3",H38-P38,
CONFIG!$B$8="W4",H38-Q38,
CONFIG!$B$8="W5",H38-R38
)</f>
        <v>0</v>
      </c>
      <c r="T38" s="652">
        <f t="shared" ca="1" si="3"/>
        <v>0</v>
      </c>
    </row>
    <row r="39" spans="3:20" ht="19" customHeight="1">
      <c r="C39" s="116" t="str">
        <f>INDEX(KB!C:D,MATCH(D39,KB!D:D,0),1)</f>
        <v>PIN SẠC DỰ PHÒNG</v>
      </c>
      <c r="D39" s="116" t="s">
        <v>231</v>
      </c>
      <c r="E39" s="117" t="s">
        <v>281</v>
      </c>
      <c r="F39" s="116" t="str">
        <f t="shared" si="8"/>
        <v>PIN SẠC DỰ PHÒNGTrần Thị Nhung - 11082</v>
      </c>
      <c r="G39" s="118" cm="1">
        <f t="array" ref="G39">IFERROR(INDEX(KB!$I$38:$AJ$50,MATCH(XL_DT_TD!E39,KB!$I$38:$I$50,0),MATCH(XL_DT_TD!D39,KB!$J$37:$AJ$37,0)+1),0)</f>
        <v>9.1</v>
      </c>
      <c r="H39" s="118" cm="1">
        <f t="array" ref="H39">IFERROR(
  INDEX(DATA_TĐ!$B$36:$Z$47,
    MATCH(TRUE, INDEX(TRIM(DATA_TĐ!$B$36:$B$45)=TRIM(E39),0),0),
    MATCH(TRUE, INDEX(TRIM(DATA_TĐ!$B$36:$Z$36)=TRIM(C39),0),0)
  ),
0)</f>
        <v>1</v>
      </c>
      <c r="I39" s="118">
        <f ca="1">H39/DAY(NOW()-1)*'Hieu Qua NV'!$J$1</f>
        <v>5</v>
      </c>
      <c r="J39" s="118">
        <f t="shared" si="9"/>
        <v>8.1</v>
      </c>
      <c r="K39" s="118">
        <f ca="1">J39/'Hieu Qua NV'!$J$2</f>
        <v>0.35217391304347823</v>
      </c>
      <c r="L39" s="119">
        <f t="shared" ca="1" si="7"/>
        <v>0.5494505494505495</v>
      </c>
      <c r="M39" s="118">
        <f ca="1">IFERROR(
INDEX(
KB!$I$55:$AJ$68,
MATCH(E39,KB!$I$55:$I$68,0),
MATCH(D39,KB!$I$55:$AJ$55,0)
),
0)</f>
        <v>2</v>
      </c>
      <c r="S39" s="669" cm="1">
        <f t="array" aca="1" ref="S39" ca="1">_xlfn.IFS(
CONFIG!$B$8="W1",H39-N39,
CONFIG!$B$8="W2",H39-O39,
CONFIG!$B$8="W3",H39-P39,
CONFIG!$B$8="W4",H39-Q39,
CONFIG!$B$8="W5",H39-R39
)</f>
        <v>1</v>
      </c>
      <c r="T39" s="652">
        <f t="shared" ca="1" si="3"/>
        <v>0.5</v>
      </c>
    </row>
    <row r="40" spans="3:20" ht="19" customHeight="1">
      <c r="C40" s="116" t="str">
        <f>INDEX(KB!C:D,MATCH(D40,KB!D:D,0),1)</f>
        <v>PIN SẠC DỰ PHÒNG</v>
      </c>
      <c r="D40" s="116" t="s">
        <v>231</v>
      </c>
      <c r="E40" s="117" t="s">
        <v>282</v>
      </c>
      <c r="F40" s="116" t="str">
        <f t="shared" si="8"/>
        <v>PIN SẠC DỰ PHÒNGNguyễn Thị Phương Oanh - 164808</v>
      </c>
      <c r="G40" s="118" cm="1">
        <f t="array" ref="G40">IFERROR(INDEX(KB!$I$38:$AJ$50,MATCH(XL_DT_TD!E40,KB!$I$38:$I$50,0),MATCH(XL_DT_TD!D40,KB!$J$37:$AJ$37,0)+1),0)</f>
        <v>6.5</v>
      </c>
      <c r="H40" s="118" cm="1">
        <f t="array" ref="H40">IFERROR(
  INDEX(DATA_TĐ!$B$36:$Z$47,
    MATCH(TRUE, INDEX(TRIM(DATA_TĐ!$B$36:$B$45)=TRIM(E40),0),0),
    MATCH(TRUE, INDEX(TRIM(DATA_TĐ!$B$36:$Z$36)=TRIM(C40),0),0)
  ),
0)</f>
        <v>1</v>
      </c>
      <c r="I40" s="118">
        <f ca="1">H40/DAY(NOW()-1)*'Hieu Qua NV'!$J$1</f>
        <v>5</v>
      </c>
      <c r="J40" s="118">
        <f t="shared" si="9"/>
        <v>5.5</v>
      </c>
      <c r="K40" s="118">
        <f ca="1">J40/'Hieu Qua NV'!$J$2</f>
        <v>0.2391304347826087</v>
      </c>
      <c r="L40" s="119">
        <f t="shared" ca="1" si="7"/>
        <v>0.76923076923076927</v>
      </c>
      <c r="M40" s="118">
        <f ca="1">IFERROR(
INDEX(
KB!$I$55:$AJ$68,
MATCH(E40,KB!$I$55:$I$68,0),
MATCH(D40,KB!$I$55:$AJ$55,0)
),
0)</f>
        <v>2</v>
      </c>
      <c r="S40" s="669" cm="1">
        <f t="array" aca="1" ref="S40" ca="1">_xlfn.IFS(
CONFIG!$B$8="W1",H40-N40,
CONFIG!$B$8="W2",H40-O40,
CONFIG!$B$8="W3",H40-P40,
CONFIG!$B$8="W4",H40-Q40,
CONFIG!$B$8="W5",H40-R40
)</f>
        <v>1</v>
      </c>
      <c r="T40" s="652">
        <f t="shared" ca="1" si="3"/>
        <v>0.5</v>
      </c>
    </row>
    <row r="41" spans="3:20" ht="19" customHeight="1">
      <c r="C41" s="116" t="str">
        <f>INDEX(KB!C:D,MATCH(D41,KB!D:D,0),1)</f>
        <v>PIN SẠC DỰ PHÒNG</v>
      </c>
      <c r="D41" s="116" t="s">
        <v>231</v>
      </c>
      <c r="E41" s="117" t="s">
        <v>283</v>
      </c>
      <c r="F41" s="116" t="str">
        <f t="shared" si="8"/>
        <v>PIN SẠC DỰ PHÒNGNguyễn Anh Tài - 269055</v>
      </c>
      <c r="G41" s="118" cm="1">
        <f t="array" ref="G41">IFERROR(INDEX(KB!$I$38:$AJ$50,MATCH(XL_DT_TD!E41,KB!$I$38:$I$50,0),MATCH(XL_DT_TD!D41,KB!$J$37:$AJ$37,0)+1),0)</f>
        <v>6.5</v>
      </c>
      <c r="H41" s="118" cm="1">
        <f t="array" ref="H41">IFERROR(
  INDEX(DATA_TĐ!$B$36:$Z$47,
    MATCH(TRUE, INDEX(TRIM(DATA_TĐ!$B$36:$B$45)=TRIM(E41),0),0),
    MATCH(TRUE, INDEX(TRIM(DATA_TĐ!$B$36:$Z$36)=TRIM(C41),0),0)
  ),
0)</f>
        <v>0</v>
      </c>
      <c r="I41" s="118">
        <f ca="1">H41/DAY(NOW()-1)*'Hieu Qua NV'!$J$1</f>
        <v>0</v>
      </c>
      <c r="J41" s="118">
        <f t="shared" si="9"/>
        <v>6.5</v>
      </c>
      <c r="K41" s="118">
        <f ca="1">J41/'Hieu Qua NV'!$J$2</f>
        <v>0.28260869565217389</v>
      </c>
      <c r="L41" s="119">
        <f t="shared" ca="1" si="7"/>
        <v>0</v>
      </c>
      <c r="M41" s="118">
        <f ca="1">IFERROR(
INDEX(
KB!$I$55:$AJ$68,
MATCH(E41,KB!$I$55:$I$68,0),
MATCH(D41,KB!$I$55:$AJ$55,0)
),
0)</f>
        <v>2</v>
      </c>
      <c r="S41" s="669" cm="1">
        <f t="array" aca="1" ref="S41" ca="1">_xlfn.IFS(
CONFIG!$B$8="W1",H41-N41,
CONFIG!$B$8="W2",H41-O41,
CONFIG!$B$8="W3",H41-P41,
CONFIG!$B$8="W4",H41-Q41,
CONFIG!$B$8="W5",H41-R41
)</f>
        <v>0</v>
      </c>
      <c r="T41" s="652">
        <f t="shared" ca="1" si="3"/>
        <v>0</v>
      </c>
    </row>
    <row r="42" spans="3:20" ht="19" customHeight="1">
      <c r="C42" s="116" t="str">
        <f>INDEX(KB!C:D,MATCH(D42,KB!D:D,0),1)</f>
        <v>PIN SẠC DỰ PHÒNG</v>
      </c>
      <c r="D42" s="116" t="s">
        <v>231</v>
      </c>
      <c r="E42" s="117" t="s">
        <v>284</v>
      </c>
      <c r="F42" s="116" t="str">
        <f t="shared" si="8"/>
        <v>PIN SẠC DỰ PHÒNGLê Văn Hợp - 279884</v>
      </c>
      <c r="G42" s="118" cm="1">
        <f t="array" ref="G42">IFERROR(INDEX(KB!$I$38:$AJ$50,MATCH(XL_DT_TD!E42,KB!$I$38:$I$50,0),MATCH(XL_DT_TD!D42,KB!$J$37:$AJ$37,0)+1),0)</f>
        <v>6.5</v>
      </c>
      <c r="H42" s="118" cm="1">
        <f t="array" ref="H42">IFERROR(
  INDEX(DATA_TĐ!$B$36:$Z$47,
    MATCH(TRUE, INDEX(TRIM(DATA_TĐ!$B$36:$B$45)=TRIM(E42),0),0),
    MATCH(TRUE, INDEX(TRIM(DATA_TĐ!$B$36:$Z$36)=TRIM(C42),0),0)
  ),
0)</f>
        <v>0</v>
      </c>
      <c r="I42" s="118">
        <f ca="1">H42/DAY(NOW()-1)*'Hieu Qua NV'!$J$1</f>
        <v>0</v>
      </c>
      <c r="J42" s="118">
        <f t="shared" si="9"/>
        <v>6.5</v>
      </c>
      <c r="K42" s="118">
        <f ca="1">J42/'Hieu Qua NV'!$J$2</f>
        <v>0.28260869565217389</v>
      </c>
      <c r="L42" s="119">
        <f t="shared" ca="1" si="7"/>
        <v>0</v>
      </c>
      <c r="M42" s="118">
        <f ca="1">IFERROR(
INDEX(
KB!$I$55:$AJ$68,
MATCH(E42,KB!$I$55:$I$68,0),
MATCH(D42,KB!$I$55:$AJ$55,0)
),
0)</f>
        <v>2</v>
      </c>
      <c r="S42" s="669" cm="1">
        <f t="array" aca="1" ref="S42" ca="1">_xlfn.IFS(
CONFIG!$B$8="W1",H42-N42,
CONFIG!$B$8="W2",H42-O42,
CONFIG!$B$8="W3",H42-P42,
CONFIG!$B$8="W4",H42-Q42,
CONFIG!$B$8="W5",H42-R42
)</f>
        <v>0</v>
      </c>
      <c r="T42" s="652">
        <f t="shared" ca="1" si="3"/>
        <v>0</v>
      </c>
    </row>
    <row r="43" spans="3:20" ht="19" customHeight="1">
      <c r="C43" s="120" t="str">
        <f>INDEX(KB!C:D,MATCH(D43,KB!D:D,0),1)</f>
        <v>PIN SẠC DỰ PHÒNG</v>
      </c>
      <c r="D43" s="120" t="s">
        <v>231</v>
      </c>
      <c r="E43" s="120" t="s">
        <v>20</v>
      </c>
      <c r="F43" s="121" t="str">
        <f t="shared" si="8"/>
        <v>PIN SẠC DỰ PHÒNGTổng</v>
      </c>
      <c r="G43" s="122">
        <f t="shared" ref="G43" si="13">SUM(G30:G41)</f>
        <v>45.660000000000004</v>
      </c>
      <c r="H43" s="122">
        <f t="shared" ref="H43:I43" si="14">SUM(H30:H41)</f>
        <v>2</v>
      </c>
      <c r="I43" s="122">
        <f t="shared" ca="1" si="14"/>
        <v>10</v>
      </c>
      <c r="J43" s="122">
        <f t="shared" si="9"/>
        <v>43.660000000000004</v>
      </c>
      <c r="K43" s="122">
        <f ca="1">J43/'Hieu Qua NV'!$J$2</f>
        <v>1.8982608695652174</v>
      </c>
      <c r="L43" s="119">
        <f t="shared" ca="1" si="7"/>
        <v>0.2190100744634253</v>
      </c>
      <c r="M43" s="122">
        <f t="shared" ref="M43" ca="1" si="15">SUM(M30:M41)</f>
        <v>13</v>
      </c>
      <c r="S43" s="669" cm="1">
        <f t="array" aca="1" ref="S43" ca="1">_xlfn.IFS(
CONFIG!$B$8="W1",H43-N43,
CONFIG!$B$8="W2",H43-O43,
CONFIG!$B$8="W3",H43-P43,
CONFIG!$B$8="W4",H43-Q43,
CONFIG!$B$8="W5",H43-R43
)</f>
        <v>2</v>
      </c>
      <c r="T43" s="652">
        <f t="shared" ca="1" si="3"/>
        <v>0.15384615384615385</v>
      </c>
    </row>
    <row r="44" spans="3:20" ht="19" customHeight="1">
      <c r="C44" s="116" t="str">
        <f>INDEX(KB!C:D,MATCH(D44,KB!D:D,0),1)</f>
        <v>Realme</v>
      </c>
      <c r="D44" s="116" t="s">
        <v>103</v>
      </c>
      <c r="E44" s="321" t="s">
        <v>57</v>
      </c>
      <c r="F44" s="116" t="str">
        <f t="shared" si="8"/>
        <v>RealmeNguyễn Thị Ngọc - 54026</v>
      </c>
      <c r="G44" s="118" cm="1">
        <f t="array" ref="G44">IFERROR(INDEX(KB!$I$38:$AJ$50,MATCH(XL_DT_TD!E44,KB!$I$38:$I$50,0),MATCH(XL_DT_TD!D44,KB!$J$37:$AJ$37,0)+1),0)</f>
        <v>1.5825</v>
      </c>
      <c r="H44" s="118" cm="1">
        <f t="array" ref="H44">IFERROR(INDEX(DATA_TĐ!$B$1:$AZ$19,MATCH(XL_DT_TD!E44,DATA_TĐ!B:B,0),MATCH(XL_DT_TD!C44,DATA_TĐ!$1:$1,0)-1),0)</f>
        <v>0</v>
      </c>
      <c r="I44" s="118">
        <f ca="1">H44/DAY(NOW()-1)*'Hieu Qua NV'!$J$1</f>
        <v>0</v>
      </c>
      <c r="J44" s="118">
        <f t="shared" si="9"/>
        <v>1.5825</v>
      </c>
      <c r="K44" s="118">
        <f ca="1">J44/'Hieu Qua NV'!$J$2</f>
        <v>6.8804347826086951E-2</v>
      </c>
      <c r="L44" s="119">
        <f t="shared" ca="1" si="7"/>
        <v>0</v>
      </c>
      <c r="M44" s="118">
        <f ca="1">IFERROR(
INDEX(
KB!$I$55:$AJ$68,
MATCH(E44,KB!$I$55:$I$68,0),
MATCH(D44,KB!$I$55:$AJ$55,0)
),
0)</f>
        <v>0</v>
      </c>
      <c r="S44" s="669" cm="1">
        <f t="array" aca="1" ref="S44" ca="1">_xlfn.IFS(
CONFIG!$B$8="W1",H44-N44,
CONFIG!$B$8="W2",H44-O44,
CONFIG!$B$8="W3",H44-P44,
CONFIG!$B$8="W4",H44-Q44,
CONFIG!$B$8="W5",H44-R44
)</f>
        <v>0</v>
      </c>
      <c r="T44" s="652">
        <f t="shared" ca="1" si="3"/>
        <v>0</v>
      </c>
    </row>
    <row r="45" spans="3:20" ht="19" customHeight="1">
      <c r="C45" s="116" t="str">
        <f>INDEX(KB!C:D,MATCH(D45,KB!D:D,0),1)</f>
        <v>Realme</v>
      </c>
      <c r="D45" s="116" t="s">
        <v>103</v>
      </c>
      <c r="E45" s="321" t="s">
        <v>60</v>
      </c>
      <c r="F45" s="116" t="str">
        <f t="shared" si="8"/>
        <v>RealmeNguyễn Viết Sơn - 94065</v>
      </c>
      <c r="G45" s="118" cm="1">
        <f t="array" ref="G45">IFERROR(INDEX(KB!$I$38:$AJ$50,MATCH(XL_DT_TD!E45,KB!$I$38:$I$50,0),MATCH(XL_DT_TD!D45,KB!$J$37:$AJ$37,0)+1),0)</f>
        <v>1.5825</v>
      </c>
      <c r="H45" s="118" cm="1">
        <f t="array" ref="H45">IFERROR(INDEX(DATA_TĐ!$B$1:$AZ$19,MATCH(XL_DT_TD!E45,DATA_TĐ!B:B,0),MATCH(XL_DT_TD!C45,DATA_TĐ!$1:$1,0)-1),0)</f>
        <v>0</v>
      </c>
      <c r="I45" s="118">
        <f ca="1">H45/DAY(NOW()-1)*'Hieu Qua NV'!$J$1</f>
        <v>0</v>
      </c>
      <c r="J45" s="118">
        <f t="shared" si="9"/>
        <v>1.5825</v>
      </c>
      <c r="K45" s="118">
        <f ca="1">J45/'Hieu Qua NV'!$J$2</f>
        <v>6.8804347826086951E-2</v>
      </c>
      <c r="L45" s="119">
        <f t="shared" ca="1" si="7"/>
        <v>0</v>
      </c>
      <c r="M45" s="118">
        <f ca="1">IFERROR(
INDEX(
KB!$I$55:$AJ$68,
MATCH(E45,KB!$I$55:$I$68,0),
MATCH(D45,KB!$I$55:$AJ$55,0)
),
0)</f>
        <v>0</v>
      </c>
      <c r="S45" s="669" cm="1">
        <f t="array" aca="1" ref="S45" ca="1">_xlfn.IFS(
CONFIG!$B$8="W1",H45-N45,
CONFIG!$B$8="W2",H45-O45,
CONFIG!$B$8="W3",H45-P45,
CONFIG!$B$8="W4",H45-Q45,
CONFIG!$B$8="W5",H45-R45
)</f>
        <v>0</v>
      </c>
      <c r="T45" s="652">
        <f t="shared" ca="1" si="3"/>
        <v>0</v>
      </c>
    </row>
    <row r="46" spans="3:20" ht="19" customHeight="1">
      <c r="C46" s="116" t="str">
        <f>INDEX(KB!C:D,MATCH(D46,KB!D:D,0),1)</f>
        <v>Realme</v>
      </c>
      <c r="D46" s="116" t="s">
        <v>103</v>
      </c>
      <c r="E46" s="321" t="s">
        <v>15</v>
      </c>
      <c r="F46" s="116" t="str">
        <f t="shared" si="8"/>
        <v>RealmeNguyễn Trang Nhung - 25734</v>
      </c>
      <c r="G46" s="118" cm="1">
        <f t="array" ref="G46">IFERROR(INDEX(KB!$I$38:$AJ$50,MATCH(XL_DT_TD!E46,KB!$I$38:$I$50,0),MATCH(XL_DT_TD!D46,KB!$J$37:$AJ$37,0)+1),0)</f>
        <v>1.899</v>
      </c>
      <c r="H46" s="118" cm="1">
        <f t="array" ref="H46">IFERROR(INDEX(DATA_TĐ!$B$1:$AZ$19,MATCH(XL_DT_TD!E46,DATA_TĐ!B:B,0),MATCH(XL_DT_TD!C46,DATA_TĐ!$1:$1,0)-1),0)</f>
        <v>0</v>
      </c>
      <c r="I46" s="118">
        <f ca="1">H46/DAY(NOW()-1)*'Hieu Qua NV'!$J$1</f>
        <v>0</v>
      </c>
      <c r="J46" s="118">
        <f t="shared" si="9"/>
        <v>1.899</v>
      </c>
      <c r="K46" s="118">
        <f ca="1">J46/'Hieu Qua NV'!$J$2</f>
        <v>8.2565217391304346E-2</v>
      </c>
      <c r="L46" s="119">
        <f t="shared" ca="1" si="7"/>
        <v>0</v>
      </c>
      <c r="M46" s="118">
        <f ca="1">IFERROR(
INDEX(
KB!$I$55:$AJ$68,
MATCH(E46,KB!$I$55:$I$68,0),
MATCH(D46,KB!$I$55:$AJ$55,0)
),
0)</f>
        <v>0</v>
      </c>
      <c r="S46" s="669" cm="1">
        <f t="array" aca="1" ref="S46" ca="1">_xlfn.IFS(
CONFIG!$B$8="W1",H46-N46,
CONFIG!$B$8="W2",H46-O46,
CONFIG!$B$8="W3",H46-P46,
CONFIG!$B$8="W4",H46-Q46,
CONFIG!$B$8="W5",H46-R46
)</f>
        <v>0</v>
      </c>
      <c r="T46" s="652">
        <f t="shared" ca="1" si="3"/>
        <v>0</v>
      </c>
    </row>
    <row r="47" spans="3:20" ht="19" customHeight="1">
      <c r="C47" s="116" t="str">
        <f>INDEX(KB!C:D,MATCH(D47,KB!D:D,0),1)</f>
        <v>Realme</v>
      </c>
      <c r="D47" s="116" t="s">
        <v>103</v>
      </c>
      <c r="E47" s="321" t="s">
        <v>151</v>
      </c>
      <c r="F47" s="116" t="str">
        <f t="shared" si="8"/>
        <v>RealmeTrần Huy Hoàn - 270828</v>
      </c>
      <c r="G47" s="118" cm="1">
        <f t="array" ref="G47">IFERROR(INDEX(KB!$I$38:$AJ$50,MATCH(XL_DT_TD!E47,KB!$I$38:$I$50,0),MATCH(XL_DT_TD!D47,KB!$J$37:$AJ$37,0)+1),0)</f>
        <v>1.5825</v>
      </c>
      <c r="H47" s="118" cm="1">
        <f t="array" ref="H47">IFERROR(INDEX(DATA_TĐ!$B$1:$AZ$19,MATCH(XL_DT_TD!E47,DATA_TĐ!B:B,0),MATCH(XL_DT_TD!C47,DATA_TĐ!$1:$1,0)-1),0)</f>
        <v>0</v>
      </c>
      <c r="I47" s="118">
        <f ca="1">H47/DAY(NOW()-1)*'Hieu Qua NV'!$J$1</f>
        <v>0</v>
      </c>
      <c r="J47" s="118">
        <f t="shared" si="9"/>
        <v>1.5825</v>
      </c>
      <c r="K47" s="118">
        <f ca="1">J47/'Hieu Qua NV'!$J$2</f>
        <v>6.8804347826086951E-2</v>
      </c>
      <c r="L47" s="119">
        <f t="shared" ca="1" si="7"/>
        <v>0</v>
      </c>
      <c r="M47" s="118">
        <f ca="1">IFERROR(
INDEX(
KB!$I$55:$AJ$68,
MATCH(E47,KB!$I$55:$I$68,0),
MATCH(D47,KB!$I$55:$AJ$55,0)
),
0)</f>
        <v>0</v>
      </c>
      <c r="S47" s="669" cm="1">
        <f t="array" aca="1" ref="S47" ca="1">_xlfn.IFS(
CONFIG!$B$8="W1",H47-N47,
CONFIG!$B$8="W2",H47-O47,
CONFIG!$B$8="W3",H47-P47,
CONFIG!$B$8="W4",H47-Q47,
CONFIG!$B$8="W5",H47-R47
)</f>
        <v>0</v>
      </c>
      <c r="T47" s="652">
        <f t="shared" ca="1" si="3"/>
        <v>0</v>
      </c>
    </row>
    <row r="48" spans="3:20" ht="19" customHeight="1">
      <c r="C48" s="116" t="str">
        <f>INDEX(KB!C:D,MATCH(D48,KB!D:D,0),1)</f>
        <v>Realme</v>
      </c>
      <c r="D48" s="116" t="s">
        <v>103</v>
      </c>
      <c r="E48" s="321" t="s">
        <v>293</v>
      </c>
      <c r="F48" s="116" t="str">
        <f t="shared" si="8"/>
        <v>RealmePhạm Văn Thanh - 279935</v>
      </c>
      <c r="G48" s="118" cm="1">
        <f t="array" ref="G48">IFERROR(INDEX(KB!$I$38:$AJ$50,MATCH(XL_DT_TD!E48,KB!$I$38:$I$50,0),MATCH(XL_DT_TD!D48,KB!$J$37:$AJ$37,0)+1),0)</f>
        <v>1.0550000000000002</v>
      </c>
      <c r="H48" s="118" cm="1">
        <f t="array" ref="H48">IFERROR(INDEX(DATA_TĐ!$B$1:$AZ$19,MATCH(XL_DT_TD!E48,DATA_TĐ!B:B,0),MATCH(XL_DT_TD!C48,DATA_TĐ!$1:$1,0)-1),0)</f>
        <v>6.47</v>
      </c>
      <c r="I48" s="118">
        <f ca="1">H48/DAY(NOW()-1)*'Hieu Qua NV'!$J$1</f>
        <v>32.35</v>
      </c>
      <c r="J48" s="118">
        <f t="shared" si="9"/>
        <v>-5.4149999999999991</v>
      </c>
      <c r="K48" s="118">
        <f ca="1">J48/'Hieu Qua NV'!$J$2</f>
        <v>-0.2354347826086956</v>
      </c>
      <c r="L48" s="119">
        <f t="shared" ca="1" si="7"/>
        <v>30.663507109004737</v>
      </c>
      <c r="M48" s="118">
        <f ca="1">IFERROR(
INDEX(
KB!$I$55:$AJ$68,
MATCH(E48,KB!$I$55:$I$68,0),
MATCH(D48,KB!$I$55:$AJ$55,0)
),
0)</f>
        <v>0</v>
      </c>
      <c r="S48" s="669" cm="1">
        <f t="array" aca="1" ref="S48" ca="1">_xlfn.IFS(
CONFIG!$B$8="W1",H48-N48,
CONFIG!$B$8="W2",H48-O48,
CONFIG!$B$8="W3",H48-P48,
CONFIG!$B$8="W4",H48-Q48,
CONFIG!$B$8="W5",H48-R48
)</f>
        <v>6.47</v>
      </c>
      <c r="T48" s="652">
        <f t="shared" ca="1" si="3"/>
        <v>0</v>
      </c>
    </row>
    <row r="49" spans="3:20" ht="19" customHeight="1">
      <c r="C49" s="116" t="str">
        <f>INDEX(KB!C:D,MATCH(D49,KB!D:D,0),1)</f>
        <v>Realme</v>
      </c>
      <c r="D49" s="116" t="s">
        <v>103</v>
      </c>
      <c r="E49" s="321" t="s">
        <v>433</v>
      </c>
      <c r="F49" s="116" t="str">
        <f t="shared" si="8"/>
        <v>RealmeNguyễn Thành Đạt - 280855</v>
      </c>
      <c r="G49" s="118" cm="1">
        <f t="array" ref="G49">IFERROR(INDEX(KB!$I$38:$AJ$50,MATCH(XL_DT_TD!E49,KB!$I$38:$I$50,0),MATCH(XL_DT_TD!D49,KB!$J$37:$AJ$37,0)+1),0)</f>
        <v>1.0550000000000002</v>
      </c>
      <c r="H49" s="118" cm="1">
        <f t="array" ref="H49">IFERROR(INDEX(DATA_TĐ!$B$1:$AZ$19,MATCH(XL_DT_TD!E49,DATA_TĐ!B:B,0),MATCH(XL_DT_TD!C49,DATA_TĐ!$1:$1,0)-1),0)</f>
        <v>0</v>
      </c>
      <c r="I49" s="118">
        <f ca="1">H49/DAY(NOW()-1)*'Hieu Qua NV'!$J$1</f>
        <v>0</v>
      </c>
      <c r="J49" s="118">
        <f t="shared" si="9"/>
        <v>1.0550000000000002</v>
      </c>
      <c r="K49" s="118">
        <f ca="1">J49/'Hieu Qua NV'!$J$2</f>
        <v>4.5869565217391314E-2</v>
      </c>
      <c r="L49" s="119">
        <f t="shared" ca="1" si="7"/>
        <v>0</v>
      </c>
      <c r="M49" s="118">
        <f ca="1">IFERROR(
INDEX(
KB!$I$55:$AJ$68,
MATCH(E49,KB!$I$55:$I$68,0),
MATCH(D49,KB!$I$55:$AJ$55,0)
),
0)</f>
        <v>0</v>
      </c>
      <c r="S49" s="669" cm="1">
        <f t="array" aca="1" ref="S49" ca="1">_xlfn.IFS(
CONFIG!$B$8="W1",H49-N49,
CONFIG!$B$8="W2",H49-O49,
CONFIG!$B$8="W3",H49-P49,
CONFIG!$B$8="W4",H49-Q49,
CONFIG!$B$8="W5",H49-R49
)</f>
        <v>0</v>
      </c>
      <c r="T49" s="652">
        <f t="shared" ca="1" si="3"/>
        <v>0</v>
      </c>
    </row>
    <row r="50" spans="3:20" ht="19" customHeight="1">
      <c r="C50" s="116" t="str">
        <f>INDEX(KB!C:D,MATCH(D50,KB!D:D,0),1)</f>
        <v>Realme</v>
      </c>
      <c r="D50" s="116" t="s">
        <v>103</v>
      </c>
      <c r="E50" s="321" t="s">
        <v>56</v>
      </c>
      <c r="F50" s="116" t="str">
        <f t="shared" si="8"/>
        <v>RealmeĐỗ Văn Duân - 62025</v>
      </c>
      <c r="G50" s="118" cm="1">
        <f t="array" ref="G50">IFERROR(INDEX(KB!$I$38:$AJ$50,MATCH(XL_DT_TD!E50,KB!$I$38:$I$50,0),MATCH(XL_DT_TD!D50,KB!$J$37:$AJ$37,0)+1),0)</f>
        <v>1.899</v>
      </c>
      <c r="H50" s="118" cm="1">
        <f t="array" ref="H50">IFERROR(INDEX(DATA_TĐ!$B$1:$AZ$19,MATCH(XL_DT_TD!E50,DATA_TĐ!B:B,0),MATCH(XL_DT_TD!C50,DATA_TĐ!$1:$1,0)-1),0)</f>
        <v>0</v>
      </c>
      <c r="I50" s="118">
        <f ca="1">H50/DAY(NOW()-1)*'Hieu Qua NV'!$J$1</f>
        <v>0</v>
      </c>
      <c r="J50" s="118">
        <f t="shared" si="9"/>
        <v>1.899</v>
      </c>
      <c r="K50" s="118">
        <f ca="1">J50/'Hieu Qua NV'!$J$2</f>
        <v>8.2565217391304346E-2</v>
      </c>
      <c r="L50" s="119">
        <f t="shared" ca="1" si="7"/>
        <v>0</v>
      </c>
      <c r="M50" s="118">
        <f ca="1">IFERROR(
INDEX(
KB!$I$55:$AJ$68,
MATCH(E50,KB!$I$55:$I$68,0),
MATCH(D50,KB!$I$55:$AJ$55,0)
),
0)</f>
        <v>0</v>
      </c>
      <c r="N50" s="660"/>
      <c r="S50" s="669" cm="1">
        <f t="array" aca="1" ref="S50" ca="1">_xlfn.IFS(
CONFIG!$B$8="W1",H50-N50,
CONFIG!$B$8="W2",H50-O50,
CONFIG!$B$8="W3",H50-P50,
CONFIG!$B$8="W4",H50-Q50,
CONFIG!$B$8="W5",H50-R50
)</f>
        <v>0</v>
      </c>
      <c r="T50" s="652">
        <f t="shared" ca="1" si="3"/>
        <v>0</v>
      </c>
    </row>
    <row r="51" spans="3:20" ht="19" customHeight="1">
      <c r="C51" s="116" t="str">
        <f>INDEX(KB!C:D,MATCH(D51,KB!D:D,0),1)</f>
        <v>Realme</v>
      </c>
      <c r="D51" s="116" t="s">
        <v>103</v>
      </c>
      <c r="E51" s="321" t="s">
        <v>530</v>
      </c>
      <c r="F51" s="116" t="str">
        <f t="shared" si="8"/>
        <v>RealmeNhân viên Mới 1</v>
      </c>
      <c r="G51" s="118" cm="1">
        <f t="array" ref="G51">IFERROR(INDEX(KB!$I$38:$AJ$50,MATCH(XL_DT_TD!E51,KB!$I$38:$I$50,0),MATCH(XL_DT_TD!D51,KB!$J$37:$AJ$37,0)+1),0)</f>
        <v>0</v>
      </c>
      <c r="H51" s="118" cm="1">
        <f t="array" ref="H51">IFERROR(INDEX(DATA_TĐ!$B$1:$AZ$19,MATCH(XL_DT_TD!E51,DATA_TĐ!B:B,0),MATCH(XL_DT_TD!C51,DATA_TĐ!$1:$1,0)-1),0)</f>
        <v>0</v>
      </c>
      <c r="I51" s="118">
        <f ca="1">H51/DAY(NOW()-1)*'Hieu Qua NV'!$J$1</f>
        <v>0</v>
      </c>
      <c r="J51" s="118">
        <f t="shared" si="9"/>
        <v>0</v>
      </c>
      <c r="K51" s="118">
        <f ca="1">J51/'Hieu Qua NV'!$J$2</f>
        <v>0</v>
      </c>
      <c r="L51" s="119" t="e">
        <f t="shared" ca="1" si="7"/>
        <v>#DIV/0!</v>
      </c>
      <c r="M51" s="118">
        <f ca="1">IFERROR(
INDEX(
KB!$I$55:$AJ$68,
MATCH(E51,KB!$I$55:$I$68,0),
MATCH(D51,KB!$I$55:$AJ$55,0)
),
0)</f>
        <v>0</v>
      </c>
      <c r="N51" s="660"/>
      <c r="S51" s="669" cm="1">
        <f t="array" aca="1" ref="S51" ca="1">_xlfn.IFS(
CONFIG!$B$8="W1",H51-N51,
CONFIG!$B$8="W2",H51-O51,
CONFIG!$B$8="W3",H51-P51,
CONFIG!$B$8="W4",H51-Q51,
CONFIG!$B$8="W5",H51-R51
)</f>
        <v>0</v>
      </c>
      <c r="T51" s="652">
        <f t="shared" ca="1" si="3"/>
        <v>0</v>
      </c>
    </row>
    <row r="52" spans="3:20" ht="19" customHeight="1">
      <c r="C52" s="116" t="str">
        <f>INDEX(KB!C:D,MATCH(D52,KB!D:D,0),1)</f>
        <v>Realme</v>
      </c>
      <c r="D52" s="116" t="s">
        <v>103</v>
      </c>
      <c r="E52" s="321" t="s">
        <v>560</v>
      </c>
      <c r="F52" s="116" t="str">
        <f t="shared" si="8"/>
        <v>RealmeNhân viên Mới 2</v>
      </c>
      <c r="G52" s="118" cm="1">
        <f t="array" ref="G52">IFERROR(INDEX(KB!$I$38:$AJ$50,MATCH(XL_DT_TD!E52,KB!$I$38:$I$50,0),MATCH(XL_DT_TD!D52,KB!$J$37:$AJ$37,0)+1),0)</f>
        <v>0</v>
      </c>
      <c r="H52" s="118" cm="1">
        <f t="array" ref="H52">IFERROR(INDEX(DATA_TĐ!$B$1:$AZ$19,MATCH(XL_DT_TD!E52,DATA_TĐ!B:B,0),MATCH(XL_DT_TD!C52,DATA_TĐ!$1:$1,0)-1),0)</f>
        <v>0</v>
      </c>
      <c r="I52" s="118">
        <f ca="1">H52/DAY(NOW()-1)*'Hieu Qua NV'!$J$1</f>
        <v>0</v>
      </c>
      <c r="J52" s="118">
        <f t="shared" si="9"/>
        <v>0</v>
      </c>
      <c r="K52" s="118">
        <f ca="1">J52/'Hieu Qua NV'!$J$2</f>
        <v>0</v>
      </c>
      <c r="L52" s="119" t="e">
        <f t="shared" ca="1" si="7"/>
        <v>#DIV/0!</v>
      </c>
      <c r="M52" s="118">
        <f ca="1">IFERROR(
INDEX(
KB!$I$55:$AJ$68,
MATCH(E52,KB!$I$55:$I$68,0),
MATCH(D52,KB!$I$55:$AJ$55,0)
),
0)</f>
        <v>0</v>
      </c>
      <c r="N52" s="660"/>
      <c r="S52" s="669" cm="1">
        <f t="array" aca="1" ref="S52" ca="1">_xlfn.IFS(
CONFIG!$B$8="W1",H52-N52,
CONFIG!$B$8="W2",H52-O52,
CONFIG!$B$8="W3",H52-P52,
CONFIG!$B$8="W4",H52-Q52,
CONFIG!$B$8="W5",H52-R52
)</f>
        <v>0</v>
      </c>
      <c r="T52" s="652">
        <f t="shared" ca="1" si="3"/>
        <v>0</v>
      </c>
    </row>
    <row r="53" spans="3:20" ht="19" customHeight="1">
      <c r="C53" s="116" t="str">
        <f>INDEX(KB!C:D,MATCH(D53,KB!D:D,0),1)</f>
        <v>Realme</v>
      </c>
      <c r="D53" s="116" t="s">
        <v>103</v>
      </c>
      <c r="E53" s="117" t="s">
        <v>281</v>
      </c>
      <c r="F53" s="116" t="str">
        <f t="shared" si="8"/>
        <v>RealmeTrần Thị Nhung - 11082</v>
      </c>
      <c r="G53" s="118" cm="1">
        <f t="array" ref="G53">IFERROR(INDEX(KB!$I$38:$AJ$50,MATCH(XL_DT_TD!E53,KB!$I$38:$I$50,0),MATCH(XL_DT_TD!D53,KB!$J$37:$AJ$37,0)+1),0)</f>
        <v>13.909000000000001</v>
      </c>
      <c r="H53" s="118" cm="1">
        <f t="array" ref="H53">IFERROR(
  INDEX(DATA_TĐ!$B$36:$Z$47,
    MATCH(TRUE, INDEX(TRIM(DATA_TĐ!$B$36:$B$45)=TRIM(E53),0),0),
    MATCH(TRUE, INDEX(TRIM(DATA_TĐ!$B$36:$Z$36)=TRIM(C53),0),0)
  ),
0)</f>
        <v>0</v>
      </c>
      <c r="I53" s="118">
        <f ca="1">H53/DAY(NOW()-1)*'Hieu Qua NV'!$J$1</f>
        <v>0</v>
      </c>
      <c r="J53" s="118">
        <f t="shared" si="9"/>
        <v>13.909000000000001</v>
      </c>
      <c r="K53" s="118">
        <f ca="1">J53/'Hieu Qua NV'!$J$2</f>
        <v>0.60473913043478267</v>
      </c>
      <c r="L53" s="119">
        <f t="shared" ca="1" si="7"/>
        <v>0</v>
      </c>
      <c r="M53" s="118">
        <f ca="1">IFERROR(
INDEX(
KB!$I$55:$AJ$68,
MATCH(E53,KB!$I$55:$I$68,0),
MATCH(D53,KB!$I$55:$AJ$55,0)
),
0)</f>
        <v>3</v>
      </c>
      <c r="N53" s="660"/>
      <c r="S53" s="669" cm="1">
        <f t="array" aca="1" ref="S53" ca="1">_xlfn.IFS(
CONFIG!$B$8="W1",H53-N53,
CONFIG!$B$8="W2",H53-O53,
CONFIG!$B$8="W3",H53-P53,
CONFIG!$B$8="W4",H53-Q53,
CONFIG!$B$8="W5",H53-R53
)</f>
        <v>0</v>
      </c>
      <c r="T53" s="652">
        <f t="shared" ca="1" si="3"/>
        <v>0</v>
      </c>
    </row>
    <row r="54" spans="3:20" ht="19" customHeight="1">
      <c r="C54" s="116" t="str">
        <f>INDEX(KB!C:D,MATCH(D54,KB!D:D,0),1)</f>
        <v>Realme</v>
      </c>
      <c r="D54" s="116" t="s">
        <v>103</v>
      </c>
      <c r="E54" s="117" t="s">
        <v>282</v>
      </c>
      <c r="F54" s="116" t="str">
        <f t="shared" si="8"/>
        <v>RealmeNguyễn Thị Phương Oanh - 164808</v>
      </c>
      <c r="G54" s="118" cm="1">
        <f t="array" ref="G54">IFERROR(INDEX(KB!$I$38:$AJ$50,MATCH(XL_DT_TD!E54,KB!$I$38:$I$50,0),MATCH(XL_DT_TD!D54,KB!$J$37:$AJ$37,0)+1),0)</f>
        <v>11.922000000000001</v>
      </c>
      <c r="H54" s="118" cm="1">
        <f t="array" ref="H54">IFERROR(
  INDEX(DATA_TĐ!$B$36:$Z$47,
    MATCH(TRUE, INDEX(TRIM(DATA_TĐ!$B$36:$B$45)=TRIM(E54),0),0),
    MATCH(TRUE, INDEX(TRIM(DATA_TĐ!$B$36:$Z$36)=TRIM(C54),0),0)
  ),
0)</f>
        <v>0</v>
      </c>
      <c r="I54" s="118">
        <f ca="1">H54/DAY(NOW()-1)*'Hieu Qua NV'!$J$1</f>
        <v>0</v>
      </c>
      <c r="J54" s="118">
        <f t="shared" si="9"/>
        <v>11.922000000000001</v>
      </c>
      <c r="K54" s="118">
        <f ca="1">J54/'Hieu Qua NV'!$J$2</f>
        <v>0.51834782608695651</v>
      </c>
      <c r="L54" s="119">
        <f t="shared" ca="1" si="7"/>
        <v>0</v>
      </c>
      <c r="M54" s="118">
        <f ca="1">IFERROR(
INDEX(
KB!$I$55:$AJ$68,
MATCH(E54,KB!$I$55:$I$68,0),
MATCH(D54,KB!$I$55:$AJ$55,0)
),
0)</f>
        <v>3</v>
      </c>
      <c r="N54" s="660"/>
      <c r="S54" s="669" cm="1">
        <f t="array" aca="1" ref="S54" ca="1">_xlfn.IFS(
CONFIG!$B$8="W1",H54-N54,
CONFIG!$B$8="W2",H54-O54,
CONFIG!$B$8="W3",H54-P54,
CONFIG!$B$8="W4",H54-Q54,
CONFIG!$B$8="W5",H54-R54
)</f>
        <v>0</v>
      </c>
      <c r="T54" s="652">
        <f t="shared" ca="1" si="3"/>
        <v>0</v>
      </c>
    </row>
    <row r="55" spans="3:20" ht="19" customHeight="1">
      <c r="C55" s="116" t="str">
        <f>INDEX(KB!C:D,MATCH(D55,KB!D:D,0),1)</f>
        <v>Realme</v>
      </c>
      <c r="D55" s="116" t="s">
        <v>103</v>
      </c>
      <c r="E55" s="117" t="s">
        <v>283</v>
      </c>
      <c r="F55" s="116" t="str">
        <f t="shared" si="8"/>
        <v>RealmeNguyễn Anh Tài - 269055</v>
      </c>
      <c r="G55" s="118" cm="1">
        <f t="array" ref="G55">IFERROR(INDEX(KB!$I$38:$AJ$50,MATCH(XL_DT_TD!E55,KB!$I$38:$I$50,0),MATCH(XL_DT_TD!D55,KB!$J$37:$AJ$37,0)+1),0)</f>
        <v>9.9350000000000005</v>
      </c>
      <c r="H55" s="118" cm="1">
        <f t="array" ref="H55">IFERROR(
  INDEX(DATA_TĐ!$B$36:$Z$47,
    MATCH(TRUE, INDEX(TRIM(DATA_TĐ!$B$36:$B$45)=TRIM(E55),0),0),
    MATCH(TRUE, INDEX(TRIM(DATA_TĐ!$B$36:$Z$36)=TRIM(C55),0),0)
  ),
0)</f>
        <v>0</v>
      </c>
      <c r="I55" s="118">
        <f ca="1">H55/DAY(NOW()-1)*'Hieu Qua NV'!$J$1</f>
        <v>0</v>
      </c>
      <c r="J55" s="118">
        <f t="shared" si="9"/>
        <v>9.9350000000000005</v>
      </c>
      <c r="K55" s="118">
        <f ca="1">J55/'Hieu Qua NV'!$J$2</f>
        <v>0.43195652173913046</v>
      </c>
      <c r="L55" s="119">
        <f t="shared" ca="1" si="7"/>
        <v>0</v>
      </c>
      <c r="M55" s="118">
        <f ca="1">IFERROR(
INDEX(
KB!$I$55:$AJ$68,
MATCH(E55,KB!$I$55:$I$68,0),
MATCH(D55,KB!$I$55:$AJ$55,0)
),
0)</f>
        <v>2</v>
      </c>
      <c r="N55" s="660"/>
      <c r="S55" s="669" cm="1">
        <f t="array" aca="1" ref="S55" ca="1">_xlfn.IFS(
CONFIG!$B$8="W1",H55-N55,
CONFIG!$B$8="W2",H55-O55,
CONFIG!$B$8="W3",H55-P55,
CONFIG!$B$8="W4",H55-Q55,
CONFIG!$B$8="W5",H55-R55
)</f>
        <v>0</v>
      </c>
      <c r="T55" s="652">
        <f t="shared" ca="1" si="3"/>
        <v>0</v>
      </c>
    </row>
    <row r="56" spans="3:20" ht="19" customHeight="1">
      <c r="C56" s="116" t="str">
        <f>INDEX(KB!C:D,MATCH(D56,KB!D:D,0),1)</f>
        <v>Realme</v>
      </c>
      <c r="D56" s="116" t="s">
        <v>103</v>
      </c>
      <c r="E56" s="117" t="s">
        <v>284</v>
      </c>
      <c r="F56" s="116" t="str">
        <f t="shared" si="8"/>
        <v>RealmeLê Văn Hợp - 279884</v>
      </c>
      <c r="G56" s="118" cm="1">
        <f t="array" ref="G56">IFERROR(INDEX(KB!$I$38:$AJ$50,MATCH(XL_DT_TD!E56,KB!$I$38:$I$50,0),MATCH(XL_DT_TD!D56,KB!$J$37:$AJ$37,0)+1),0)</f>
        <v>3.9740000000000002</v>
      </c>
      <c r="H56" s="118" cm="1">
        <f t="array" ref="H56">IFERROR(
  INDEX(DATA_TĐ!$B$36:$Z$47,
    MATCH(TRUE, INDEX(TRIM(DATA_TĐ!$B$36:$B$45)=TRIM(E56),0),0),
    MATCH(TRUE, INDEX(TRIM(DATA_TĐ!$B$36:$Z$36)=TRIM(C56),0),0)
  ),
0)</f>
        <v>0</v>
      </c>
      <c r="I56" s="118">
        <f ca="1">H56/DAY(NOW()-1)*'Hieu Qua NV'!$J$1</f>
        <v>0</v>
      </c>
      <c r="J56" s="118">
        <f t="shared" si="9"/>
        <v>3.9740000000000002</v>
      </c>
      <c r="K56" s="118">
        <f ca="1">J56/'Hieu Qua NV'!$J$2</f>
        <v>0.17278260869565218</v>
      </c>
      <c r="L56" s="119">
        <f t="shared" ca="1" si="7"/>
        <v>0</v>
      </c>
      <c r="M56" s="118">
        <f ca="1">IFERROR(
INDEX(
KB!$I$55:$AJ$68,
MATCH(E56,KB!$I$55:$I$68,0),
MATCH(D56,KB!$I$55:$AJ$55,0)
),
0)</f>
        <v>1</v>
      </c>
      <c r="S56" s="669" cm="1">
        <f t="array" aca="1" ref="S56" ca="1">_xlfn.IFS(
CONFIG!$B$8="W1",H56-N56,
CONFIG!$B$8="W2",H56-O56,
CONFIG!$B$8="W3",H56-P56,
CONFIG!$B$8="W4",H56-Q56,
CONFIG!$B$8="W5",H56-R56
)</f>
        <v>0</v>
      </c>
      <c r="T56" s="652">
        <f t="shared" ca="1" si="3"/>
        <v>0</v>
      </c>
    </row>
    <row r="57" spans="3:20" ht="19" customHeight="1">
      <c r="C57" s="120" t="str">
        <f>INDEX(KB!C:D,MATCH(D57,KB!D:D,0),1)</f>
        <v>Realme</v>
      </c>
      <c r="D57" s="120" t="s">
        <v>103</v>
      </c>
      <c r="E57" s="120" t="s">
        <v>20</v>
      </c>
      <c r="F57" s="121" t="str">
        <f t="shared" si="8"/>
        <v>RealmeTổng</v>
      </c>
      <c r="G57" s="122">
        <f t="shared" ref="G57" si="16">SUM(G44:G55)</f>
        <v>46.421500000000009</v>
      </c>
      <c r="H57" s="122">
        <f t="shared" ref="H57:I57" si="17">SUM(H44:H55)</f>
        <v>6.47</v>
      </c>
      <c r="I57" s="122">
        <f t="shared" ca="1" si="17"/>
        <v>32.35</v>
      </c>
      <c r="J57" s="122">
        <f t="shared" si="9"/>
        <v>39.95150000000001</v>
      </c>
      <c r="K57" s="122">
        <f ca="1">J57/'Hieu Qua NV'!$J$2</f>
        <v>1.7370217391304352</v>
      </c>
      <c r="L57" s="119">
        <f t="shared" ca="1" si="7"/>
        <v>0.69687537024869928</v>
      </c>
      <c r="M57" s="122">
        <f t="shared" ref="M57" ca="1" si="18">SUM(M44:M55)</f>
        <v>8</v>
      </c>
      <c r="S57" s="669" cm="1">
        <f t="array" aca="1" ref="S57" ca="1">_xlfn.IFS(
CONFIG!$B$8="W1",H57-N57,
CONFIG!$B$8="W2",H57-O57,
CONFIG!$B$8="W3",H57-P57,
CONFIG!$B$8="W4",H57-Q57,
CONFIG!$B$8="W5",H57-R57
)</f>
        <v>6.47</v>
      </c>
      <c r="T57" s="652">
        <f t="shared" ca="1" si="3"/>
        <v>0.80874999999999997</v>
      </c>
    </row>
    <row r="58" spans="3:20" ht="19" customHeight="1">
      <c r="C58" s="116" t="str">
        <f>INDEX(KB!C:D,MATCH(D58,KB!D:D,0),1)</f>
        <v>Sim Tổng</v>
      </c>
      <c r="D58" s="116" t="s">
        <v>112</v>
      </c>
      <c r="E58" s="321" t="s">
        <v>57</v>
      </c>
      <c r="F58" s="116" t="str">
        <f t="shared" si="8"/>
        <v>Sim TổngNguyễn Thị Ngọc - 54026</v>
      </c>
      <c r="G58" s="118" cm="1">
        <f t="array" ref="G58">IFERROR(INDEX(KB!$I$38:$AJ$50,MATCH(XL_DT_TD!E58,KB!$I$38:$I$50,0),MATCH(XL_DT_TD!D58,KB!$J$37:$AJ$37,0)+1),0)</f>
        <v>2.88</v>
      </c>
      <c r="H58" s="118" cm="1">
        <f t="array" ref="H58">IFERROR(INDEX(DATA_TĐ!$B$1:$AZ$19,MATCH(XL_DT_TD!E58,DATA_TĐ!B:B,0),MATCH(XL_DT_TD!C58,DATA_TĐ!$1:$1,0)-1),0)</f>
        <v>0</v>
      </c>
      <c r="I58" s="118">
        <f ca="1">H58/DAY(NOW()-1)*'Hieu Qua NV'!$J$1</f>
        <v>0</v>
      </c>
      <c r="J58" s="118">
        <f t="shared" si="9"/>
        <v>2.88</v>
      </c>
      <c r="K58" s="118">
        <f ca="1">J58/'Hieu Qua NV'!$J$2</f>
        <v>0.12521739130434781</v>
      </c>
      <c r="L58" s="119">
        <f t="shared" ca="1" si="7"/>
        <v>0</v>
      </c>
      <c r="M58" s="118">
        <f ca="1">IFERROR(
INDEX(
KB!$I$55:$AJ$68,
MATCH(E58,KB!$I$55:$I$68,0),
MATCH(D58,KB!$I$55:$AJ$55,0)
),
0)</f>
        <v>1</v>
      </c>
      <c r="S58" s="669" cm="1">
        <f t="array" aca="1" ref="S58" ca="1">_xlfn.IFS(
CONFIG!$B$8="W1",H58-N58,
CONFIG!$B$8="W2",H58-O58,
CONFIG!$B$8="W3",H58-P58,
CONFIG!$B$8="W4",H58-Q58,
CONFIG!$B$8="W5",H58-R58
)</f>
        <v>0</v>
      </c>
      <c r="T58" s="652">
        <f t="shared" ca="1" si="3"/>
        <v>0</v>
      </c>
    </row>
    <row r="59" spans="3:20" ht="19" customHeight="1">
      <c r="C59" s="116" t="str">
        <f>INDEX(KB!C:D,MATCH(D59,KB!D:D,0),1)</f>
        <v>Sim Tổng</v>
      </c>
      <c r="D59" s="116" t="s">
        <v>112</v>
      </c>
      <c r="E59" s="321" t="s">
        <v>60</v>
      </c>
      <c r="F59" s="116" t="str">
        <f t="shared" si="8"/>
        <v>Sim TổngNguyễn Viết Sơn - 94065</v>
      </c>
      <c r="G59" s="118" cm="1">
        <f t="array" ref="G59">IFERROR(INDEX(KB!$I$38:$AJ$50,MATCH(XL_DT_TD!E59,KB!$I$38:$I$50,0),MATCH(XL_DT_TD!D59,KB!$J$37:$AJ$37,0)+1),0)</f>
        <v>3.52</v>
      </c>
      <c r="H59" s="118" cm="1">
        <f t="array" ref="H59">IFERROR(INDEX(DATA_TĐ!$B$1:$AZ$19,MATCH(XL_DT_TD!E59,DATA_TĐ!B:B,0),MATCH(XL_DT_TD!C59,DATA_TĐ!$1:$1,0)-1),0)</f>
        <v>0</v>
      </c>
      <c r="I59" s="118">
        <f ca="1">H59/DAY(NOW()-1)*'Hieu Qua NV'!$J$1</f>
        <v>0</v>
      </c>
      <c r="J59" s="118">
        <f t="shared" si="9"/>
        <v>3.52</v>
      </c>
      <c r="K59" s="118">
        <f ca="1">J59/'Hieu Qua NV'!$J$2</f>
        <v>0.15304347826086956</v>
      </c>
      <c r="L59" s="119">
        <f t="shared" ca="1" si="7"/>
        <v>0</v>
      </c>
      <c r="M59" s="118">
        <f ca="1">IFERROR(
INDEX(
KB!$I$55:$AJ$68,
MATCH(E59,KB!$I$55:$I$68,0),
MATCH(D59,KB!$I$55:$AJ$55,0)
),
0)</f>
        <v>1</v>
      </c>
      <c r="S59" s="669" cm="1">
        <f t="array" aca="1" ref="S59" ca="1">_xlfn.IFS(
CONFIG!$B$8="W1",H59-N59,
CONFIG!$B$8="W2",H59-O59,
CONFIG!$B$8="W3",H59-P59,
CONFIG!$B$8="W4",H59-Q59,
CONFIG!$B$8="W5",H59-R59
)</f>
        <v>0</v>
      </c>
      <c r="T59" s="652">
        <f t="shared" ca="1" si="3"/>
        <v>0</v>
      </c>
    </row>
    <row r="60" spans="3:20" ht="19" customHeight="1">
      <c r="C60" s="116" t="str">
        <f>INDEX(KB!C:D,MATCH(D60,KB!D:D,0),1)</f>
        <v>Sim Tổng</v>
      </c>
      <c r="D60" s="116" t="s">
        <v>112</v>
      </c>
      <c r="E60" s="321" t="s">
        <v>15</v>
      </c>
      <c r="F60" s="116" t="str">
        <f t="shared" si="8"/>
        <v>Sim TổngNguyễn Trang Nhung - 25734</v>
      </c>
      <c r="G60" s="118" cm="1">
        <f t="array" ref="G60">IFERROR(INDEX(KB!$I$38:$AJ$50,MATCH(XL_DT_TD!E60,KB!$I$38:$I$50,0),MATCH(XL_DT_TD!D60,KB!$J$37:$AJ$37,0)+1),0)</f>
        <v>2.88</v>
      </c>
      <c r="H60" s="118" cm="1">
        <f t="array" ref="H60">IFERROR(INDEX(DATA_TĐ!$B$1:$AZ$19,MATCH(XL_DT_TD!E60,DATA_TĐ!B:B,0),MATCH(XL_DT_TD!C60,DATA_TĐ!$1:$1,0)-1),0)</f>
        <v>1</v>
      </c>
      <c r="I60" s="118">
        <f ca="1">H60/DAY(NOW()-1)*'Hieu Qua NV'!$J$1</f>
        <v>5</v>
      </c>
      <c r="J60" s="118">
        <f t="shared" si="9"/>
        <v>1.88</v>
      </c>
      <c r="K60" s="118">
        <f ca="1">J60/'Hieu Qua NV'!$J$2</f>
        <v>8.1739130434782606E-2</v>
      </c>
      <c r="L60" s="119">
        <f t="shared" ca="1" si="7"/>
        <v>1.7361111111111112</v>
      </c>
      <c r="M60" s="118">
        <f ca="1">IFERROR(
INDEX(
KB!$I$55:$AJ$68,
MATCH(E60,KB!$I$55:$I$68,0),
MATCH(D60,KB!$I$55:$AJ$55,0)
),
0)</f>
        <v>1</v>
      </c>
      <c r="S60" s="669" cm="1">
        <f t="array" aca="1" ref="S60" ca="1">_xlfn.IFS(
CONFIG!$B$8="W1",H60-N60,
CONFIG!$B$8="W2",H60-O60,
CONFIG!$B$8="W3",H60-P60,
CONFIG!$B$8="W4",H60-Q60,
CONFIG!$B$8="W5",H60-R60
)</f>
        <v>1</v>
      </c>
      <c r="T60" s="652">
        <f t="shared" ca="1" si="3"/>
        <v>1</v>
      </c>
    </row>
    <row r="61" spans="3:20" ht="19" customHeight="1">
      <c r="C61" s="116" t="str">
        <f>INDEX(KB!C:D,MATCH(D61,KB!D:D,0),1)</f>
        <v>Sim Tổng</v>
      </c>
      <c r="D61" s="116" t="s">
        <v>112</v>
      </c>
      <c r="E61" s="321" t="s">
        <v>151</v>
      </c>
      <c r="F61" s="116" t="str">
        <f t="shared" si="8"/>
        <v>Sim TổngTrần Huy Hoàn - 270828</v>
      </c>
      <c r="G61" s="118" cm="1">
        <f t="array" ref="G61">IFERROR(INDEX(KB!$I$38:$AJ$50,MATCH(XL_DT_TD!E61,KB!$I$38:$I$50,0),MATCH(XL_DT_TD!D61,KB!$J$37:$AJ$37,0)+1),0)</f>
        <v>2.4</v>
      </c>
      <c r="H61" s="118" cm="1">
        <f t="array" ref="H61">IFERROR(INDEX(DATA_TĐ!$B$1:$AZ$19,MATCH(XL_DT_TD!E61,DATA_TĐ!B:B,0),MATCH(XL_DT_TD!C61,DATA_TĐ!$1:$1,0)-1),0)</f>
        <v>0</v>
      </c>
      <c r="I61" s="118">
        <f ca="1">H61/DAY(NOW()-1)*'Hieu Qua NV'!$J$1</f>
        <v>0</v>
      </c>
      <c r="J61" s="118">
        <f t="shared" si="9"/>
        <v>2.4</v>
      </c>
      <c r="K61" s="118">
        <f ca="1">J61/'Hieu Qua NV'!$J$2</f>
        <v>0.10434782608695652</v>
      </c>
      <c r="L61" s="119">
        <f t="shared" ca="1" si="7"/>
        <v>0</v>
      </c>
      <c r="M61" s="118">
        <f ca="1">IFERROR(
INDEX(
KB!$I$55:$AJ$68,
MATCH(E61,KB!$I$55:$I$68,0),
MATCH(D61,KB!$I$55:$AJ$55,0)
),
0)</f>
        <v>1</v>
      </c>
      <c r="S61" s="669" cm="1">
        <f t="array" aca="1" ref="S61" ca="1">_xlfn.IFS(
CONFIG!$B$8="W1",H61-N61,
CONFIG!$B$8="W2",H61-O61,
CONFIG!$B$8="W3",H61-P61,
CONFIG!$B$8="W4",H61-Q61,
CONFIG!$B$8="W5",H61-R61
)</f>
        <v>0</v>
      </c>
      <c r="T61" s="652">
        <f t="shared" ca="1" si="3"/>
        <v>0</v>
      </c>
    </row>
    <row r="62" spans="3:20" ht="19" customHeight="1">
      <c r="C62" s="116" t="str">
        <f>INDEX(KB!C:D,MATCH(D62,KB!D:D,0),1)</f>
        <v>Sim Tổng</v>
      </c>
      <c r="D62" s="116" t="s">
        <v>112</v>
      </c>
      <c r="E62" s="321" t="s">
        <v>293</v>
      </c>
      <c r="F62" s="116" t="str">
        <f t="shared" si="8"/>
        <v>Sim TổngPhạm Văn Thanh - 279935</v>
      </c>
      <c r="G62" s="118" cm="1">
        <f t="array" ref="G62">IFERROR(INDEX(KB!$I$38:$AJ$50,MATCH(XL_DT_TD!E62,KB!$I$38:$I$50,0),MATCH(XL_DT_TD!D62,KB!$J$37:$AJ$37,0)+1),0)</f>
        <v>1.6</v>
      </c>
      <c r="H62" s="118" cm="1">
        <f t="array" ref="H62">IFERROR(INDEX(DATA_TĐ!$B$1:$AZ$19,MATCH(XL_DT_TD!E62,DATA_TĐ!B:B,0),MATCH(XL_DT_TD!C62,DATA_TĐ!$1:$1,0)-1),0)</f>
        <v>0</v>
      </c>
      <c r="I62" s="118">
        <f ca="1">H62/DAY(NOW()-1)*'Hieu Qua NV'!$J$1</f>
        <v>0</v>
      </c>
      <c r="J62" s="118">
        <f t="shared" si="9"/>
        <v>1.6</v>
      </c>
      <c r="K62" s="118">
        <f ca="1">J62/'Hieu Qua NV'!$J$2</f>
        <v>6.9565217391304349E-2</v>
      </c>
      <c r="L62" s="119">
        <f t="shared" ca="1" si="7"/>
        <v>0</v>
      </c>
      <c r="M62" s="118">
        <f ca="1">IFERROR(
INDEX(
KB!$I$55:$AJ$68,
MATCH(E62,KB!$I$55:$I$68,0),
MATCH(D62,KB!$I$55:$AJ$55,0)
),
0)</f>
        <v>0</v>
      </c>
      <c r="S62" s="669" cm="1">
        <f t="array" aca="1" ref="S62" ca="1">_xlfn.IFS(
CONFIG!$B$8="W1",H62-N62,
CONFIG!$B$8="W2",H62-O62,
CONFIG!$B$8="W3",H62-P62,
CONFIG!$B$8="W4",H62-Q62,
CONFIG!$B$8="W5",H62-R62
)</f>
        <v>0</v>
      </c>
      <c r="T62" s="652">
        <f t="shared" ca="1" si="3"/>
        <v>0</v>
      </c>
    </row>
    <row r="63" spans="3:20" ht="19" customHeight="1">
      <c r="C63" s="116" t="str">
        <f>INDEX(KB!C:D,MATCH(D63,KB!D:D,0),1)</f>
        <v>Sim Tổng</v>
      </c>
      <c r="D63" s="116" t="s">
        <v>112</v>
      </c>
      <c r="E63" s="321" t="s">
        <v>433</v>
      </c>
      <c r="F63" s="116" t="str">
        <f t="shared" si="8"/>
        <v>Sim TổngNguyễn Thành Đạt - 280855</v>
      </c>
      <c r="G63" s="118" cm="1">
        <f t="array" ref="G63">IFERROR(INDEX(KB!$I$38:$AJ$50,MATCH(XL_DT_TD!E63,KB!$I$38:$I$50,0),MATCH(XL_DT_TD!D63,KB!$J$37:$AJ$37,0)+1),0)</f>
        <v>1.6</v>
      </c>
      <c r="H63" s="118" cm="1">
        <f t="array" ref="H63">IFERROR(INDEX(DATA_TĐ!$B$1:$AZ$19,MATCH(XL_DT_TD!E63,DATA_TĐ!B:B,0),MATCH(XL_DT_TD!C63,DATA_TĐ!$1:$1,0)-1),0)</f>
        <v>0</v>
      </c>
      <c r="I63" s="118">
        <f ca="1">H63/DAY(NOW()-1)*'Hieu Qua NV'!$J$1</f>
        <v>0</v>
      </c>
      <c r="J63" s="118">
        <f t="shared" si="9"/>
        <v>1.6</v>
      </c>
      <c r="K63" s="118">
        <f ca="1">J63/'Hieu Qua NV'!$J$2</f>
        <v>6.9565217391304349E-2</v>
      </c>
      <c r="L63" s="119">
        <f t="shared" ca="1" si="7"/>
        <v>0</v>
      </c>
      <c r="M63" s="118">
        <f ca="1">IFERROR(
INDEX(
KB!$I$55:$AJ$68,
MATCH(E63,KB!$I$55:$I$68,0),
MATCH(D63,KB!$I$55:$AJ$55,0)
),
0)</f>
        <v>0</v>
      </c>
      <c r="S63" s="669" cm="1">
        <f t="array" aca="1" ref="S63" ca="1">_xlfn.IFS(
CONFIG!$B$8="W1",H63-N63,
CONFIG!$B$8="W2",H63-O63,
CONFIG!$B$8="W3",H63-P63,
CONFIG!$B$8="W4",H63-Q63,
CONFIG!$B$8="W5",H63-R63
)</f>
        <v>0</v>
      </c>
      <c r="T63" s="652">
        <f t="shared" ca="1" si="3"/>
        <v>0</v>
      </c>
    </row>
    <row r="64" spans="3:20" ht="19" customHeight="1">
      <c r="C64" s="116" t="str">
        <f>INDEX(KB!C:D,MATCH(D64,KB!D:D,0),1)</f>
        <v>Sim Tổng</v>
      </c>
      <c r="D64" s="116" t="s">
        <v>112</v>
      </c>
      <c r="E64" s="321" t="s">
        <v>56</v>
      </c>
      <c r="F64" s="116" t="str">
        <f t="shared" si="8"/>
        <v>Sim TổngĐỗ Văn Duân - 62025</v>
      </c>
      <c r="G64" s="118" cm="1">
        <f t="array" ref="G64">IFERROR(INDEX(KB!$I$38:$AJ$50,MATCH(XL_DT_TD!E64,KB!$I$38:$I$50,0),MATCH(XL_DT_TD!D64,KB!$J$37:$AJ$37,0)+1),0)</f>
        <v>2.88</v>
      </c>
      <c r="H64" s="118" cm="1">
        <f t="array" ref="H64">IFERROR(INDEX(DATA_TĐ!$B$1:$AZ$19,MATCH(XL_DT_TD!E64,DATA_TĐ!B:B,0),MATCH(XL_DT_TD!C64,DATA_TĐ!$1:$1,0)-1),0)</f>
        <v>0</v>
      </c>
      <c r="I64" s="118">
        <f ca="1">H64/DAY(NOW()-1)*'Hieu Qua NV'!$J$1</f>
        <v>0</v>
      </c>
      <c r="J64" s="118">
        <f t="shared" si="9"/>
        <v>2.88</v>
      </c>
      <c r="K64" s="118">
        <f ca="1">J64/'Hieu Qua NV'!$J$2</f>
        <v>0.12521739130434781</v>
      </c>
      <c r="L64" s="119">
        <f t="shared" ca="1" si="7"/>
        <v>0</v>
      </c>
      <c r="M64" s="118">
        <f ca="1">IFERROR(
INDEX(
KB!$I$55:$AJ$68,
MATCH(E64,KB!$I$55:$I$68,0),
MATCH(D64,KB!$I$55:$AJ$55,0)
),
0)</f>
        <v>1</v>
      </c>
      <c r="S64" s="669" cm="1">
        <f t="array" aca="1" ref="S64" ca="1">_xlfn.IFS(
CONFIG!$B$8="W1",H64-N64,
CONFIG!$B$8="W2",H64-O64,
CONFIG!$B$8="W3",H64-P64,
CONFIG!$B$8="W4",H64-Q64,
CONFIG!$B$8="W5",H64-R64
)</f>
        <v>0</v>
      </c>
      <c r="T64" s="652">
        <f t="shared" ca="1" si="3"/>
        <v>0</v>
      </c>
    </row>
    <row r="65" spans="3:20" ht="19" customHeight="1">
      <c r="C65" s="116" t="str">
        <f>INDEX(KB!C:D,MATCH(D65,KB!D:D,0),1)</f>
        <v>Sim Tổng</v>
      </c>
      <c r="D65" s="116" t="s">
        <v>112</v>
      </c>
      <c r="E65" s="321" t="s">
        <v>530</v>
      </c>
      <c r="F65" s="116" t="str">
        <f t="shared" si="8"/>
        <v>Sim TổngNhân viên Mới 1</v>
      </c>
      <c r="G65" s="118" cm="1">
        <f t="array" ref="G65">IFERROR(INDEX(KB!$I$38:$AJ$50,MATCH(XL_DT_TD!E65,KB!$I$38:$I$50,0),MATCH(XL_DT_TD!D65,KB!$J$37:$AJ$37,0)+1),0)</f>
        <v>0</v>
      </c>
      <c r="H65" s="118" cm="1">
        <f t="array" ref="H65">IFERROR(INDEX(DATA_TĐ!$B$1:$AZ$19,MATCH(XL_DT_TD!E65,DATA_TĐ!B:B,0),MATCH(XL_DT_TD!C65,DATA_TĐ!$1:$1,0)-1),0)</f>
        <v>0</v>
      </c>
      <c r="I65" s="118">
        <f ca="1">H65/DAY(NOW()-1)*'Hieu Qua NV'!$J$1</f>
        <v>0</v>
      </c>
      <c r="J65" s="118">
        <f t="shared" si="9"/>
        <v>0</v>
      </c>
      <c r="K65" s="118">
        <f ca="1">J65/'Hieu Qua NV'!$J$2</f>
        <v>0</v>
      </c>
      <c r="L65" s="119" t="e">
        <f t="shared" ca="1" si="7"/>
        <v>#DIV/0!</v>
      </c>
      <c r="M65" s="118">
        <f ca="1">IFERROR(
INDEX(
KB!$I$55:$AJ$68,
MATCH(E65,KB!$I$55:$I$68,0),
MATCH(D65,KB!$I$55:$AJ$55,0)
),
0)</f>
        <v>0</v>
      </c>
      <c r="S65" s="669" cm="1">
        <f t="array" aca="1" ref="S65" ca="1">_xlfn.IFS(
CONFIG!$B$8="W1",H65-N65,
CONFIG!$B$8="W2",H65-O65,
CONFIG!$B$8="W3",H65-P65,
CONFIG!$B$8="W4",H65-Q65,
CONFIG!$B$8="W5",H65-R65
)</f>
        <v>0</v>
      </c>
      <c r="T65" s="652">
        <f t="shared" ca="1" si="3"/>
        <v>0</v>
      </c>
    </row>
    <row r="66" spans="3:20" ht="19" customHeight="1">
      <c r="C66" s="116" t="str">
        <f>INDEX(KB!C:D,MATCH(D66,KB!D:D,0),1)</f>
        <v>Sim Tổng</v>
      </c>
      <c r="D66" s="116" t="s">
        <v>112</v>
      </c>
      <c r="E66" s="321" t="s">
        <v>560</v>
      </c>
      <c r="F66" s="116" t="str">
        <f t="shared" si="8"/>
        <v>Sim TổngNhân viên Mới 2</v>
      </c>
      <c r="G66" s="118" cm="1">
        <f t="array" ref="G66">IFERROR(INDEX(KB!$I$38:$AJ$50,MATCH(XL_DT_TD!E66,KB!$I$38:$I$50,0),MATCH(XL_DT_TD!D66,KB!$J$37:$AJ$37,0)+1),0)</f>
        <v>0</v>
      </c>
      <c r="H66" s="118" cm="1">
        <f t="array" ref="H66">IFERROR(INDEX(DATA_TĐ!$B$1:$AZ$19,MATCH(XL_DT_TD!E66,DATA_TĐ!B:B,0),MATCH(XL_DT_TD!C66,DATA_TĐ!$1:$1,0)-1),0)</f>
        <v>0</v>
      </c>
      <c r="I66" s="118">
        <f ca="1">H66/DAY(NOW()-1)*'Hieu Qua NV'!$J$1</f>
        <v>0</v>
      </c>
      <c r="J66" s="118">
        <f t="shared" si="9"/>
        <v>0</v>
      </c>
      <c r="K66" s="118">
        <f ca="1">J66/'Hieu Qua NV'!$J$2</f>
        <v>0</v>
      </c>
      <c r="L66" s="119" t="e">
        <f t="shared" ca="1" si="7"/>
        <v>#DIV/0!</v>
      </c>
      <c r="M66" s="118">
        <f ca="1">IFERROR(
INDEX(
KB!$I$55:$AJ$68,
MATCH(E66,KB!$I$55:$I$68,0),
MATCH(D66,KB!$I$55:$AJ$55,0)
),
0)</f>
        <v>0</v>
      </c>
      <c r="S66" s="669" cm="1">
        <f t="array" aca="1" ref="S66" ca="1">_xlfn.IFS(
CONFIG!$B$8="W1",H66-N66,
CONFIG!$B$8="W2",H66-O66,
CONFIG!$B$8="W3",H66-P66,
CONFIG!$B$8="W4",H66-Q66,
CONFIG!$B$8="W5",H66-R66
)</f>
        <v>0</v>
      </c>
      <c r="T66" s="652">
        <f t="shared" ca="1" si="3"/>
        <v>0</v>
      </c>
    </row>
    <row r="67" spans="3:20" ht="19" customHeight="1">
      <c r="C67" s="116" t="str">
        <f>INDEX(KB!C:D,MATCH(D67,KB!D:D,0),1)</f>
        <v>Sim Tổng</v>
      </c>
      <c r="D67" s="116" t="s">
        <v>112</v>
      </c>
      <c r="E67" s="117" t="s">
        <v>281</v>
      </c>
      <c r="F67" s="116" t="str">
        <f t="shared" si="8"/>
        <v>Sim TổngTrần Thị Nhung - 11082</v>
      </c>
      <c r="G67" s="118" cm="1">
        <f t="array" ref="G67">IFERROR(INDEX(KB!$I$38:$AJ$50,MATCH(XL_DT_TD!E67,KB!$I$38:$I$50,0),MATCH(XL_DT_TD!D67,KB!$J$37:$AJ$37,0)+1),0)</f>
        <v>24.849999999999998</v>
      </c>
      <c r="H67" s="118" cm="1">
        <f t="array" ref="H67">IFERROR(
  INDEX(DATA_TĐ!$B$36:$Z$47,
    MATCH(TRUE, INDEX(TRIM(DATA_TĐ!$B$36:$B$45)=TRIM(E67),0),0),
    MATCH(TRUE, INDEX(TRIM(DATA_TĐ!$B$36:$Z$36)=TRIM(C67),0),0)
  ),
0)</f>
        <v>1</v>
      </c>
      <c r="I67" s="118">
        <f ca="1">H67/DAY(NOW()-1)*'Hieu Qua NV'!$J$1</f>
        <v>5</v>
      </c>
      <c r="J67" s="118">
        <f t="shared" si="9"/>
        <v>23.849999999999998</v>
      </c>
      <c r="K67" s="118">
        <f ca="1">J67/'Hieu Qua NV'!$J$2</f>
        <v>1.0369565217391303</v>
      </c>
      <c r="L67" s="119">
        <f t="shared" ca="1" si="7"/>
        <v>0.2012072434607646</v>
      </c>
      <c r="M67" s="118">
        <f ca="1">IFERROR(
INDEX(
KB!$I$55:$AJ$68,
MATCH(E67,KB!$I$55:$I$68,0),
MATCH(D67,KB!$I$55:$AJ$55,0)
),
0)</f>
        <v>6</v>
      </c>
      <c r="S67" s="669" cm="1">
        <f t="array" aca="1" ref="S67" ca="1">_xlfn.IFS(
CONFIG!$B$8="W1",H67-N67,
CONFIG!$B$8="W2",H67-O67,
CONFIG!$B$8="W3",H67-P67,
CONFIG!$B$8="W4",H67-Q67,
CONFIG!$B$8="W5",H67-R67
)</f>
        <v>1</v>
      </c>
      <c r="T67" s="652">
        <f t="shared" ref="T67:T130" ca="1" si="19">IF(M67=0,0,S67/M67)</f>
        <v>0.16666666666666666</v>
      </c>
    </row>
    <row r="68" spans="3:20" ht="19" customHeight="1">
      <c r="C68" s="116" t="str">
        <f>INDEX(KB!C:D,MATCH(D68,KB!D:D,0),1)</f>
        <v>Sim Tổng</v>
      </c>
      <c r="D68" s="116" t="s">
        <v>112</v>
      </c>
      <c r="E68" s="117" t="s">
        <v>282</v>
      </c>
      <c r="F68" s="116" t="str">
        <f t="shared" si="8"/>
        <v>Sim TổngNguyễn Thị Phương Oanh - 164808</v>
      </c>
      <c r="G68" s="118" cm="1">
        <f t="array" ref="G68">IFERROR(INDEX(KB!$I$38:$AJ$50,MATCH(XL_DT_TD!E68,KB!$I$38:$I$50,0),MATCH(XL_DT_TD!D68,KB!$J$37:$AJ$37,0)+1),0)</f>
        <v>21.3</v>
      </c>
      <c r="H68" s="118" cm="1">
        <f t="array" ref="H68">IFERROR(
  INDEX(DATA_TĐ!$B$36:$Z$47,
    MATCH(TRUE, INDEX(TRIM(DATA_TĐ!$B$36:$B$45)=TRIM(E68),0),0),
    MATCH(TRUE, INDEX(TRIM(DATA_TĐ!$B$36:$Z$36)=TRIM(C68),0),0)
  ),
0)</f>
        <v>1</v>
      </c>
      <c r="I68" s="118">
        <f ca="1">H68/DAY(NOW()-1)*'Hieu Qua NV'!$J$1</f>
        <v>5</v>
      </c>
      <c r="J68" s="118">
        <f t="shared" si="9"/>
        <v>20.3</v>
      </c>
      <c r="K68" s="118">
        <f ca="1">J68/'Hieu Qua NV'!$J$2</f>
        <v>0.88260869565217392</v>
      </c>
      <c r="L68" s="119">
        <f t="shared" ca="1" si="7"/>
        <v>0.23474178403755869</v>
      </c>
      <c r="M68" s="118">
        <f ca="1">IFERROR(
INDEX(
KB!$I$55:$AJ$68,
MATCH(E68,KB!$I$55:$I$68,0),
MATCH(D68,KB!$I$55:$AJ$55,0)
),
0)</f>
        <v>5</v>
      </c>
      <c r="S68" s="669" cm="1">
        <f t="array" aca="1" ref="S68" ca="1">_xlfn.IFS(
CONFIG!$B$8="W1",H68-N68,
CONFIG!$B$8="W2",H68-O68,
CONFIG!$B$8="W3",H68-P68,
CONFIG!$B$8="W4",H68-Q68,
CONFIG!$B$8="W5",H68-R68
)</f>
        <v>1</v>
      </c>
      <c r="T68" s="652">
        <f t="shared" ca="1" si="19"/>
        <v>0.2</v>
      </c>
    </row>
    <row r="69" spans="3:20" ht="19" customHeight="1">
      <c r="C69" s="116" t="str">
        <f>INDEX(KB!C:D,MATCH(D69,KB!D:D,0),1)</f>
        <v>Sim Tổng</v>
      </c>
      <c r="D69" s="116" t="s">
        <v>112</v>
      </c>
      <c r="E69" s="117" t="s">
        <v>283</v>
      </c>
      <c r="F69" s="116" t="str">
        <f t="shared" si="8"/>
        <v>Sim TổngNguyễn Anh Tài - 269055</v>
      </c>
      <c r="G69" s="118" cm="1">
        <f t="array" ref="G69">IFERROR(INDEX(KB!$I$38:$AJ$50,MATCH(XL_DT_TD!E69,KB!$I$38:$I$50,0),MATCH(XL_DT_TD!D69,KB!$J$37:$AJ$37,0)+1),0)</f>
        <v>17.75</v>
      </c>
      <c r="H69" s="118" cm="1">
        <f t="array" ref="H69">IFERROR(
  INDEX(DATA_TĐ!$B$36:$Z$47,
    MATCH(TRUE, INDEX(TRIM(DATA_TĐ!$B$36:$B$45)=TRIM(E69),0),0),
    MATCH(TRUE, INDEX(TRIM(DATA_TĐ!$B$36:$Z$36)=TRIM(C69),0),0)
  ),
0)</f>
        <v>1</v>
      </c>
      <c r="I69" s="118">
        <f ca="1">H69/DAY(NOW()-1)*'Hieu Qua NV'!$J$1</f>
        <v>5</v>
      </c>
      <c r="J69" s="118">
        <f t="shared" si="9"/>
        <v>16.75</v>
      </c>
      <c r="K69" s="118">
        <f ca="1">J69/'Hieu Qua NV'!$J$2</f>
        <v>0.72826086956521741</v>
      </c>
      <c r="L69" s="119">
        <f t="shared" ca="1" si="7"/>
        <v>0.28169014084507044</v>
      </c>
      <c r="M69" s="118">
        <f ca="1">IFERROR(
INDEX(
KB!$I$55:$AJ$68,
MATCH(E69,KB!$I$55:$I$68,0),
MATCH(D69,KB!$I$55:$AJ$55,0)
),
0)</f>
        <v>4</v>
      </c>
      <c r="S69" s="669" cm="1">
        <f t="array" aca="1" ref="S69" ca="1">_xlfn.IFS(
CONFIG!$B$8="W1",H69-N69,
CONFIG!$B$8="W2",H69-O69,
CONFIG!$B$8="W3",H69-P69,
CONFIG!$B$8="W4",H69-Q69,
CONFIG!$B$8="W5",H69-R69
)</f>
        <v>1</v>
      </c>
      <c r="T69" s="652">
        <f t="shared" ca="1" si="19"/>
        <v>0.25</v>
      </c>
    </row>
    <row r="70" spans="3:20" ht="19" customHeight="1">
      <c r="C70" s="116" t="str">
        <f>INDEX(KB!C:D,MATCH(D70,KB!D:D,0),1)</f>
        <v>Sim Tổng</v>
      </c>
      <c r="D70" s="116" t="s">
        <v>112</v>
      </c>
      <c r="E70" s="117" t="s">
        <v>284</v>
      </c>
      <c r="F70" s="116" t="str">
        <f t="shared" si="8"/>
        <v>Sim TổngLê Văn Hợp - 279884</v>
      </c>
      <c r="G70" s="118" cm="1">
        <f t="array" ref="G70">IFERROR(INDEX(KB!$I$38:$AJ$50,MATCH(XL_DT_TD!E70,KB!$I$38:$I$50,0),MATCH(XL_DT_TD!D70,KB!$J$37:$AJ$37,0)+1),0)</f>
        <v>7.1000000000000005</v>
      </c>
      <c r="H70" s="118" cm="1">
        <f t="array" ref="H70">IFERROR(
  INDEX(DATA_TĐ!$B$36:$Z$47,
    MATCH(TRUE, INDEX(TRIM(DATA_TĐ!$B$36:$B$45)=TRIM(E70),0),0),
    MATCH(TRUE, INDEX(TRIM(DATA_TĐ!$B$36:$Z$36)=TRIM(C70),0),0)
  ),
0)</f>
        <v>3</v>
      </c>
      <c r="I70" s="118">
        <f ca="1">H70/DAY(NOW()-1)*'Hieu Qua NV'!$J$1</f>
        <v>15</v>
      </c>
      <c r="J70" s="118">
        <f t="shared" si="9"/>
        <v>4.1000000000000005</v>
      </c>
      <c r="K70" s="118">
        <f ca="1">J70/'Hieu Qua NV'!$J$2</f>
        <v>0.17826086956521742</v>
      </c>
      <c r="L70" s="119">
        <f t="shared" ca="1" si="7"/>
        <v>2.112676056338028</v>
      </c>
      <c r="M70" s="118">
        <f ca="1">IFERROR(
INDEX(
KB!$I$55:$AJ$68,
MATCH(E70,KB!$I$55:$I$68,0),
MATCH(D70,KB!$I$55:$AJ$55,0)
),
0)</f>
        <v>2</v>
      </c>
      <c r="S70" s="669" cm="1">
        <f t="array" aca="1" ref="S70" ca="1">_xlfn.IFS(
CONFIG!$B$8="W1",H70-N70,
CONFIG!$B$8="W2",H70-O70,
CONFIG!$B$8="W3",H70-P70,
CONFIG!$B$8="W4",H70-Q70,
CONFIG!$B$8="W5",H70-R70
)</f>
        <v>3</v>
      </c>
      <c r="T70" s="652">
        <f t="shared" ca="1" si="19"/>
        <v>1.5</v>
      </c>
    </row>
    <row r="71" spans="3:20" ht="19" customHeight="1">
      <c r="C71" s="120" t="str">
        <f>INDEX(KB!C:D,MATCH(D71,KB!D:D,0),1)</f>
        <v>Sim Tổng</v>
      </c>
      <c r="D71" s="120" t="s">
        <v>112</v>
      </c>
      <c r="E71" s="120" t="s">
        <v>20</v>
      </c>
      <c r="F71" s="121" t="str">
        <f t="shared" si="8"/>
        <v>Sim TổngTổng</v>
      </c>
      <c r="G71" s="122">
        <f t="shared" ref="G71" si="20">SUM(G58:G69)</f>
        <v>81.66</v>
      </c>
      <c r="H71" s="122">
        <f t="shared" ref="H71:I71" si="21">SUM(H58:H69)</f>
        <v>4</v>
      </c>
      <c r="I71" s="122">
        <f t="shared" ca="1" si="21"/>
        <v>20</v>
      </c>
      <c r="J71" s="122">
        <f t="shared" si="9"/>
        <v>77.66</v>
      </c>
      <c r="K71" s="122">
        <f ca="1">J71/'Hieu Qua NV'!$J$2</f>
        <v>3.3765217391304345</v>
      </c>
      <c r="L71" s="119">
        <f t="shared" ca="1" si="7"/>
        <v>0.24491795248591722</v>
      </c>
      <c r="M71" s="122">
        <f t="shared" ref="M71" ca="1" si="22">SUM(M58:M69)</f>
        <v>20</v>
      </c>
      <c r="S71" s="669" cm="1">
        <f t="array" aca="1" ref="S71" ca="1">_xlfn.IFS(
CONFIG!$B$8="W1",H71-N71,
CONFIG!$B$8="W2",H71-O71,
CONFIG!$B$8="W3",H71-P71,
CONFIG!$B$8="W4",H71-Q71,
CONFIG!$B$8="W5",H71-R71
)</f>
        <v>4</v>
      </c>
      <c r="T71" s="652">
        <f t="shared" ca="1" si="19"/>
        <v>0.2</v>
      </c>
    </row>
    <row r="72" spans="3:20" ht="19" customHeight="1">
      <c r="C72" s="116" t="str">
        <f>INDEX(KB!C:D,MATCH(D72,KB!D:D,0),1)</f>
        <v>CE Samsung</v>
      </c>
      <c r="D72" s="116" t="s">
        <v>524</v>
      </c>
      <c r="E72" s="321" t="s">
        <v>57</v>
      </c>
      <c r="F72" s="116" t="str">
        <f t="shared" si="8"/>
        <v>CE SamsungNguyễn Thị Ngọc - 54026</v>
      </c>
      <c r="G72" s="118" cm="1">
        <f t="array" ref="G72">IFERROR(INDEX(KB!$I$38:$AJ$50,MATCH(XL_DT_TD!E72,KB!$I$38:$I$50,0),MATCH(XL_DT_TD!D72,KB!$J$37:$AJ$37,0)+1),0)</f>
        <v>129.27600000000001</v>
      </c>
      <c r="H72" s="118" cm="1">
        <f t="array" ref="H72">IFERROR(INDEX(DATA_TĐ!$B$1:$AZ$19,MATCH(XL_DT_TD!E72,DATA_TĐ!B:B,0),MATCH(XL_DT_TD!C72,DATA_TĐ!$1:$1,0)-1),0)</f>
        <v>31.77</v>
      </c>
      <c r="I72" s="118">
        <f ca="1">H72/DAY(NOW()-1)*'Hieu Qua NV'!$J$1</f>
        <v>158.85</v>
      </c>
      <c r="J72" s="118">
        <f t="shared" si="9"/>
        <v>97.506000000000014</v>
      </c>
      <c r="K72" s="118">
        <f ca="1">J72/'Hieu Qua NV'!$J$2</f>
        <v>4.2393913043478264</v>
      </c>
      <c r="L72" s="119">
        <f t="shared" ca="1" si="7"/>
        <v>1.2287663603453076</v>
      </c>
      <c r="M72" s="118">
        <f ca="1">IFERROR(
INDEX(
KB!$I$55:$AJ$68,
MATCH(E72,KB!$I$55:$I$68,0),
MATCH(D72,KB!$I$55:$AJ$55,0)
),
0)</f>
        <v>32</v>
      </c>
      <c r="S72" s="669" cm="1">
        <f t="array" aca="1" ref="S72" ca="1">_xlfn.IFS(
CONFIG!$B$8="W1",H72-N72,
CONFIG!$B$8="W2",H72-O72,
CONFIG!$B$8="W3",H72-P72,
CONFIG!$B$8="W4",H72-Q72,
CONFIG!$B$8="W5",H72-R72
)</f>
        <v>31.77</v>
      </c>
      <c r="T72" s="652">
        <f t="shared" ca="1" si="19"/>
        <v>0.99281249999999999</v>
      </c>
    </row>
    <row r="73" spans="3:20" ht="19" customHeight="1">
      <c r="C73" s="116" t="str">
        <f>INDEX(KB!C:D,MATCH(D73,KB!D:D,0),1)</f>
        <v>CE Samsung</v>
      </c>
      <c r="D73" s="116" t="s">
        <v>524</v>
      </c>
      <c r="E73" s="321" t="s">
        <v>60</v>
      </c>
      <c r="F73" s="116" t="str">
        <f t="shared" si="8"/>
        <v>CE SamsungNguyễn Viết Sơn - 94065</v>
      </c>
      <c r="G73" s="118" cm="1">
        <f t="array" ref="G73">IFERROR(INDEX(KB!$I$38:$AJ$50,MATCH(XL_DT_TD!E73,KB!$I$38:$I$50,0),MATCH(XL_DT_TD!D73,KB!$J$37:$AJ$37,0)+1),0)</f>
        <v>129.27600000000001</v>
      </c>
      <c r="H73" s="118" cm="1">
        <f t="array" ref="H73">IFERROR(INDEX(DATA_TĐ!$B$1:$AZ$19,MATCH(XL_DT_TD!E73,DATA_TĐ!B:B,0),MATCH(XL_DT_TD!C73,DATA_TĐ!$1:$1,0)-1),0)</f>
        <v>26.11</v>
      </c>
      <c r="I73" s="118">
        <f ca="1">H73/DAY(NOW()-1)*'Hieu Qua NV'!$J$1</f>
        <v>130.55000000000001</v>
      </c>
      <c r="J73" s="118">
        <f t="shared" si="9"/>
        <v>103.16600000000001</v>
      </c>
      <c r="K73" s="118">
        <f ca="1">J73/'Hieu Qua NV'!$J$2</f>
        <v>4.4854782608695656</v>
      </c>
      <c r="L73" s="119">
        <f t="shared" ca="1" si="7"/>
        <v>1.0098548841238899</v>
      </c>
      <c r="M73" s="118">
        <f ca="1">IFERROR(
INDEX(
KB!$I$55:$AJ$68,
MATCH(E73,KB!$I$55:$I$68,0),
MATCH(D73,KB!$I$55:$AJ$55,0)
),
0)</f>
        <v>32</v>
      </c>
      <c r="S73" s="669" cm="1">
        <f t="array" aca="1" ref="S73" ca="1">_xlfn.IFS(
CONFIG!$B$8="W1",H73-N73,
CONFIG!$B$8="W2",H73-O73,
CONFIG!$B$8="W3",H73-P73,
CONFIG!$B$8="W4",H73-Q73,
CONFIG!$B$8="W5",H73-R73
)</f>
        <v>26.11</v>
      </c>
      <c r="T73" s="652">
        <f t="shared" ca="1" si="19"/>
        <v>0.81593749999999998</v>
      </c>
    </row>
    <row r="74" spans="3:20" ht="19" customHeight="1">
      <c r="C74" s="116" t="str">
        <f>INDEX(KB!C:D,MATCH(D74,KB!D:D,0),1)</f>
        <v>CE Samsung</v>
      </c>
      <c r="D74" s="116" t="s">
        <v>524</v>
      </c>
      <c r="E74" s="321" t="s">
        <v>15</v>
      </c>
      <c r="F74" s="116" t="str">
        <f t="shared" si="8"/>
        <v>CE SamsungNguyễn Trang Nhung - 25734</v>
      </c>
      <c r="G74" s="118" cm="1">
        <f t="array" ref="G74">IFERROR(INDEX(KB!$I$38:$AJ$50,MATCH(XL_DT_TD!E74,KB!$I$38:$I$50,0),MATCH(XL_DT_TD!D74,KB!$J$37:$AJ$37,0)+1),0)</f>
        <v>129.27600000000001</v>
      </c>
      <c r="H74" s="118" cm="1">
        <f t="array" ref="H74">IFERROR(INDEX(DATA_TĐ!$B$1:$AZ$19,MATCH(XL_DT_TD!E74,DATA_TĐ!B:B,0),MATCH(XL_DT_TD!C74,DATA_TĐ!$1:$1,0)-1),0)</f>
        <v>-8.14</v>
      </c>
      <c r="I74" s="118">
        <f ca="1">H74/DAY(NOW()-1)*'Hieu Qua NV'!$J$1</f>
        <v>-40.700000000000003</v>
      </c>
      <c r="J74" s="118">
        <f t="shared" si="9"/>
        <v>137.416</v>
      </c>
      <c r="K74" s="118">
        <f ca="1">J74/'Hieu Qua NV'!$J$2</f>
        <v>5.974608695652174</v>
      </c>
      <c r="L74" s="119">
        <f t="shared" ca="1" si="7"/>
        <v>-0.31483028559051951</v>
      </c>
      <c r="M74" s="118">
        <f ca="1">IFERROR(
INDEX(
KB!$I$55:$AJ$68,
MATCH(E74,KB!$I$55:$I$68,0),
MATCH(D74,KB!$I$55:$AJ$55,0)
),
0)</f>
        <v>32</v>
      </c>
      <c r="S74" s="669" cm="1">
        <f t="array" aca="1" ref="S74" ca="1">_xlfn.IFS(
CONFIG!$B$8="W1",H74-N74,
CONFIG!$B$8="W2",H74-O74,
CONFIG!$B$8="W3",H74-P74,
CONFIG!$B$8="W4",H74-Q74,
CONFIG!$B$8="W5",H74-R74
)</f>
        <v>-8.14</v>
      </c>
      <c r="T74" s="652">
        <f t="shared" ca="1" si="19"/>
        <v>-0.25437500000000002</v>
      </c>
    </row>
    <row r="75" spans="3:20" ht="19" customHeight="1">
      <c r="C75" s="116" t="str">
        <f>INDEX(KB!C:D,MATCH(D75,KB!D:D,0),1)</f>
        <v>CE Samsung</v>
      </c>
      <c r="D75" s="116" t="s">
        <v>524</v>
      </c>
      <c r="E75" s="321" t="s">
        <v>151</v>
      </c>
      <c r="F75" s="116" t="str">
        <f t="shared" si="8"/>
        <v>CE SamsungTrần Huy Hoàn - 270828</v>
      </c>
      <c r="G75" s="118" cm="1">
        <f t="array" ref="G75">IFERROR(INDEX(KB!$I$38:$AJ$50,MATCH(XL_DT_TD!E75,KB!$I$38:$I$50,0),MATCH(XL_DT_TD!D75,KB!$J$37:$AJ$37,0)+1),0)</f>
        <v>107.73</v>
      </c>
      <c r="H75" s="118" cm="1">
        <f t="array" ref="H75">IFERROR(INDEX(DATA_TĐ!$B$1:$AZ$19,MATCH(XL_DT_TD!E75,DATA_TĐ!B:B,0),MATCH(XL_DT_TD!C75,DATA_TĐ!$1:$1,0)-1),0)</f>
        <v>0</v>
      </c>
      <c r="I75" s="118">
        <f ca="1">H75/DAY(NOW()-1)*'Hieu Qua NV'!$J$1</f>
        <v>0</v>
      </c>
      <c r="J75" s="118">
        <f t="shared" si="9"/>
        <v>107.73</v>
      </c>
      <c r="K75" s="118">
        <f ca="1">J75/'Hieu Qua NV'!$J$2</f>
        <v>4.6839130434782614</v>
      </c>
      <c r="L75" s="119">
        <f t="shared" ca="1" si="7"/>
        <v>0</v>
      </c>
      <c r="M75" s="118">
        <f ca="1">IFERROR(
INDEX(
KB!$I$55:$AJ$68,
MATCH(E75,KB!$I$55:$I$68,0),
MATCH(D75,KB!$I$55:$AJ$55,0)
),
0)</f>
        <v>27</v>
      </c>
      <c r="S75" s="669" cm="1">
        <f t="array" aca="1" ref="S75" ca="1">_xlfn.IFS(
CONFIG!$B$8="W1",H75-N75,
CONFIG!$B$8="W2",H75-O75,
CONFIG!$B$8="W3",H75-P75,
CONFIG!$B$8="W4",H75-Q75,
CONFIG!$B$8="W5",H75-R75
)</f>
        <v>0</v>
      </c>
      <c r="T75" s="652">
        <f t="shared" ca="1" si="19"/>
        <v>0</v>
      </c>
    </row>
    <row r="76" spans="3:20" ht="19" customHeight="1">
      <c r="C76" s="116" t="str">
        <f>INDEX(KB!C:D,MATCH(D76,KB!D:D,0),1)</f>
        <v>CE Samsung</v>
      </c>
      <c r="D76" s="116" t="s">
        <v>524</v>
      </c>
      <c r="E76" s="321" t="s">
        <v>293</v>
      </c>
      <c r="F76" s="116" t="str">
        <f t="shared" si="8"/>
        <v>CE SamsungPhạm Văn Thanh - 279935</v>
      </c>
      <c r="G76" s="118" cm="1">
        <f t="array" ref="G76">IFERROR(INDEX(KB!$I$38:$AJ$50,MATCH(XL_DT_TD!E76,KB!$I$38:$I$50,0),MATCH(XL_DT_TD!D76,KB!$J$37:$AJ$37,0)+1),0)</f>
        <v>107.73</v>
      </c>
      <c r="H76" s="118" cm="1">
        <f t="array" ref="H76">IFERROR(INDEX(DATA_TĐ!$B$1:$AZ$19,MATCH(XL_DT_TD!E76,DATA_TĐ!B:B,0),MATCH(XL_DT_TD!C76,DATA_TĐ!$1:$1,0)-1),0)</f>
        <v>13.3</v>
      </c>
      <c r="I76" s="118">
        <f ca="1">H76/DAY(NOW()-1)*'Hieu Qua NV'!$J$1</f>
        <v>66.5</v>
      </c>
      <c r="J76" s="118">
        <f t="shared" si="9"/>
        <v>94.43</v>
      </c>
      <c r="K76" s="118">
        <f ca="1">J76/'Hieu Qua NV'!$J$2</f>
        <v>4.105652173913044</v>
      </c>
      <c r="L76" s="119">
        <f t="shared" ca="1" si="7"/>
        <v>0.61728395061728392</v>
      </c>
      <c r="M76" s="118">
        <f ca="1">IFERROR(
INDEX(
KB!$I$55:$AJ$68,
MATCH(E76,KB!$I$55:$I$68,0),
MATCH(D76,KB!$I$55:$AJ$55,0)
),
0)</f>
        <v>27</v>
      </c>
      <c r="S76" s="669" cm="1">
        <f t="array" aca="1" ref="S76" ca="1">_xlfn.IFS(
CONFIG!$B$8="W1",H76-N76,
CONFIG!$B$8="W2",H76-O76,
CONFIG!$B$8="W3",H76-P76,
CONFIG!$B$8="W4",H76-Q76,
CONFIG!$B$8="W5",H76-R76
)</f>
        <v>13.3</v>
      </c>
      <c r="T76" s="652">
        <f t="shared" ca="1" si="19"/>
        <v>0.49259259259259264</v>
      </c>
    </row>
    <row r="77" spans="3:20" ht="19" customHeight="1">
      <c r="C77" s="116" t="str">
        <f>INDEX(KB!C:D,MATCH(D77,KB!D:D,0),1)</f>
        <v>CE Samsung</v>
      </c>
      <c r="D77" s="116" t="s">
        <v>524</v>
      </c>
      <c r="E77" s="321" t="s">
        <v>433</v>
      </c>
      <c r="F77" s="116" t="str">
        <f t="shared" si="8"/>
        <v>CE SamsungNguyễn Thành Đạt - 280855</v>
      </c>
      <c r="G77" s="118" cm="1">
        <f t="array" ref="G77">IFERROR(INDEX(KB!$I$38:$AJ$50,MATCH(XL_DT_TD!E77,KB!$I$38:$I$50,0),MATCH(XL_DT_TD!D77,KB!$J$37:$AJ$37,0)+1),0)</f>
        <v>107.73</v>
      </c>
      <c r="H77" s="118" cm="1">
        <f t="array" ref="H77">IFERROR(INDEX(DATA_TĐ!$B$1:$AZ$19,MATCH(XL_DT_TD!E77,DATA_TĐ!B:B,0),MATCH(XL_DT_TD!C77,DATA_TĐ!$1:$1,0)-1),0)</f>
        <v>0</v>
      </c>
      <c r="I77" s="118">
        <f ca="1">H77/DAY(NOW()-1)*'Hieu Qua NV'!$J$1</f>
        <v>0</v>
      </c>
      <c r="J77" s="118">
        <f t="shared" si="9"/>
        <v>107.73</v>
      </c>
      <c r="K77" s="118">
        <f ca="1">J77/'Hieu Qua NV'!$J$2</f>
        <v>4.6839130434782614</v>
      </c>
      <c r="L77" s="119">
        <f t="shared" ca="1" si="7"/>
        <v>0</v>
      </c>
      <c r="M77" s="118">
        <f ca="1">IFERROR(
INDEX(
KB!$I$55:$AJ$68,
MATCH(E77,KB!$I$55:$I$68,0),
MATCH(D77,KB!$I$55:$AJ$55,0)
),
0)</f>
        <v>27</v>
      </c>
      <c r="S77" s="669" cm="1">
        <f t="array" aca="1" ref="S77" ca="1">_xlfn.IFS(
CONFIG!$B$8="W1",H77-N77,
CONFIG!$B$8="W2",H77-O77,
CONFIG!$B$8="W3",H77-P77,
CONFIG!$B$8="W4",H77-Q77,
CONFIG!$B$8="W5",H77-R77
)</f>
        <v>0</v>
      </c>
      <c r="T77" s="652">
        <f t="shared" ca="1" si="19"/>
        <v>0</v>
      </c>
    </row>
    <row r="78" spans="3:20" ht="19" customHeight="1">
      <c r="C78" s="116" t="str">
        <f>INDEX(KB!C:D,MATCH(D78,KB!D:D,0),1)</f>
        <v>CE Samsung</v>
      </c>
      <c r="D78" s="116" t="s">
        <v>524</v>
      </c>
      <c r="E78" s="321" t="s">
        <v>56</v>
      </c>
      <c r="F78" s="116" t="str">
        <f t="shared" si="8"/>
        <v>CE SamsungĐỗ Văn Duân - 62025</v>
      </c>
      <c r="G78" s="118" cm="1">
        <f t="array" ref="G78">IFERROR(INDEX(KB!$I$38:$AJ$50,MATCH(XL_DT_TD!E78,KB!$I$38:$I$50,0),MATCH(XL_DT_TD!D78,KB!$J$37:$AJ$37,0)+1),0)</f>
        <v>158.00400000000002</v>
      </c>
      <c r="H78" s="118" cm="1">
        <f t="array" ref="H78">IFERROR(INDEX(DATA_TĐ!$B$1:$AZ$19,MATCH(XL_DT_TD!E78,DATA_TĐ!B:B,0),MATCH(XL_DT_TD!C78,DATA_TĐ!$1:$1,0)-1),0)</f>
        <v>14.43</v>
      </c>
      <c r="I78" s="118">
        <f ca="1">H78/DAY(NOW()-1)*'Hieu Qua NV'!$J$1</f>
        <v>72.149999999999991</v>
      </c>
      <c r="J78" s="118">
        <f t="shared" si="9"/>
        <v>143.57400000000001</v>
      </c>
      <c r="K78" s="118">
        <f ca="1">J78/'Hieu Qua NV'!$J$2</f>
        <v>6.2423478260869567</v>
      </c>
      <c r="L78" s="119">
        <f t="shared" ca="1" si="7"/>
        <v>0.45663400926558811</v>
      </c>
      <c r="M78" s="118">
        <f ca="1">IFERROR(
INDEX(
KB!$I$55:$AJ$68,
MATCH(E78,KB!$I$55:$I$68,0),
MATCH(D78,KB!$I$55:$AJ$55,0)
),
0)</f>
        <v>40</v>
      </c>
      <c r="S78" s="669" cm="1">
        <f t="array" aca="1" ref="S78" ca="1">_xlfn.IFS(
CONFIG!$B$8="W1",H78-N78,
CONFIG!$B$8="W2",H78-O78,
CONFIG!$B$8="W3",H78-P78,
CONFIG!$B$8="W4",H78-Q78,
CONFIG!$B$8="W5",H78-R78
)</f>
        <v>14.43</v>
      </c>
      <c r="T78" s="652">
        <f t="shared" ca="1" si="19"/>
        <v>0.36075000000000002</v>
      </c>
    </row>
    <row r="79" spans="3:20" ht="19" customHeight="1">
      <c r="C79" s="116" t="str">
        <f>INDEX(KB!C:D,MATCH(D79,KB!D:D,0),1)</f>
        <v>CE Samsung</v>
      </c>
      <c r="D79" s="116" t="s">
        <v>524</v>
      </c>
      <c r="E79" s="321" t="s">
        <v>530</v>
      </c>
      <c r="F79" s="116" t="str">
        <f t="shared" si="8"/>
        <v>CE SamsungNhân viên Mới 1</v>
      </c>
      <c r="G79" s="118" cm="1">
        <f t="array" ref="G79">IFERROR(INDEX(KB!$I$38:$AJ$50,MATCH(XL_DT_TD!E79,KB!$I$38:$I$50,0),MATCH(XL_DT_TD!D79,KB!$J$37:$AJ$37,0)+1),0)</f>
        <v>0</v>
      </c>
      <c r="H79" s="118" cm="1">
        <f t="array" ref="H79">IFERROR(INDEX(DATA_TĐ!$B$1:$AZ$19,MATCH(XL_DT_TD!E79,DATA_TĐ!B:B,0),MATCH(XL_DT_TD!C79,DATA_TĐ!$1:$1,0)-1),0)</f>
        <v>0</v>
      </c>
      <c r="I79" s="118">
        <f ca="1">H79/DAY(NOW()-1)*'Hieu Qua NV'!$J$1</f>
        <v>0</v>
      </c>
      <c r="J79" s="118">
        <f t="shared" si="9"/>
        <v>0</v>
      </c>
      <c r="K79" s="118">
        <f ca="1">J79/'Hieu Qua NV'!$J$2</f>
        <v>0</v>
      </c>
      <c r="L79" s="119" t="e">
        <f t="shared" ca="1" si="7"/>
        <v>#DIV/0!</v>
      </c>
      <c r="M79" s="118">
        <f ca="1">IFERROR(
INDEX(
KB!$I$55:$AJ$68,
MATCH(E79,KB!$I$55:$I$68,0),
MATCH(D79,KB!$I$55:$AJ$55,0)
),
0)</f>
        <v>0</v>
      </c>
      <c r="S79" s="669" cm="1">
        <f t="array" aca="1" ref="S79" ca="1">_xlfn.IFS(
CONFIG!$B$8="W1",H79-N79,
CONFIG!$B$8="W2",H79-O79,
CONFIG!$B$8="W3",H79-P79,
CONFIG!$B$8="W4",H79-Q79,
CONFIG!$B$8="W5",H79-R79
)</f>
        <v>0</v>
      </c>
      <c r="T79" s="652">
        <f t="shared" ca="1" si="19"/>
        <v>0</v>
      </c>
    </row>
    <row r="80" spans="3:20" ht="19" customHeight="1">
      <c r="C80" s="116" t="str">
        <f>INDEX(KB!C:D,MATCH(D80,KB!D:D,0),1)</f>
        <v>CE Samsung</v>
      </c>
      <c r="D80" s="116" t="s">
        <v>524</v>
      </c>
      <c r="E80" s="321" t="s">
        <v>560</v>
      </c>
      <c r="F80" s="116" t="str">
        <f t="shared" si="8"/>
        <v>CE SamsungNhân viên Mới 2</v>
      </c>
      <c r="G80" s="118" cm="1">
        <f t="array" ref="G80">IFERROR(INDEX(KB!$I$38:$AJ$50,MATCH(XL_DT_TD!E80,KB!$I$38:$I$50,0),MATCH(XL_DT_TD!D80,KB!$J$37:$AJ$37,0)+1),0)</f>
        <v>0</v>
      </c>
      <c r="H80" s="118" cm="1">
        <f t="array" ref="H80">IFERROR(INDEX(DATA_TĐ!$B$1:$AZ$19,MATCH(XL_DT_TD!E80,DATA_TĐ!B:B,0),MATCH(XL_DT_TD!C80,DATA_TĐ!$1:$1,0)-1),0)</f>
        <v>0</v>
      </c>
      <c r="I80" s="118">
        <f ca="1">H80/DAY(NOW()-1)*'Hieu Qua NV'!$J$1</f>
        <v>0</v>
      </c>
      <c r="J80" s="118">
        <f t="shared" si="9"/>
        <v>0</v>
      </c>
      <c r="K80" s="118">
        <f ca="1">J80/'Hieu Qua NV'!$J$2</f>
        <v>0</v>
      </c>
      <c r="L80" s="119" t="e">
        <f t="shared" ref="L80:L143" ca="1" si="23">I80/G80</f>
        <v>#DIV/0!</v>
      </c>
      <c r="M80" s="118">
        <f ca="1">IFERROR(
INDEX(
KB!$I$55:$AJ$68,
MATCH(E80,KB!$I$55:$I$68,0),
MATCH(D80,KB!$I$55:$AJ$55,0)
),
0)</f>
        <v>0</v>
      </c>
      <c r="S80" s="669" cm="1">
        <f t="array" aca="1" ref="S80" ca="1">_xlfn.IFS(
CONFIG!$B$8="W1",H80-N80,
CONFIG!$B$8="W2",H80-O80,
CONFIG!$B$8="W3",H80-P80,
CONFIG!$B$8="W4",H80-Q80,
CONFIG!$B$8="W5",H80-R80
)</f>
        <v>0</v>
      </c>
      <c r="T80" s="652">
        <f t="shared" ca="1" si="19"/>
        <v>0</v>
      </c>
    </row>
    <row r="81" spans="3:20" ht="19" customHeight="1">
      <c r="C81" s="116" t="str">
        <f>INDEX(KB!C:D,MATCH(D81,KB!D:D,0),1)</f>
        <v>CE Samsung</v>
      </c>
      <c r="D81" s="116" t="s">
        <v>524</v>
      </c>
      <c r="E81" s="117" t="s">
        <v>281</v>
      </c>
      <c r="F81" s="116" t="str">
        <f t="shared" ref="F81:F144" si="24">C81&amp;E81</f>
        <v>CE SamsungTrần Thị Nhung - 11082</v>
      </c>
      <c r="G81" s="118" cm="1">
        <f t="array" ref="G81">IFERROR(INDEX(KB!$I$38:$AJ$50,MATCH(XL_DT_TD!E81,KB!$I$38:$I$50,0),MATCH(XL_DT_TD!D81,KB!$J$37:$AJ$37,0)+1),0)</f>
        <v>0</v>
      </c>
      <c r="H81" s="118" cm="1">
        <f t="array" ref="H81">IFERROR(
  INDEX(DATA_TĐ!$B$36:$Z$47,
    MATCH(TRUE, INDEX(TRIM(DATA_TĐ!$B$36:$B$45)=TRIM(E81),0),0),
    MATCH(TRUE, INDEX(TRIM(DATA_TĐ!$B$36:$Z$36)=TRIM(C81),0),0)
  ),
0)</f>
        <v>0</v>
      </c>
      <c r="I81" s="118">
        <f ca="1">H81/DAY(NOW()-1)*'Hieu Qua NV'!$J$1</f>
        <v>0</v>
      </c>
      <c r="J81" s="118">
        <f t="shared" ref="J81:J144" si="25">G81-H81</f>
        <v>0</v>
      </c>
      <c r="K81" s="118">
        <f ca="1">J81/'Hieu Qua NV'!$J$2</f>
        <v>0</v>
      </c>
      <c r="L81" s="119" t="e">
        <f t="shared" ca="1" si="23"/>
        <v>#DIV/0!</v>
      </c>
      <c r="M81" s="118">
        <f ca="1">IFERROR(
INDEX(
KB!$I$55:$AJ$68,
MATCH(E81,KB!$I$55:$I$68,0),
MATCH(D81,KB!$I$55:$AJ$55,0)
),
0)</f>
        <v>0</v>
      </c>
      <c r="S81" s="669" cm="1">
        <f t="array" aca="1" ref="S81" ca="1">_xlfn.IFS(
CONFIG!$B$8="W1",H81-N81,
CONFIG!$B$8="W2",H81-O81,
CONFIG!$B$8="W3",H81-P81,
CONFIG!$B$8="W4",H81-Q81,
CONFIG!$B$8="W5",H81-R81
)</f>
        <v>0</v>
      </c>
      <c r="T81" s="652">
        <f t="shared" ca="1" si="19"/>
        <v>0</v>
      </c>
    </row>
    <row r="82" spans="3:20" ht="19" customHeight="1">
      <c r="C82" s="116" t="str">
        <f>INDEX(KB!C:D,MATCH(D82,KB!D:D,0),1)</f>
        <v>CE Samsung</v>
      </c>
      <c r="D82" s="116" t="s">
        <v>524</v>
      </c>
      <c r="E82" s="117" t="s">
        <v>282</v>
      </c>
      <c r="F82" s="116" t="str">
        <f t="shared" si="24"/>
        <v>CE SamsungNguyễn Thị Phương Oanh - 164808</v>
      </c>
      <c r="G82" s="118" cm="1">
        <f t="array" ref="G82">IFERROR(INDEX(KB!$I$38:$AJ$50,MATCH(XL_DT_TD!E82,KB!$I$38:$I$50,0),MATCH(XL_DT_TD!D82,KB!$J$37:$AJ$37,0)+1),0)</f>
        <v>0</v>
      </c>
      <c r="H82" s="118" cm="1">
        <f t="array" ref="H82">IFERROR(
  INDEX(DATA_TĐ!$B$36:$Z$47,
    MATCH(TRUE, INDEX(TRIM(DATA_TĐ!$B$36:$B$45)=TRIM(E82),0),0),
    MATCH(TRUE, INDEX(TRIM(DATA_TĐ!$B$36:$Z$36)=TRIM(C82),0),0)
  ),
0)</f>
        <v>0</v>
      </c>
      <c r="I82" s="118">
        <f ca="1">H82/DAY(NOW()-1)*'Hieu Qua NV'!$J$1</f>
        <v>0</v>
      </c>
      <c r="J82" s="118">
        <f t="shared" si="25"/>
        <v>0</v>
      </c>
      <c r="K82" s="118">
        <f ca="1">J82/'Hieu Qua NV'!$J$2</f>
        <v>0</v>
      </c>
      <c r="L82" s="119" t="e">
        <f t="shared" ca="1" si="23"/>
        <v>#DIV/0!</v>
      </c>
      <c r="M82" s="118">
        <f ca="1">IFERROR(
INDEX(
KB!$I$55:$AJ$68,
MATCH(E82,KB!$I$55:$I$68,0),
MATCH(D82,KB!$I$55:$AJ$55,0)
),
0)</f>
        <v>0</v>
      </c>
      <c r="S82" s="669" cm="1">
        <f t="array" aca="1" ref="S82" ca="1">_xlfn.IFS(
CONFIG!$B$8="W1",H82-N82,
CONFIG!$B$8="W2",H82-O82,
CONFIG!$B$8="W3",H82-P82,
CONFIG!$B$8="W4",H82-Q82,
CONFIG!$B$8="W5",H82-R82
)</f>
        <v>0</v>
      </c>
      <c r="T82" s="652">
        <f t="shared" ca="1" si="19"/>
        <v>0</v>
      </c>
    </row>
    <row r="83" spans="3:20" ht="19" customHeight="1">
      <c r="C83" s="116" t="str">
        <f>INDEX(KB!C:D,MATCH(D83,KB!D:D,0),1)</f>
        <v>CE Samsung</v>
      </c>
      <c r="D83" s="116" t="s">
        <v>524</v>
      </c>
      <c r="E83" s="117" t="s">
        <v>283</v>
      </c>
      <c r="F83" s="116" t="str">
        <f t="shared" si="24"/>
        <v>CE SamsungNguyễn Anh Tài - 269055</v>
      </c>
      <c r="G83" s="118" cm="1">
        <f t="array" ref="G83">IFERROR(INDEX(KB!$I$38:$AJ$50,MATCH(XL_DT_TD!E83,KB!$I$38:$I$50,0),MATCH(XL_DT_TD!D83,KB!$J$37:$AJ$37,0)+1),0)</f>
        <v>0</v>
      </c>
      <c r="H83" s="118" cm="1">
        <f t="array" ref="H83">IFERROR(
  INDEX(DATA_TĐ!$B$36:$Z$47,
    MATCH(TRUE, INDEX(TRIM(DATA_TĐ!$B$36:$B$45)=TRIM(E83),0),0),
    MATCH(TRUE, INDEX(TRIM(DATA_TĐ!$B$36:$Z$36)=TRIM(C83),0),0)
  ),
0)</f>
        <v>0</v>
      </c>
      <c r="I83" s="118">
        <f ca="1">H83/DAY(NOW()-1)*'Hieu Qua NV'!$J$1</f>
        <v>0</v>
      </c>
      <c r="J83" s="118">
        <f t="shared" si="25"/>
        <v>0</v>
      </c>
      <c r="K83" s="118">
        <f ca="1">J83/'Hieu Qua NV'!$J$2</f>
        <v>0</v>
      </c>
      <c r="L83" s="119" t="e">
        <f t="shared" ca="1" si="23"/>
        <v>#DIV/0!</v>
      </c>
      <c r="M83" s="118">
        <f ca="1">IFERROR(
INDEX(
KB!$I$55:$AJ$68,
MATCH(E83,KB!$I$55:$I$68,0),
MATCH(D83,KB!$I$55:$AJ$55,0)
),
0)</f>
        <v>0</v>
      </c>
      <c r="S83" s="669" cm="1">
        <f t="array" aca="1" ref="S83" ca="1">_xlfn.IFS(
CONFIG!$B$8="W1",H83-N83,
CONFIG!$B$8="W2",H83-O83,
CONFIG!$B$8="W3",H83-P83,
CONFIG!$B$8="W4",H83-Q83,
CONFIG!$B$8="W5",H83-R83
)</f>
        <v>0</v>
      </c>
      <c r="T83" s="652">
        <f t="shared" ca="1" si="19"/>
        <v>0</v>
      </c>
    </row>
    <row r="84" spans="3:20" ht="19" customHeight="1">
      <c r="C84" s="116" t="str">
        <f>INDEX(KB!C:D,MATCH(D84,KB!D:D,0),1)</f>
        <v>CE Samsung</v>
      </c>
      <c r="D84" s="116" t="s">
        <v>524</v>
      </c>
      <c r="E84" s="117" t="s">
        <v>284</v>
      </c>
      <c r="F84" s="116" t="str">
        <f t="shared" si="24"/>
        <v>CE SamsungLê Văn Hợp - 279884</v>
      </c>
      <c r="G84" s="118" cm="1">
        <f t="array" ref="G84">IFERROR(INDEX(KB!$I$38:$AJ$50,MATCH(XL_DT_TD!E84,KB!$I$38:$I$50,0),MATCH(XL_DT_TD!D84,KB!$J$37:$AJ$37,0)+1),0)</f>
        <v>0</v>
      </c>
      <c r="H84" s="118" cm="1">
        <f t="array" ref="H84">IFERROR(
  INDEX(DATA_TĐ!$B$36:$Z$47,
    MATCH(TRUE, INDEX(TRIM(DATA_TĐ!$B$36:$B$45)=TRIM(E84),0),0),
    MATCH(TRUE, INDEX(TRIM(DATA_TĐ!$B$36:$Z$36)=TRIM(C84),0),0)
  ),
0)</f>
        <v>0</v>
      </c>
      <c r="I84" s="118">
        <f ca="1">H84/DAY(NOW()-1)*'Hieu Qua NV'!$J$1</f>
        <v>0</v>
      </c>
      <c r="J84" s="118">
        <f t="shared" si="25"/>
        <v>0</v>
      </c>
      <c r="K84" s="118">
        <f ca="1">J84/'Hieu Qua NV'!$J$2</f>
        <v>0</v>
      </c>
      <c r="L84" s="119" t="e">
        <f t="shared" ca="1" si="23"/>
        <v>#DIV/0!</v>
      </c>
      <c r="M84" s="118">
        <f ca="1">IFERROR(
INDEX(
KB!$I$55:$AJ$68,
MATCH(E84,KB!$I$55:$I$68,0),
MATCH(D84,KB!$I$55:$AJ$55,0)
),
0)</f>
        <v>0</v>
      </c>
      <c r="S84" s="669" cm="1">
        <f t="array" aca="1" ref="S84" ca="1">_xlfn.IFS(
CONFIG!$B$8="W1",H84-N84,
CONFIG!$B$8="W2",H84-O84,
CONFIG!$B$8="W3",H84-P84,
CONFIG!$B$8="W4",H84-Q84,
CONFIG!$B$8="W5",H84-R84
)</f>
        <v>0</v>
      </c>
      <c r="T84" s="652">
        <f t="shared" ca="1" si="19"/>
        <v>0</v>
      </c>
    </row>
    <row r="85" spans="3:20" ht="19" customHeight="1">
      <c r="C85" s="120" t="e">
        <f>INDEX(KB!C:D,MATCH(D85,KB!D:D,0),1)</f>
        <v>#N/A</v>
      </c>
      <c r="D85" s="120" t="s">
        <v>390</v>
      </c>
      <c r="E85" s="120" t="s">
        <v>20</v>
      </c>
      <c r="F85" s="121" t="e">
        <f t="shared" si="24"/>
        <v>#N/A</v>
      </c>
      <c r="G85" s="122">
        <f t="shared" ref="G85" si="26">SUM(G72:G83)</f>
        <v>869.02200000000005</v>
      </c>
      <c r="H85" s="122">
        <f t="shared" ref="H85:I85" si="27">SUM(H72:H83)</f>
        <v>77.47</v>
      </c>
      <c r="I85" s="122">
        <f t="shared" ca="1" si="27"/>
        <v>387.34999999999997</v>
      </c>
      <c r="J85" s="122">
        <f t="shared" si="25"/>
        <v>791.55200000000002</v>
      </c>
      <c r="K85" s="122">
        <f ca="1">J85/'Hieu Qua NV'!$J$2</f>
        <v>34.415304347826087</v>
      </c>
      <c r="L85" s="119">
        <f t="shared" ca="1" si="23"/>
        <v>0.44573094812329256</v>
      </c>
      <c r="M85" s="122">
        <f t="shared" ref="M85" ca="1" si="28">SUM(M72:M83)</f>
        <v>217</v>
      </c>
      <c r="S85" s="669" cm="1">
        <f t="array" aca="1" ref="S85" ca="1">_xlfn.IFS(
CONFIG!$B$8="W1",H85-N85,
CONFIG!$B$8="W2",H85-O85,
CONFIG!$B$8="W3",H85-P85,
CONFIG!$B$8="W4",H85-Q85,
CONFIG!$B$8="W5",H85-R85
)</f>
        <v>77.47</v>
      </c>
      <c r="T85" s="652">
        <f t="shared" ca="1" si="19"/>
        <v>0.35700460829493086</v>
      </c>
    </row>
    <row r="86" spans="3:20" ht="19" customHeight="1">
      <c r="C86" s="116" t="str">
        <f>INDEX(KB!C:D,MATCH(D86,KB!D:D,0),1)</f>
        <v>FECREDIT, SHINHAN, SAMSUNG FINANCE+</v>
      </c>
      <c r="D86" s="116" t="s">
        <v>30</v>
      </c>
      <c r="E86" s="321" t="s">
        <v>57</v>
      </c>
      <c r="F86" s="116" t="str">
        <f t="shared" si="24"/>
        <v>FECREDIT, SHINHAN, SAMSUNG FINANCE+Nguyễn Thị Ngọc - 54026</v>
      </c>
      <c r="G86" s="118" cm="1">
        <f t="array" ref="G86">IFERROR(INDEX(KB!$I$38:$AJ$50,MATCH(XL_DT_TD!E86,KB!$I$38:$I$50,0),MATCH(XL_DT_TD!D86,KB!$J$37:$AJ$37,0)+1),0)</f>
        <v>46.565999999999995</v>
      </c>
      <c r="H86" s="118" cm="1">
        <f t="array" ref="H86">IFERROR(INDEX(DATA_TĐ!$B$1:$AZ$19,MATCH(XL_DT_TD!E86,DATA_TĐ!B:B,0),MATCH(XL_DT_TD!C86,DATA_TĐ!$1:$1,0)-1),0)</f>
        <v>0</v>
      </c>
      <c r="I86" s="118">
        <f ca="1">H86/DAY(NOW()-1)*'Hieu Qua NV'!$J$1</f>
        <v>0</v>
      </c>
      <c r="J86" s="118">
        <f t="shared" si="25"/>
        <v>46.565999999999995</v>
      </c>
      <c r="K86" s="118">
        <f ca="1">J86/'Hieu Qua NV'!$J$2</f>
        <v>2.0246086956521738</v>
      </c>
      <c r="L86" s="119">
        <f t="shared" ca="1" si="23"/>
        <v>0</v>
      </c>
      <c r="M86" s="118">
        <f ca="1">IFERROR(
INDEX(
KB!$I$55:$AJ$68,
MATCH(E86,KB!$I$55:$I$68,0),
MATCH(D86,KB!$I$55:$AJ$55,0)
),
0)</f>
        <v>12</v>
      </c>
      <c r="S86" s="669" cm="1">
        <f t="array" aca="1" ref="S86" ca="1">_xlfn.IFS(
CONFIG!$B$8="W1",H86-N86,
CONFIG!$B$8="W2",H86-O86,
CONFIG!$B$8="W3",H86-P86,
CONFIG!$B$8="W4",H86-Q86,
CONFIG!$B$8="W5",H86-R86
)</f>
        <v>0</v>
      </c>
      <c r="T86" s="652">
        <f t="shared" ca="1" si="19"/>
        <v>0</v>
      </c>
    </row>
    <row r="87" spans="3:20" ht="19" customHeight="1">
      <c r="C87" s="116" t="str">
        <f>INDEX(KB!C:D,MATCH(D87,KB!D:D,0),1)</f>
        <v>FECREDIT, SHINHAN, SAMSUNG FINANCE+</v>
      </c>
      <c r="D87" s="116" t="s">
        <v>30</v>
      </c>
      <c r="E87" s="321" t="s">
        <v>60</v>
      </c>
      <c r="F87" s="116" t="str">
        <f t="shared" si="24"/>
        <v>FECREDIT, SHINHAN, SAMSUNG FINANCE+Nguyễn Viết Sơn - 94065</v>
      </c>
      <c r="G87" s="118" cm="1">
        <f t="array" ref="G87">IFERROR(INDEX(KB!$I$38:$AJ$50,MATCH(XL_DT_TD!E87,KB!$I$38:$I$50,0),MATCH(XL_DT_TD!D87,KB!$J$37:$AJ$37,0)+1),0)</f>
        <v>46.565999999999995</v>
      </c>
      <c r="H87" s="118" cm="1">
        <f t="array" ref="H87">IFERROR(INDEX(DATA_TĐ!$B$1:$AZ$19,MATCH(XL_DT_TD!E87,DATA_TĐ!B:B,0),MATCH(XL_DT_TD!C87,DATA_TĐ!$1:$1,0)-1),0)</f>
        <v>12.03</v>
      </c>
      <c r="I87" s="118">
        <f ca="1">H87/DAY(NOW()-1)*'Hieu Qua NV'!$J$1</f>
        <v>60.15</v>
      </c>
      <c r="J87" s="118">
        <f t="shared" si="25"/>
        <v>34.535999999999994</v>
      </c>
      <c r="K87" s="118">
        <f ca="1">J87/'Hieu Qua NV'!$J$2</f>
        <v>1.5015652173913041</v>
      </c>
      <c r="L87" s="119">
        <f t="shared" ca="1" si="23"/>
        <v>1.291714985182322</v>
      </c>
      <c r="M87" s="118">
        <f ca="1">IFERROR(
INDEX(
KB!$I$55:$AJ$68,
MATCH(E87,KB!$I$55:$I$68,0),
MATCH(D87,KB!$I$55:$AJ$55,0)
),
0)</f>
        <v>12</v>
      </c>
      <c r="S87" s="669" cm="1">
        <f t="array" aca="1" ref="S87" ca="1">_xlfn.IFS(
CONFIG!$B$8="W1",H87-N87,
CONFIG!$B$8="W2",H87-O87,
CONFIG!$B$8="W3",H87-P87,
CONFIG!$B$8="W4",H87-Q87,
CONFIG!$B$8="W5",H87-R87
)</f>
        <v>12.03</v>
      </c>
      <c r="T87" s="652">
        <f t="shared" ca="1" si="19"/>
        <v>1.0024999999999999</v>
      </c>
    </row>
    <row r="88" spans="3:20" ht="19" customHeight="1">
      <c r="C88" s="116" t="str">
        <f>INDEX(KB!C:D,MATCH(D88,KB!D:D,0),1)</f>
        <v>FECREDIT, SHINHAN, SAMSUNG FINANCE+</v>
      </c>
      <c r="D88" s="116" t="s">
        <v>30</v>
      </c>
      <c r="E88" s="321" t="s">
        <v>15</v>
      </c>
      <c r="F88" s="116" t="str">
        <f t="shared" si="24"/>
        <v>FECREDIT, SHINHAN, SAMSUNG FINANCE+Nguyễn Trang Nhung - 25734</v>
      </c>
      <c r="G88" s="118" cm="1">
        <f t="array" ref="G88">IFERROR(INDEX(KB!$I$38:$AJ$50,MATCH(XL_DT_TD!E88,KB!$I$38:$I$50,0),MATCH(XL_DT_TD!D88,KB!$J$37:$AJ$37,0)+1),0)</f>
        <v>56.913999999999994</v>
      </c>
      <c r="H88" s="118" cm="1">
        <f t="array" ref="H88">IFERROR(INDEX(DATA_TĐ!$B$1:$AZ$19,MATCH(XL_DT_TD!E88,DATA_TĐ!B:B,0),MATCH(XL_DT_TD!C88,DATA_TĐ!$1:$1,0)-1),0)</f>
        <v>0</v>
      </c>
      <c r="I88" s="118">
        <f ca="1">H88/DAY(NOW()-1)*'Hieu Qua NV'!$J$1</f>
        <v>0</v>
      </c>
      <c r="J88" s="118">
        <f t="shared" si="25"/>
        <v>56.913999999999994</v>
      </c>
      <c r="K88" s="118">
        <f ca="1">J88/'Hieu Qua NV'!$J$2</f>
        <v>2.4745217391304344</v>
      </c>
      <c r="L88" s="119">
        <f t="shared" ca="1" si="23"/>
        <v>0</v>
      </c>
      <c r="M88" s="118">
        <f ca="1">IFERROR(
INDEX(
KB!$I$55:$AJ$68,
MATCH(E88,KB!$I$55:$I$68,0),
MATCH(D88,KB!$I$55:$AJ$55,0)
),
0)</f>
        <v>14</v>
      </c>
      <c r="S88" s="669" cm="1">
        <f t="array" aca="1" ref="S88" ca="1">_xlfn.IFS(
CONFIG!$B$8="W1",H88-N88,
CONFIG!$B$8="W2",H88-O88,
CONFIG!$B$8="W3",H88-P88,
CONFIG!$B$8="W4",H88-Q88,
CONFIG!$B$8="W5",H88-R88
)</f>
        <v>0</v>
      </c>
      <c r="T88" s="652">
        <f t="shared" ca="1" si="19"/>
        <v>0</v>
      </c>
    </row>
    <row r="89" spans="3:20" ht="19" customHeight="1">
      <c r="C89" s="116" t="str">
        <f>INDEX(KB!C:D,MATCH(D89,KB!D:D,0),1)</f>
        <v>FECREDIT, SHINHAN, SAMSUNG FINANCE+</v>
      </c>
      <c r="D89" s="116" t="s">
        <v>30</v>
      </c>
      <c r="E89" s="321" t="s">
        <v>151</v>
      </c>
      <c r="F89" s="116" t="str">
        <f t="shared" si="24"/>
        <v>FECREDIT, SHINHAN, SAMSUNG FINANCE+Trần Huy Hoàn - 270828</v>
      </c>
      <c r="G89" s="118" cm="1">
        <f t="array" ref="G89">IFERROR(INDEX(KB!$I$38:$AJ$50,MATCH(XL_DT_TD!E89,KB!$I$38:$I$50,0),MATCH(XL_DT_TD!D89,KB!$J$37:$AJ$37,0)+1),0)</f>
        <v>46.565999999999995</v>
      </c>
      <c r="H89" s="118" cm="1">
        <f t="array" ref="H89">IFERROR(INDEX(DATA_TĐ!$B$1:$AZ$19,MATCH(XL_DT_TD!E89,DATA_TĐ!B:B,0),MATCH(XL_DT_TD!C89,DATA_TĐ!$1:$1,0)-1),0)</f>
        <v>0</v>
      </c>
      <c r="I89" s="118">
        <f ca="1">H89/DAY(NOW()-1)*'Hieu Qua NV'!$J$1</f>
        <v>0</v>
      </c>
      <c r="J89" s="118">
        <f t="shared" si="25"/>
        <v>46.565999999999995</v>
      </c>
      <c r="K89" s="118">
        <f ca="1">J89/'Hieu Qua NV'!$J$2</f>
        <v>2.0246086956521738</v>
      </c>
      <c r="L89" s="119">
        <f t="shared" ca="1" si="23"/>
        <v>0</v>
      </c>
      <c r="M89" s="118">
        <f ca="1">IFERROR(
INDEX(
KB!$I$55:$AJ$68,
MATCH(E89,KB!$I$55:$I$68,0),
MATCH(D89,KB!$I$55:$AJ$55,0)
),
0)</f>
        <v>12</v>
      </c>
      <c r="S89" s="669" cm="1">
        <f t="array" aca="1" ref="S89" ca="1">_xlfn.IFS(
CONFIG!$B$8="W1",H89-N89,
CONFIG!$B$8="W2",H89-O89,
CONFIG!$B$8="W3",H89-P89,
CONFIG!$B$8="W4",H89-Q89,
CONFIG!$B$8="W5",H89-R89
)</f>
        <v>0</v>
      </c>
      <c r="T89" s="652">
        <f t="shared" ca="1" si="19"/>
        <v>0</v>
      </c>
    </row>
    <row r="90" spans="3:20" ht="19" customHeight="1">
      <c r="C90" s="116" t="str">
        <f>INDEX(KB!C:D,MATCH(D90,KB!D:D,0),1)</f>
        <v>FECREDIT, SHINHAN, SAMSUNG FINANCE+</v>
      </c>
      <c r="D90" s="116" t="s">
        <v>30</v>
      </c>
      <c r="E90" s="321" t="s">
        <v>293</v>
      </c>
      <c r="F90" s="116" t="str">
        <f t="shared" si="24"/>
        <v>FECREDIT, SHINHAN, SAMSUNG FINANCE+Phạm Văn Thanh - 279935</v>
      </c>
      <c r="G90" s="118" cm="1">
        <f t="array" ref="G90">IFERROR(INDEX(KB!$I$38:$AJ$50,MATCH(XL_DT_TD!E90,KB!$I$38:$I$50,0),MATCH(XL_DT_TD!D90,KB!$J$37:$AJ$37,0)+1),0)</f>
        <v>25.87</v>
      </c>
      <c r="H90" s="118" cm="1">
        <f t="array" ref="H90">IFERROR(INDEX(DATA_TĐ!$B$1:$AZ$19,MATCH(XL_DT_TD!E90,DATA_TĐ!B:B,0),MATCH(XL_DT_TD!C90,DATA_TĐ!$1:$1,0)-1),0)</f>
        <v>0</v>
      </c>
      <c r="I90" s="118">
        <f ca="1">H90/DAY(NOW()-1)*'Hieu Qua NV'!$J$1</f>
        <v>0</v>
      </c>
      <c r="J90" s="118">
        <f t="shared" si="25"/>
        <v>25.87</v>
      </c>
      <c r="K90" s="118">
        <f ca="1">J90/'Hieu Qua NV'!$J$2</f>
        <v>1.1247826086956523</v>
      </c>
      <c r="L90" s="119">
        <f t="shared" ca="1" si="23"/>
        <v>0</v>
      </c>
      <c r="M90" s="118">
        <f ca="1">IFERROR(
INDEX(
KB!$I$55:$AJ$68,
MATCH(E90,KB!$I$55:$I$68,0),
MATCH(D90,KB!$I$55:$AJ$55,0)
),
0)</f>
        <v>6</v>
      </c>
      <c r="S90" s="669" cm="1">
        <f t="array" aca="1" ref="S90" ca="1">_xlfn.IFS(
CONFIG!$B$8="W1",H90-N90,
CONFIG!$B$8="W2",H90-O90,
CONFIG!$B$8="W3",H90-P90,
CONFIG!$B$8="W4",H90-Q90,
CONFIG!$B$8="W5",H90-R90
)</f>
        <v>0</v>
      </c>
      <c r="T90" s="652">
        <f t="shared" ca="1" si="19"/>
        <v>0</v>
      </c>
    </row>
    <row r="91" spans="3:20" ht="19" customHeight="1">
      <c r="C91" s="116" t="str">
        <f>INDEX(KB!C:D,MATCH(D91,KB!D:D,0),1)</f>
        <v>FECREDIT, SHINHAN, SAMSUNG FINANCE+</v>
      </c>
      <c r="D91" s="116" t="s">
        <v>30</v>
      </c>
      <c r="E91" s="321" t="s">
        <v>433</v>
      </c>
      <c r="F91" s="116" t="str">
        <f t="shared" si="24"/>
        <v>FECREDIT, SHINHAN, SAMSUNG FINANCE+Nguyễn Thành Đạt - 280855</v>
      </c>
      <c r="G91" s="118" cm="1">
        <f t="array" ref="G91">IFERROR(INDEX(KB!$I$38:$AJ$50,MATCH(XL_DT_TD!E91,KB!$I$38:$I$50,0),MATCH(XL_DT_TD!D91,KB!$J$37:$AJ$37,0)+1),0)</f>
        <v>25.87</v>
      </c>
      <c r="H91" s="118" cm="1">
        <f t="array" ref="H91">IFERROR(INDEX(DATA_TĐ!$B$1:$AZ$19,MATCH(XL_DT_TD!E91,DATA_TĐ!B:B,0),MATCH(XL_DT_TD!C91,DATA_TĐ!$1:$1,0)-1),0)</f>
        <v>0</v>
      </c>
      <c r="I91" s="118">
        <f ca="1">H91/DAY(NOW()-1)*'Hieu Qua NV'!$J$1</f>
        <v>0</v>
      </c>
      <c r="J91" s="118">
        <f t="shared" si="25"/>
        <v>25.87</v>
      </c>
      <c r="K91" s="118">
        <f ca="1">J91/'Hieu Qua NV'!$J$2</f>
        <v>1.1247826086956523</v>
      </c>
      <c r="L91" s="119">
        <f t="shared" ca="1" si="23"/>
        <v>0</v>
      </c>
      <c r="M91" s="118">
        <f ca="1">IFERROR(
INDEX(
KB!$I$55:$AJ$68,
MATCH(E91,KB!$I$55:$I$68,0),
MATCH(D91,KB!$I$55:$AJ$55,0)
),
0)</f>
        <v>6</v>
      </c>
      <c r="S91" s="669" cm="1">
        <f t="array" aca="1" ref="S91" ca="1">_xlfn.IFS(
CONFIG!$B$8="W1",H91-N91,
CONFIG!$B$8="W2",H91-O91,
CONFIG!$B$8="W3",H91-P91,
CONFIG!$B$8="W4",H91-Q91,
CONFIG!$B$8="W5",H91-R91
)</f>
        <v>0</v>
      </c>
      <c r="T91" s="652">
        <f t="shared" ca="1" si="19"/>
        <v>0</v>
      </c>
    </row>
    <row r="92" spans="3:20" ht="19" customHeight="1">
      <c r="C92" s="116" t="str">
        <f>INDEX(KB!C:D,MATCH(D92,KB!D:D,0),1)</f>
        <v>FECREDIT, SHINHAN, SAMSUNG FINANCE+</v>
      </c>
      <c r="D92" s="116" t="s">
        <v>30</v>
      </c>
      <c r="E92" s="321" t="s">
        <v>56</v>
      </c>
      <c r="F92" s="116" t="str">
        <f t="shared" si="24"/>
        <v>FECREDIT, SHINHAN, SAMSUNG FINANCE+Đỗ Văn Duân - 62025</v>
      </c>
      <c r="G92" s="118" cm="1">
        <f t="array" ref="G92">IFERROR(INDEX(KB!$I$38:$AJ$50,MATCH(XL_DT_TD!E92,KB!$I$38:$I$50,0),MATCH(XL_DT_TD!D92,KB!$J$37:$AJ$37,0)+1),0)</f>
        <v>46.565999999999995</v>
      </c>
      <c r="H92" s="118" cm="1">
        <f t="array" ref="H92">IFERROR(INDEX(DATA_TĐ!$B$1:$AZ$19,MATCH(XL_DT_TD!E92,DATA_TĐ!B:B,0),MATCH(XL_DT_TD!C92,DATA_TĐ!$1:$1,0)-1),0)</f>
        <v>28.13</v>
      </c>
      <c r="I92" s="118">
        <f ca="1">H92/DAY(NOW()-1)*'Hieu Qua NV'!$J$1</f>
        <v>140.65</v>
      </c>
      <c r="J92" s="118">
        <f t="shared" si="25"/>
        <v>18.435999999999996</v>
      </c>
      <c r="K92" s="118">
        <f ca="1">J92/'Hieu Qua NV'!$J$2</f>
        <v>0.80156521739130415</v>
      </c>
      <c r="L92" s="119">
        <f t="shared" ca="1" si="23"/>
        <v>3.0204441008461114</v>
      </c>
      <c r="M92" s="118">
        <f ca="1">IFERROR(
INDEX(
KB!$I$55:$AJ$68,
MATCH(E92,KB!$I$55:$I$68,0),
MATCH(D92,KB!$I$55:$AJ$55,0)
),
0)</f>
        <v>12</v>
      </c>
      <c r="S92" s="669" cm="1">
        <f t="array" aca="1" ref="S92" ca="1">_xlfn.IFS(
CONFIG!$B$8="W1",H92-N92,
CONFIG!$B$8="W2",H92-O92,
CONFIG!$B$8="W3",H92-P92,
CONFIG!$B$8="W4",H92-Q92,
CONFIG!$B$8="W5",H92-R92
)</f>
        <v>28.13</v>
      </c>
      <c r="T92" s="652">
        <f t="shared" ca="1" si="19"/>
        <v>2.3441666666666667</v>
      </c>
    </row>
    <row r="93" spans="3:20" ht="19" customHeight="1">
      <c r="C93" s="116" t="str">
        <f>INDEX(KB!C:D,MATCH(D93,KB!D:D,0),1)</f>
        <v>FECREDIT, SHINHAN, SAMSUNG FINANCE+</v>
      </c>
      <c r="D93" s="116" t="s">
        <v>30</v>
      </c>
      <c r="E93" s="321" t="s">
        <v>530</v>
      </c>
      <c r="F93" s="116" t="str">
        <f t="shared" si="24"/>
        <v>FECREDIT, SHINHAN, SAMSUNG FINANCE+Nhân viên Mới 1</v>
      </c>
      <c r="G93" s="118" cm="1">
        <f t="array" ref="G93">IFERROR(INDEX(KB!$I$38:$AJ$50,MATCH(XL_DT_TD!E93,KB!$I$38:$I$50,0),MATCH(XL_DT_TD!D93,KB!$J$37:$AJ$37,0)+1),0)</f>
        <v>0</v>
      </c>
      <c r="H93" s="118" cm="1">
        <f t="array" ref="H93">IFERROR(INDEX(DATA_TĐ!$B$1:$AZ$19,MATCH(XL_DT_TD!E93,DATA_TĐ!B:B,0),MATCH(XL_DT_TD!C93,DATA_TĐ!$1:$1,0)-1),0)</f>
        <v>0</v>
      </c>
      <c r="I93" s="118">
        <f ca="1">H93/DAY(NOW()-1)*'Hieu Qua NV'!$J$1</f>
        <v>0</v>
      </c>
      <c r="J93" s="118">
        <f t="shared" si="25"/>
        <v>0</v>
      </c>
      <c r="K93" s="118">
        <f ca="1">J93/'Hieu Qua NV'!$J$2</f>
        <v>0</v>
      </c>
      <c r="L93" s="119" t="e">
        <f t="shared" ca="1" si="23"/>
        <v>#DIV/0!</v>
      </c>
      <c r="M93" s="118">
        <f ca="1">IFERROR(
INDEX(
KB!$I$55:$AJ$68,
MATCH(E93,KB!$I$55:$I$68,0),
MATCH(D93,KB!$I$55:$AJ$55,0)
),
0)</f>
        <v>0</v>
      </c>
      <c r="S93" s="669" cm="1">
        <f t="array" aca="1" ref="S93" ca="1">_xlfn.IFS(
CONFIG!$B$8="W1",H93-N93,
CONFIG!$B$8="W2",H93-O93,
CONFIG!$B$8="W3",H93-P93,
CONFIG!$B$8="W4",H93-Q93,
CONFIG!$B$8="W5",H93-R93
)</f>
        <v>0</v>
      </c>
      <c r="T93" s="652">
        <f t="shared" ca="1" si="19"/>
        <v>0</v>
      </c>
    </row>
    <row r="94" spans="3:20" ht="19" customHeight="1">
      <c r="C94" s="116" t="str">
        <f>INDEX(KB!C:D,MATCH(D94,KB!D:D,0),1)</f>
        <v>FECREDIT, SHINHAN, SAMSUNG FINANCE+</v>
      </c>
      <c r="D94" s="116" t="s">
        <v>30</v>
      </c>
      <c r="E94" s="321" t="s">
        <v>560</v>
      </c>
      <c r="F94" s="116" t="str">
        <f t="shared" si="24"/>
        <v>FECREDIT, SHINHAN, SAMSUNG FINANCE+Nhân viên Mới 2</v>
      </c>
      <c r="G94" s="118" cm="1">
        <f t="array" ref="G94">IFERROR(INDEX(KB!$I$38:$AJ$50,MATCH(XL_DT_TD!E94,KB!$I$38:$I$50,0),MATCH(XL_DT_TD!D94,KB!$J$37:$AJ$37,0)+1),0)</f>
        <v>0</v>
      </c>
      <c r="H94" s="118" cm="1">
        <f t="array" ref="H94">IFERROR(INDEX(DATA_TĐ!$B$1:$AZ$19,MATCH(XL_DT_TD!E94,DATA_TĐ!B:B,0),MATCH(XL_DT_TD!C94,DATA_TĐ!$1:$1,0)-1),0)</f>
        <v>0</v>
      </c>
      <c r="I94" s="118">
        <f ca="1">H94/DAY(NOW()-1)*'Hieu Qua NV'!$J$1</f>
        <v>0</v>
      </c>
      <c r="J94" s="118">
        <f t="shared" si="25"/>
        <v>0</v>
      </c>
      <c r="K94" s="118">
        <f ca="1">J94/'Hieu Qua NV'!$J$2</f>
        <v>0</v>
      </c>
      <c r="L94" s="119" t="e">
        <f t="shared" ca="1" si="23"/>
        <v>#DIV/0!</v>
      </c>
      <c r="M94" s="118">
        <f ca="1">IFERROR(
INDEX(
KB!$I$55:$AJ$68,
MATCH(E94,KB!$I$55:$I$68,0),
MATCH(D94,KB!$I$55:$AJ$55,0)
),
0)</f>
        <v>0</v>
      </c>
      <c r="N94" s="660"/>
      <c r="S94" s="669" cm="1">
        <f t="array" aca="1" ref="S94" ca="1">_xlfn.IFS(
CONFIG!$B$8="W1",H94-N94,
CONFIG!$B$8="W2",H94-O94,
CONFIG!$B$8="W3",H94-P94,
CONFIG!$B$8="W4",H94-Q94,
CONFIG!$B$8="W5",H94-R94
)</f>
        <v>0</v>
      </c>
      <c r="T94" s="652">
        <f t="shared" ca="1" si="19"/>
        <v>0</v>
      </c>
    </row>
    <row r="95" spans="3:20" ht="19" customHeight="1">
      <c r="C95" s="116" t="str">
        <f>INDEX(KB!C:D,MATCH(D95,KB!D:D,0),1)</f>
        <v>FECREDIT, SHINHAN, SAMSUNG FINANCE+</v>
      </c>
      <c r="D95" s="116" t="s">
        <v>30</v>
      </c>
      <c r="E95" s="117" t="s">
        <v>281</v>
      </c>
      <c r="F95" s="116" t="str">
        <f t="shared" si="24"/>
        <v>FECREDIT, SHINHAN, SAMSUNG FINANCE+Trần Thị Nhung - 11082</v>
      </c>
      <c r="G95" s="118" cm="1">
        <f t="array" ref="G95">IFERROR(INDEX(KB!$I$38:$AJ$50,MATCH(XL_DT_TD!E95,KB!$I$38:$I$50,0),MATCH(XL_DT_TD!D95,KB!$J$37:$AJ$37,0)+1),0)</f>
        <v>97.474999999999994</v>
      </c>
      <c r="H95" s="118" cm="1">
        <f t="array" ref="H95">IFERROR(
  INDEX(DATA_TĐ!$B$36:$Z$47,
    MATCH(TRUE, INDEX(TRIM(DATA_TĐ!$B$36:$B$45)=TRIM(E95),0),0),
    MATCH(TRUE, INDEX(TRIM(DATA_TĐ!$B$36:$Z$36)=TRIM(C95),0),0)
  ),
0)</f>
        <v>39.81</v>
      </c>
      <c r="I95" s="118">
        <f ca="1">H95/DAY(NOW()-1)*'Hieu Qua NV'!$J$1</f>
        <v>199.05</v>
      </c>
      <c r="J95" s="118">
        <f t="shared" si="25"/>
        <v>57.664999999999992</v>
      </c>
      <c r="K95" s="118">
        <f ca="1">J95/'Hieu Qua NV'!$J$2</f>
        <v>2.507173913043478</v>
      </c>
      <c r="L95" s="119">
        <f t="shared" ca="1" si="23"/>
        <v>2.0420620671967171</v>
      </c>
      <c r="M95" s="118">
        <f ca="1">IFERROR(
INDEX(
KB!$I$55:$AJ$68,
MATCH(E95,KB!$I$55:$I$68,0),
MATCH(D95,KB!$I$55:$AJ$55,0)
),
0)</f>
        <v>24</v>
      </c>
      <c r="N95" s="662"/>
      <c r="S95" s="669" cm="1">
        <f t="array" aca="1" ref="S95" ca="1">_xlfn.IFS(
CONFIG!$B$8="W1",H95-N95,
CONFIG!$B$8="W2",H95-O95,
CONFIG!$B$8="W3",H95-P95,
CONFIG!$B$8="W4",H95-Q95,
CONFIG!$B$8="W5",H95-R95
)</f>
        <v>39.81</v>
      </c>
      <c r="T95" s="652">
        <f t="shared" ca="1" si="19"/>
        <v>1.6587500000000002</v>
      </c>
    </row>
    <row r="96" spans="3:20" ht="19" customHeight="1">
      <c r="C96" s="116" t="str">
        <f>INDEX(KB!C:D,MATCH(D96,KB!D:D,0),1)</f>
        <v>FECREDIT, SHINHAN, SAMSUNG FINANCE+</v>
      </c>
      <c r="D96" s="116" t="s">
        <v>30</v>
      </c>
      <c r="E96" s="117" t="s">
        <v>282</v>
      </c>
      <c r="F96" s="116" t="str">
        <f t="shared" si="24"/>
        <v>FECREDIT, SHINHAN, SAMSUNG FINANCE+Nguyễn Thị Phương Oanh - 164808</v>
      </c>
      <c r="G96" s="118" cm="1">
        <f t="array" ref="G96">IFERROR(INDEX(KB!$I$38:$AJ$50,MATCH(XL_DT_TD!E96,KB!$I$38:$I$50,0),MATCH(XL_DT_TD!D96,KB!$J$37:$AJ$37,0)+1),0)</f>
        <v>136.46499999999997</v>
      </c>
      <c r="H96" s="118" cm="1">
        <f t="array" ref="H96">IFERROR(
  INDEX(DATA_TĐ!$B$36:$Z$47,
    MATCH(TRUE, INDEX(TRIM(DATA_TĐ!$B$36:$B$45)=TRIM(E96),0),0),
    MATCH(TRUE, INDEX(TRIM(DATA_TĐ!$B$36:$Z$36)=TRIM(C96),0),0)
  ),
0)</f>
        <v>9.9</v>
      </c>
      <c r="I96" s="118">
        <f ca="1">H96/DAY(NOW()-1)*'Hieu Qua NV'!$J$1</f>
        <v>49.500000000000007</v>
      </c>
      <c r="J96" s="118">
        <f t="shared" si="25"/>
        <v>126.56499999999997</v>
      </c>
      <c r="K96" s="118">
        <f ca="1">J96/'Hieu Qua NV'!$J$2</f>
        <v>5.50282608695652</v>
      </c>
      <c r="L96" s="119">
        <f t="shared" ca="1" si="23"/>
        <v>0.36273037042465112</v>
      </c>
      <c r="M96" s="118">
        <f ca="1">IFERROR(
INDEX(
KB!$I$55:$AJ$68,
MATCH(E96,KB!$I$55:$I$68,0),
MATCH(D96,KB!$I$55:$AJ$55,0)
),
0)</f>
        <v>34</v>
      </c>
      <c r="N96" s="663"/>
      <c r="S96" s="669" cm="1">
        <f t="array" aca="1" ref="S96" ca="1">_xlfn.IFS(
CONFIG!$B$8="W1",H96-N96,
CONFIG!$B$8="W2",H96-O96,
CONFIG!$B$8="W3",H96-P96,
CONFIG!$B$8="W4",H96-Q96,
CONFIG!$B$8="W5",H96-R96
)</f>
        <v>9.9</v>
      </c>
      <c r="T96" s="652">
        <f t="shared" ca="1" si="19"/>
        <v>0.29117647058823531</v>
      </c>
    </row>
    <row r="97" spans="3:20" ht="19" customHeight="1">
      <c r="C97" s="116" t="str">
        <f>INDEX(KB!C:D,MATCH(D97,KB!D:D,0),1)</f>
        <v>FECREDIT, SHINHAN, SAMSUNG FINANCE+</v>
      </c>
      <c r="D97" s="116" t="s">
        <v>30</v>
      </c>
      <c r="E97" s="117" t="s">
        <v>283</v>
      </c>
      <c r="F97" s="116" t="str">
        <f t="shared" si="24"/>
        <v>FECREDIT, SHINHAN, SAMSUNG FINANCE+Nguyễn Anh Tài - 269055</v>
      </c>
      <c r="G97" s="118" cm="1">
        <f t="array" ref="G97">IFERROR(INDEX(KB!$I$38:$AJ$50,MATCH(XL_DT_TD!E97,KB!$I$38:$I$50,0),MATCH(XL_DT_TD!D97,KB!$J$37:$AJ$37,0)+1),0)</f>
        <v>116.96999999999998</v>
      </c>
      <c r="H97" s="118" cm="1">
        <f t="array" ref="H97">IFERROR(
  INDEX(DATA_TĐ!$B$36:$Z$47,
    MATCH(TRUE, INDEX(TRIM(DATA_TĐ!$B$36:$B$45)=TRIM(E97),0),0),
    MATCH(TRUE, INDEX(TRIM(DATA_TĐ!$B$36:$Z$36)=TRIM(C97),0),0)
  ),
0)</f>
        <v>0</v>
      </c>
      <c r="I97" s="118">
        <f ca="1">H97/DAY(NOW()-1)*'Hieu Qua NV'!$J$1</f>
        <v>0</v>
      </c>
      <c r="J97" s="118">
        <f t="shared" si="25"/>
        <v>116.96999999999998</v>
      </c>
      <c r="K97" s="118">
        <f ca="1">J97/'Hieu Qua NV'!$J$2</f>
        <v>5.0856521739130427</v>
      </c>
      <c r="L97" s="119">
        <f t="shared" ca="1" si="23"/>
        <v>0</v>
      </c>
      <c r="M97" s="118">
        <f ca="1">IFERROR(
INDEX(
KB!$I$55:$AJ$68,
MATCH(E97,KB!$I$55:$I$68,0),
MATCH(D97,KB!$I$55:$AJ$55,0)
),
0)</f>
        <v>29</v>
      </c>
      <c r="N97" s="663"/>
      <c r="S97" s="669" cm="1">
        <f t="array" aca="1" ref="S97" ca="1">_xlfn.IFS(
CONFIG!$B$8="W1",H97-N97,
CONFIG!$B$8="W2",H97-O97,
CONFIG!$B$8="W3",H97-P97,
CONFIG!$B$8="W4",H97-Q97,
CONFIG!$B$8="W5",H97-R97
)</f>
        <v>0</v>
      </c>
      <c r="T97" s="652">
        <f t="shared" ca="1" si="19"/>
        <v>0</v>
      </c>
    </row>
    <row r="98" spans="3:20" ht="19" customHeight="1">
      <c r="C98" s="116" t="str">
        <f>INDEX(KB!C:D,MATCH(D98,KB!D:D,0),1)</f>
        <v>FECREDIT, SHINHAN, SAMSUNG FINANCE+</v>
      </c>
      <c r="D98" s="116" t="s">
        <v>30</v>
      </c>
      <c r="E98" s="117" t="s">
        <v>284</v>
      </c>
      <c r="F98" s="116" t="str">
        <f t="shared" si="24"/>
        <v>FECREDIT, SHINHAN, SAMSUNG FINANCE+Lê Văn Hợp - 279884</v>
      </c>
      <c r="G98" s="118" cm="1">
        <f t="array" ref="G98">IFERROR(INDEX(KB!$I$38:$AJ$50,MATCH(XL_DT_TD!E98,KB!$I$38:$I$50,0),MATCH(XL_DT_TD!D98,KB!$J$37:$AJ$37,0)+1),0)</f>
        <v>38.99</v>
      </c>
      <c r="H98" s="118" cm="1">
        <f t="array" ref="H98">IFERROR(
  INDEX(DATA_TĐ!$B$36:$Z$47,
    MATCH(TRUE, INDEX(TRIM(DATA_TĐ!$B$36:$B$45)=TRIM(E98),0),0),
    MATCH(TRUE, INDEX(TRIM(DATA_TĐ!$B$36:$Z$36)=TRIM(C98),0),0)
  ),
0)</f>
        <v>0</v>
      </c>
      <c r="I98" s="118">
        <f ca="1">H98/DAY(NOW()-1)*'Hieu Qua NV'!$J$1</f>
        <v>0</v>
      </c>
      <c r="J98" s="118">
        <f t="shared" si="25"/>
        <v>38.99</v>
      </c>
      <c r="K98" s="118">
        <f ca="1">J98/'Hieu Qua NV'!$J$2</f>
        <v>1.695217391304348</v>
      </c>
      <c r="L98" s="119">
        <f t="shared" ca="1" si="23"/>
        <v>0</v>
      </c>
      <c r="M98" s="118">
        <f ca="1">IFERROR(
INDEX(
KB!$I$55:$AJ$68,
MATCH(E98,KB!$I$55:$I$68,0),
MATCH(D98,KB!$I$55:$AJ$55,0)
),
0)</f>
        <v>10</v>
      </c>
      <c r="N98" s="663"/>
      <c r="S98" s="669" cm="1">
        <f t="array" aca="1" ref="S98" ca="1">_xlfn.IFS(
CONFIG!$B$8="W1",H98-N98,
CONFIG!$B$8="W2",H98-O98,
CONFIG!$B$8="W3",H98-P98,
CONFIG!$B$8="W4",H98-Q98,
CONFIG!$B$8="W5",H98-R98
)</f>
        <v>0</v>
      </c>
      <c r="T98" s="652">
        <f t="shared" ca="1" si="19"/>
        <v>0</v>
      </c>
    </row>
    <row r="99" spans="3:20" ht="19" customHeight="1">
      <c r="C99" s="120" t="str">
        <f>INDEX(KB!C:D,MATCH(D99,KB!D:D,0),1)</f>
        <v>FECREDIT, SHINHAN, SAMSUNG FINANCE+</v>
      </c>
      <c r="D99" s="120" t="s">
        <v>30</v>
      </c>
      <c r="E99" s="120" t="s">
        <v>20</v>
      </c>
      <c r="F99" s="121" t="str">
        <f t="shared" si="24"/>
        <v>FECREDIT, SHINHAN, SAMSUNG FINANCE+Tổng</v>
      </c>
      <c r="G99" s="122">
        <f t="shared" ref="G99" si="29">SUM(G86:G97)</f>
        <v>645.82799999999997</v>
      </c>
      <c r="H99" s="122">
        <f t="shared" ref="H99:I99" si="30">SUM(H86:H97)</f>
        <v>89.87</v>
      </c>
      <c r="I99" s="122">
        <f t="shared" ca="1" si="30"/>
        <v>449.35</v>
      </c>
      <c r="J99" s="122">
        <f t="shared" si="25"/>
        <v>555.95799999999997</v>
      </c>
      <c r="K99" s="122">
        <f ca="1">J99/'Hieu Qua NV'!$J$2</f>
        <v>24.172086956521738</v>
      </c>
      <c r="L99" s="119">
        <f t="shared" ca="1" si="23"/>
        <v>0.69577348767783376</v>
      </c>
      <c r="M99" s="122">
        <f t="shared" ref="M99" ca="1" si="31">SUM(M86:M97)</f>
        <v>161</v>
      </c>
      <c r="N99" s="663"/>
      <c r="S99" s="669" cm="1">
        <f t="array" aca="1" ref="S99" ca="1">_xlfn.IFS(
CONFIG!$B$8="W1",H99-N99,
CONFIG!$B$8="W2",H99-O99,
CONFIG!$B$8="W3",H99-P99,
CONFIG!$B$8="W4",H99-Q99,
CONFIG!$B$8="W5",H99-R99
)</f>
        <v>89.87</v>
      </c>
      <c r="T99" s="652">
        <f t="shared" ca="1" si="19"/>
        <v>0.55819875776397521</v>
      </c>
    </row>
    <row r="100" spans="3:20" ht="19" customHeight="1">
      <c r="C100" s="116" t="str">
        <f>INDEX(KB!C:D,MATCH(D100,KB!D:D,0),1)</f>
        <v>TRẢ CHẬM HOMECREDIT</v>
      </c>
      <c r="D100" s="116" t="s">
        <v>32</v>
      </c>
      <c r="E100" s="321" t="s">
        <v>57</v>
      </c>
      <c r="F100" s="116" t="str">
        <f t="shared" si="24"/>
        <v>TRẢ CHẬM HOMECREDITNguyễn Thị Ngọc - 54026</v>
      </c>
      <c r="G100" s="118" cm="1">
        <f t="array" ref="G100">IFERROR(INDEX(KB!$I$38:$AJ$50,MATCH(XL_DT_TD!E100,KB!$I$38:$I$50,0),MATCH(XL_DT_TD!D100,KB!$J$37:$AJ$37,0)+1),0)</f>
        <v>96.932000000000002</v>
      </c>
      <c r="H100" s="118" cm="1">
        <f t="array" ref="H100">IFERROR(INDEX(DATA_TĐ!$B$1:$AZ$19,MATCH(XL_DT_TD!E100,DATA_TĐ!B:B,0),MATCH(XL_DT_TD!C100,DATA_TĐ!$1:$1,0)-1),0)</f>
        <v>23.08</v>
      </c>
      <c r="I100" s="118">
        <f ca="1">H100/DAY(NOW()-1)*'Hieu Qua NV'!$J$1</f>
        <v>115.39999999999999</v>
      </c>
      <c r="J100" s="118">
        <f t="shared" si="25"/>
        <v>73.852000000000004</v>
      </c>
      <c r="K100" s="118">
        <f ca="1">J100/'Hieu Qua NV'!$J$2</f>
        <v>3.2109565217391305</v>
      </c>
      <c r="L100" s="119">
        <f t="shared" ca="1" si="23"/>
        <v>1.1905253167168737</v>
      </c>
      <c r="M100" s="118">
        <f ca="1">IFERROR(
INDEX(
KB!$I$55:$AJ$68,
MATCH(E100,KB!$I$55:$I$68,0),
MATCH(D100,KB!$I$55:$AJ$55,0)
),
0)</f>
        <v>24</v>
      </c>
      <c r="N100" s="663"/>
      <c r="S100" s="669" cm="1">
        <f t="array" aca="1" ref="S100" ca="1">_xlfn.IFS(
CONFIG!$B$8="W1",H100-N100,
CONFIG!$B$8="W2",H100-O100,
CONFIG!$B$8="W3",H100-P100,
CONFIG!$B$8="W4",H100-Q100,
CONFIG!$B$8="W5",H100-R100
)</f>
        <v>23.08</v>
      </c>
      <c r="T100" s="652">
        <f t="shared" ca="1" si="19"/>
        <v>0.96166666666666656</v>
      </c>
    </row>
    <row r="101" spans="3:20" ht="19" customHeight="1">
      <c r="C101" s="116" t="str">
        <f>INDEX(KB!C:D,MATCH(D101,KB!D:D,0),1)</f>
        <v>TRẢ CHẬM HOMECREDIT</v>
      </c>
      <c r="D101" s="116" t="s">
        <v>32</v>
      </c>
      <c r="E101" s="321" t="s">
        <v>60</v>
      </c>
      <c r="F101" s="116" t="str">
        <f t="shared" si="24"/>
        <v>TRẢ CHẬM HOMECREDITNguyễn Viết Sơn - 94065</v>
      </c>
      <c r="G101" s="118" cm="1">
        <f t="array" ref="G101">IFERROR(INDEX(KB!$I$38:$AJ$50,MATCH(XL_DT_TD!E101,KB!$I$38:$I$50,0),MATCH(XL_DT_TD!D101,KB!$J$37:$AJ$37,0)+1),0)</f>
        <v>66.09</v>
      </c>
      <c r="H101" s="118" cm="1">
        <f t="array" ref="H101">IFERROR(INDEX(DATA_TĐ!$B$1:$AZ$19,MATCH(XL_DT_TD!E101,DATA_TĐ!B:B,0),MATCH(XL_DT_TD!C101,DATA_TĐ!$1:$1,0)-1),0)</f>
        <v>0</v>
      </c>
      <c r="I101" s="118">
        <f ca="1">H101/DAY(NOW()-1)*'Hieu Qua NV'!$J$1</f>
        <v>0</v>
      </c>
      <c r="J101" s="118">
        <f t="shared" si="25"/>
        <v>66.09</v>
      </c>
      <c r="K101" s="118">
        <f ca="1">J101/'Hieu Qua NV'!$J$2</f>
        <v>2.8734782608695655</v>
      </c>
      <c r="L101" s="119">
        <f t="shared" ca="1" si="23"/>
        <v>0</v>
      </c>
      <c r="M101" s="118">
        <f ca="1">IFERROR(
INDEX(
KB!$I$55:$AJ$68,
MATCH(E101,KB!$I$55:$I$68,0),
MATCH(D101,KB!$I$55:$AJ$55,0)
),
0)</f>
        <v>17</v>
      </c>
      <c r="S101" s="669" cm="1">
        <f t="array" aca="1" ref="S101" ca="1">_xlfn.IFS(
CONFIG!$B$8="W1",H101-N101,
CONFIG!$B$8="W2",H101-O101,
CONFIG!$B$8="W3",H101-P101,
CONFIG!$B$8="W4",H101-Q101,
CONFIG!$B$8="W5",H101-R101
)</f>
        <v>0</v>
      </c>
      <c r="T101" s="652">
        <f t="shared" ca="1" si="19"/>
        <v>0</v>
      </c>
    </row>
    <row r="102" spans="3:20" ht="19" customHeight="1">
      <c r="C102" s="116" t="str">
        <f>INDEX(KB!C:D,MATCH(D102,KB!D:D,0),1)</f>
        <v>TRẢ CHẬM HOMECREDIT</v>
      </c>
      <c r="D102" s="116" t="s">
        <v>32</v>
      </c>
      <c r="E102" s="321" t="s">
        <v>15</v>
      </c>
      <c r="F102" s="116" t="str">
        <f t="shared" si="24"/>
        <v>TRẢ CHẬM HOMECREDITNguyễn Trang Nhung - 25734</v>
      </c>
      <c r="G102" s="118" cm="1">
        <f t="array" ref="G102">IFERROR(INDEX(KB!$I$38:$AJ$50,MATCH(XL_DT_TD!E102,KB!$I$38:$I$50,0),MATCH(XL_DT_TD!D102,KB!$J$37:$AJ$37,0)+1),0)</f>
        <v>66.09</v>
      </c>
      <c r="H102" s="118" cm="1">
        <f t="array" ref="H102">IFERROR(INDEX(DATA_TĐ!$B$1:$AZ$19,MATCH(XL_DT_TD!E102,DATA_TĐ!B:B,0),MATCH(XL_DT_TD!C102,DATA_TĐ!$1:$1,0)-1),0)</f>
        <v>11.78</v>
      </c>
      <c r="I102" s="118">
        <f ca="1">H102/DAY(NOW()-1)*'Hieu Qua NV'!$J$1</f>
        <v>58.899999999999991</v>
      </c>
      <c r="J102" s="118">
        <f t="shared" si="25"/>
        <v>54.31</v>
      </c>
      <c r="K102" s="118">
        <f ca="1">J102/'Hieu Qua NV'!$J$2</f>
        <v>2.3613043478260871</v>
      </c>
      <c r="L102" s="119">
        <f t="shared" ca="1" si="23"/>
        <v>0.89120895748222106</v>
      </c>
      <c r="M102" s="118">
        <f ca="1">IFERROR(
INDEX(
KB!$I$55:$AJ$68,
MATCH(E102,KB!$I$55:$I$68,0),
MATCH(D102,KB!$I$55:$AJ$55,0)
),
0)</f>
        <v>17</v>
      </c>
      <c r="S102" s="669" cm="1">
        <f t="array" aca="1" ref="S102" ca="1">_xlfn.IFS(
CONFIG!$B$8="W1",H102-N102,
CONFIG!$B$8="W2",H102-O102,
CONFIG!$B$8="W3",H102-P102,
CONFIG!$B$8="W4",H102-Q102,
CONFIG!$B$8="W5",H102-R102
)</f>
        <v>11.78</v>
      </c>
      <c r="T102" s="652">
        <f t="shared" ca="1" si="19"/>
        <v>0.69294117647058817</v>
      </c>
    </row>
    <row r="103" spans="3:20" ht="19" customHeight="1">
      <c r="C103" s="116" t="str">
        <f>INDEX(KB!C:D,MATCH(D103,KB!D:D,0),1)</f>
        <v>TRẢ CHẬM HOMECREDIT</v>
      </c>
      <c r="D103" s="116" t="s">
        <v>32</v>
      </c>
      <c r="E103" s="321" t="s">
        <v>151</v>
      </c>
      <c r="F103" s="116" t="str">
        <f t="shared" si="24"/>
        <v>TRẢ CHẬM HOMECREDITTrần Huy Hoàn - 270828</v>
      </c>
      <c r="G103" s="118" cm="1">
        <f t="array" ref="G103">IFERROR(INDEX(KB!$I$38:$AJ$50,MATCH(XL_DT_TD!E103,KB!$I$38:$I$50,0),MATCH(XL_DT_TD!D103,KB!$J$37:$AJ$37,0)+1),0)</f>
        <v>79.308000000000007</v>
      </c>
      <c r="H103" s="118" cm="1">
        <f t="array" ref="H103">IFERROR(INDEX(DATA_TĐ!$B$1:$AZ$19,MATCH(XL_DT_TD!E103,DATA_TĐ!B:B,0),MATCH(XL_DT_TD!C103,DATA_TĐ!$1:$1,0)-1),0)</f>
        <v>0</v>
      </c>
      <c r="I103" s="118">
        <f ca="1">H103/DAY(NOW()-1)*'Hieu Qua NV'!$J$1</f>
        <v>0</v>
      </c>
      <c r="J103" s="118">
        <f t="shared" si="25"/>
        <v>79.308000000000007</v>
      </c>
      <c r="K103" s="118">
        <f ca="1">J103/'Hieu Qua NV'!$J$2</f>
        <v>3.4481739130434788</v>
      </c>
      <c r="L103" s="119">
        <f t="shared" ca="1" si="23"/>
        <v>0</v>
      </c>
      <c r="M103" s="118">
        <f ca="1">IFERROR(
INDEX(
KB!$I$55:$AJ$68,
MATCH(E103,KB!$I$55:$I$68,0),
MATCH(D103,KB!$I$55:$AJ$55,0)
),
0)</f>
        <v>20</v>
      </c>
      <c r="S103" s="669" cm="1">
        <f t="array" aca="1" ref="S103" ca="1">_xlfn.IFS(
CONFIG!$B$8="W1",H103-N103,
CONFIG!$B$8="W2",H103-O103,
CONFIG!$B$8="W3",H103-P103,
CONFIG!$B$8="W4",H103-Q103,
CONFIG!$B$8="W5",H103-R103
)</f>
        <v>0</v>
      </c>
      <c r="T103" s="652">
        <f t="shared" ca="1" si="19"/>
        <v>0</v>
      </c>
    </row>
    <row r="104" spans="3:20" ht="19" customHeight="1">
      <c r="C104" s="116" t="str">
        <f>INDEX(KB!C:D,MATCH(D104,KB!D:D,0),1)</f>
        <v>TRẢ CHẬM HOMECREDIT</v>
      </c>
      <c r="D104" s="116" t="s">
        <v>32</v>
      </c>
      <c r="E104" s="321" t="s">
        <v>293</v>
      </c>
      <c r="F104" s="116" t="str">
        <f t="shared" si="24"/>
        <v>TRẢ CHẬM HOMECREDITPhạm Văn Thanh - 279935</v>
      </c>
      <c r="G104" s="118" cm="1">
        <f t="array" ref="G104">IFERROR(INDEX(KB!$I$38:$AJ$50,MATCH(XL_DT_TD!E104,KB!$I$38:$I$50,0),MATCH(XL_DT_TD!D104,KB!$J$37:$AJ$37,0)+1),0)</f>
        <v>44.06</v>
      </c>
      <c r="H104" s="118" cm="1">
        <f t="array" ref="H104">IFERROR(INDEX(DATA_TĐ!$B$1:$AZ$19,MATCH(XL_DT_TD!E104,DATA_TĐ!B:B,0),MATCH(XL_DT_TD!C104,DATA_TĐ!$1:$1,0)-1),0)</f>
        <v>6.27</v>
      </c>
      <c r="I104" s="118">
        <f ca="1">H104/DAY(NOW()-1)*'Hieu Qua NV'!$J$1</f>
        <v>31.349999999999998</v>
      </c>
      <c r="J104" s="118">
        <f t="shared" si="25"/>
        <v>37.790000000000006</v>
      </c>
      <c r="K104" s="118">
        <f ca="1">J104/'Hieu Qua NV'!$J$2</f>
        <v>1.6430434782608698</v>
      </c>
      <c r="L104" s="119">
        <f t="shared" ca="1" si="23"/>
        <v>0.71152973218338622</v>
      </c>
      <c r="M104" s="118">
        <f ca="1">IFERROR(
INDEX(
KB!$I$55:$AJ$68,
MATCH(E104,KB!$I$55:$I$68,0),
MATCH(D104,KB!$I$55:$AJ$55,0)
),
0)</f>
        <v>11</v>
      </c>
      <c r="S104" s="669" cm="1">
        <f t="array" aca="1" ref="S104" ca="1">_xlfn.IFS(
CONFIG!$B$8="W1",H104-N104,
CONFIG!$B$8="W2",H104-O104,
CONFIG!$B$8="W3",H104-P104,
CONFIG!$B$8="W4",H104-Q104,
CONFIG!$B$8="W5",H104-R104
)</f>
        <v>6.27</v>
      </c>
      <c r="T104" s="652">
        <f t="shared" ca="1" si="19"/>
        <v>0.56999999999999995</v>
      </c>
    </row>
    <row r="105" spans="3:20" ht="19" customHeight="1">
      <c r="C105" s="116" t="str">
        <f>INDEX(KB!C:D,MATCH(D105,KB!D:D,0),1)</f>
        <v>TRẢ CHẬM HOMECREDIT</v>
      </c>
      <c r="D105" s="116" t="s">
        <v>32</v>
      </c>
      <c r="E105" s="321" t="s">
        <v>433</v>
      </c>
      <c r="F105" s="116" t="str">
        <f t="shared" si="24"/>
        <v>TRẢ CHẬM HOMECREDITNguyễn Thành Đạt - 280855</v>
      </c>
      <c r="G105" s="118" cm="1">
        <f t="array" ref="G105">IFERROR(INDEX(KB!$I$38:$AJ$50,MATCH(XL_DT_TD!E105,KB!$I$38:$I$50,0),MATCH(XL_DT_TD!D105,KB!$J$37:$AJ$37,0)+1),0)</f>
        <v>44.06</v>
      </c>
      <c r="H105" s="118" cm="1">
        <f t="array" ref="H105">IFERROR(INDEX(DATA_TĐ!$B$1:$AZ$19,MATCH(XL_DT_TD!E105,DATA_TĐ!B:B,0),MATCH(XL_DT_TD!C105,DATA_TĐ!$1:$1,0)-1),0)</f>
        <v>4.82</v>
      </c>
      <c r="I105" s="118">
        <f ca="1">H105/DAY(NOW()-1)*'Hieu Qua NV'!$J$1</f>
        <v>24.1</v>
      </c>
      <c r="J105" s="118">
        <f t="shared" si="25"/>
        <v>39.24</v>
      </c>
      <c r="K105" s="118">
        <f ca="1">J105/'Hieu Qua NV'!$J$2</f>
        <v>1.7060869565217391</v>
      </c>
      <c r="L105" s="119">
        <f t="shared" ca="1" si="23"/>
        <v>0.54698138901497961</v>
      </c>
      <c r="M105" s="118">
        <f ca="1">IFERROR(
INDEX(
KB!$I$55:$AJ$68,
MATCH(E105,KB!$I$55:$I$68,0),
MATCH(D105,KB!$I$55:$AJ$55,0)
),
0)</f>
        <v>11</v>
      </c>
      <c r="S105" s="669" cm="1">
        <f t="array" aca="1" ref="S105" ca="1">_xlfn.IFS(
CONFIG!$B$8="W1",H105-N105,
CONFIG!$B$8="W2",H105-O105,
CONFIG!$B$8="W3",H105-P105,
CONFIG!$B$8="W4",H105-Q105,
CONFIG!$B$8="W5",H105-R105
)</f>
        <v>4.82</v>
      </c>
      <c r="T105" s="652">
        <f t="shared" ca="1" si="19"/>
        <v>0.43818181818181823</v>
      </c>
    </row>
    <row r="106" spans="3:20" ht="19" customHeight="1">
      <c r="C106" s="116" t="str">
        <f>INDEX(KB!C:D,MATCH(D106,KB!D:D,0),1)</f>
        <v>TRẢ CHẬM HOMECREDIT</v>
      </c>
      <c r="D106" s="116" t="s">
        <v>32</v>
      </c>
      <c r="E106" s="321" t="s">
        <v>56</v>
      </c>
      <c r="F106" s="116" t="str">
        <f t="shared" si="24"/>
        <v>TRẢ CHẬM HOMECREDITĐỗ Văn Duân - 62025</v>
      </c>
      <c r="G106" s="118" cm="1">
        <f t="array" ref="G106">IFERROR(INDEX(KB!$I$38:$AJ$50,MATCH(XL_DT_TD!E106,KB!$I$38:$I$50,0),MATCH(XL_DT_TD!D106,KB!$J$37:$AJ$37,0)+1),0)</f>
        <v>96.932000000000002</v>
      </c>
      <c r="H106" s="118" cm="1">
        <f t="array" ref="H106">IFERROR(INDEX(DATA_TĐ!$B$1:$AZ$19,MATCH(XL_DT_TD!E106,DATA_TĐ!B:B,0),MATCH(XL_DT_TD!C106,DATA_TĐ!$1:$1,0)-1),0)</f>
        <v>0</v>
      </c>
      <c r="I106" s="118">
        <f ca="1">H106/DAY(NOW()-1)*'Hieu Qua NV'!$J$1</f>
        <v>0</v>
      </c>
      <c r="J106" s="118">
        <f t="shared" si="25"/>
        <v>96.932000000000002</v>
      </c>
      <c r="K106" s="118">
        <f ca="1">J106/'Hieu Qua NV'!$J$2</f>
        <v>4.2144347826086959</v>
      </c>
      <c r="L106" s="119">
        <f t="shared" ca="1" si="23"/>
        <v>0</v>
      </c>
      <c r="M106" s="118">
        <f ca="1">IFERROR(
INDEX(
KB!$I$55:$AJ$68,
MATCH(E106,KB!$I$55:$I$68,0),
MATCH(D106,KB!$I$55:$AJ$55,0)
),
0)</f>
        <v>24</v>
      </c>
      <c r="S106" s="669" cm="1">
        <f t="array" aca="1" ref="S106" ca="1">_xlfn.IFS(
CONFIG!$B$8="W1",H106-N106,
CONFIG!$B$8="W2",H106-O106,
CONFIG!$B$8="W3",H106-P106,
CONFIG!$B$8="W4",H106-Q106,
CONFIG!$B$8="W5",H106-R106
)</f>
        <v>0</v>
      </c>
      <c r="T106" s="652">
        <f t="shared" ca="1" si="19"/>
        <v>0</v>
      </c>
    </row>
    <row r="107" spans="3:20" ht="19" customHeight="1">
      <c r="C107" s="116" t="str">
        <f>INDEX(KB!C:D,MATCH(D107,KB!D:D,0),1)</f>
        <v>TRẢ CHẬM HOMECREDIT</v>
      </c>
      <c r="D107" s="116" t="s">
        <v>32</v>
      </c>
      <c r="E107" s="321" t="s">
        <v>530</v>
      </c>
      <c r="F107" s="116" t="str">
        <f t="shared" si="24"/>
        <v>TRẢ CHẬM HOMECREDITNhân viên Mới 1</v>
      </c>
      <c r="G107" s="118" cm="1">
        <f t="array" ref="G107">IFERROR(INDEX(KB!$I$38:$AJ$50,MATCH(XL_DT_TD!E107,KB!$I$38:$I$50,0),MATCH(XL_DT_TD!D107,KB!$J$37:$AJ$37,0)+1),0)</f>
        <v>0</v>
      </c>
      <c r="H107" s="118" cm="1">
        <f t="array" ref="H107">IFERROR(INDEX(DATA_TĐ!$B$1:$AZ$19,MATCH(XL_DT_TD!E107,DATA_TĐ!B:B,0),MATCH(XL_DT_TD!C107,DATA_TĐ!$1:$1,0)-1),0)</f>
        <v>0</v>
      </c>
      <c r="I107" s="118">
        <f ca="1">H107/DAY(NOW()-1)*'Hieu Qua NV'!$J$1</f>
        <v>0</v>
      </c>
      <c r="J107" s="118">
        <f t="shared" si="25"/>
        <v>0</v>
      </c>
      <c r="K107" s="118">
        <f ca="1">J107/'Hieu Qua NV'!$J$2</f>
        <v>0</v>
      </c>
      <c r="L107" s="119" t="e">
        <f t="shared" ca="1" si="23"/>
        <v>#DIV/0!</v>
      </c>
      <c r="M107" s="118">
        <f ca="1">IFERROR(
INDEX(
KB!$I$55:$AJ$68,
MATCH(E107,KB!$I$55:$I$68,0),
MATCH(D107,KB!$I$55:$AJ$55,0)
),
0)</f>
        <v>0</v>
      </c>
      <c r="S107" s="669" cm="1">
        <f t="array" aca="1" ref="S107" ca="1">_xlfn.IFS(
CONFIG!$B$8="W1",H107-N107,
CONFIG!$B$8="W2",H107-O107,
CONFIG!$B$8="W3",H107-P107,
CONFIG!$B$8="W4",H107-Q107,
CONFIG!$B$8="W5",H107-R107
)</f>
        <v>0</v>
      </c>
      <c r="T107" s="652">
        <f t="shared" ca="1" si="19"/>
        <v>0</v>
      </c>
    </row>
    <row r="108" spans="3:20" ht="19" customHeight="1">
      <c r="C108" s="116" t="str">
        <f>INDEX(KB!C:D,MATCH(D108,KB!D:D,0),1)</f>
        <v>TRẢ CHẬM HOMECREDIT</v>
      </c>
      <c r="D108" s="116" t="s">
        <v>32</v>
      </c>
      <c r="E108" s="321" t="s">
        <v>560</v>
      </c>
      <c r="F108" s="116" t="str">
        <f t="shared" si="24"/>
        <v>TRẢ CHẬM HOMECREDITNhân viên Mới 2</v>
      </c>
      <c r="G108" s="118" cm="1">
        <f t="array" ref="G108">IFERROR(INDEX(KB!$I$38:$AJ$50,MATCH(XL_DT_TD!E108,KB!$I$38:$I$50,0),MATCH(XL_DT_TD!D108,KB!$J$37:$AJ$37,0)+1),0)</f>
        <v>0</v>
      </c>
      <c r="H108" s="118" cm="1">
        <f t="array" ref="H108">IFERROR(INDEX(DATA_TĐ!$B$1:$AZ$19,MATCH(XL_DT_TD!E108,DATA_TĐ!B:B,0),MATCH(XL_DT_TD!C108,DATA_TĐ!$1:$1,0)-1),0)</f>
        <v>0</v>
      </c>
      <c r="I108" s="118">
        <f ca="1">H108/DAY(NOW()-1)*'Hieu Qua NV'!$J$1</f>
        <v>0</v>
      </c>
      <c r="J108" s="118">
        <f t="shared" si="25"/>
        <v>0</v>
      </c>
      <c r="K108" s="118">
        <f ca="1">J108/'Hieu Qua NV'!$J$2</f>
        <v>0</v>
      </c>
      <c r="L108" s="119" t="e">
        <f t="shared" ca="1" si="23"/>
        <v>#DIV/0!</v>
      </c>
      <c r="M108" s="118">
        <f ca="1">IFERROR(
INDEX(
KB!$I$55:$AJ$68,
MATCH(E108,KB!$I$55:$I$68,0),
MATCH(D108,KB!$I$55:$AJ$55,0)
),
0)</f>
        <v>0</v>
      </c>
      <c r="S108" s="669" cm="1">
        <f t="array" aca="1" ref="S108" ca="1">_xlfn.IFS(
CONFIG!$B$8="W1",H108-N108,
CONFIG!$B$8="W2",H108-O108,
CONFIG!$B$8="W3",H108-P108,
CONFIG!$B$8="W4",H108-Q108,
CONFIG!$B$8="W5",H108-R108
)</f>
        <v>0</v>
      </c>
      <c r="T108" s="652">
        <f t="shared" ca="1" si="19"/>
        <v>0</v>
      </c>
    </row>
    <row r="109" spans="3:20" ht="19" customHeight="1">
      <c r="C109" s="116" t="str">
        <f>INDEX(KB!C:D,MATCH(D109,KB!D:D,0),1)</f>
        <v>TRẢ CHẬM HOMECREDIT</v>
      </c>
      <c r="D109" s="116" t="s">
        <v>32</v>
      </c>
      <c r="E109" s="117" t="s">
        <v>281</v>
      </c>
      <c r="F109" s="116" t="str">
        <f t="shared" si="24"/>
        <v>TRẢ CHẬM HOMECREDITTrần Thị Nhung - 11082</v>
      </c>
      <c r="G109" s="118" cm="1">
        <f t="array" ref="G109">IFERROR(INDEX(KB!$I$38:$AJ$50,MATCH(XL_DT_TD!E109,KB!$I$38:$I$50,0),MATCH(XL_DT_TD!D109,KB!$J$37:$AJ$37,0)+1),0)</f>
        <v>173.845</v>
      </c>
      <c r="H109" s="118" cm="1">
        <f t="array" ref="H109">IFERROR(
  INDEX(DATA_TĐ!$B$36:$Z$47,
    MATCH(TRUE, INDEX(TRIM(DATA_TĐ!$B$36:$B$45)=TRIM(E109),0),0),
    MATCH(TRUE, INDEX(TRIM(DATA_TĐ!$B$36:$Z$36)=TRIM(C109),0),0)
  ),
0)</f>
        <v>0</v>
      </c>
      <c r="I109" s="118">
        <f ca="1">H109/DAY(NOW()-1)*'Hieu Qua NV'!$J$1</f>
        <v>0</v>
      </c>
      <c r="J109" s="118">
        <f t="shared" si="25"/>
        <v>173.845</v>
      </c>
      <c r="K109" s="118">
        <f ca="1">J109/'Hieu Qua NV'!$J$2</f>
        <v>7.5584782608695651</v>
      </c>
      <c r="L109" s="119">
        <f t="shared" ca="1" si="23"/>
        <v>0</v>
      </c>
      <c r="M109" s="118">
        <f ca="1">IFERROR(
INDEX(
KB!$I$55:$AJ$68,
MATCH(E109,KB!$I$55:$I$68,0),
MATCH(D109,KB!$I$55:$AJ$55,0)
),
0)</f>
        <v>43</v>
      </c>
      <c r="S109" s="669" cm="1">
        <f t="array" aca="1" ref="S109" ca="1">_xlfn.IFS(
CONFIG!$B$8="W1",H109-N109,
CONFIG!$B$8="W2",H109-O109,
CONFIG!$B$8="W3",H109-P109,
CONFIG!$B$8="W4",H109-Q109,
CONFIG!$B$8="W5",H109-R109
)</f>
        <v>0</v>
      </c>
      <c r="T109" s="652">
        <f t="shared" ca="1" si="19"/>
        <v>0</v>
      </c>
    </row>
    <row r="110" spans="3:20" ht="19" customHeight="1">
      <c r="C110" s="116" t="str">
        <f>INDEX(KB!C:D,MATCH(D110,KB!D:D,0),1)</f>
        <v>TRẢ CHẬM HOMECREDIT</v>
      </c>
      <c r="D110" s="116" t="s">
        <v>32</v>
      </c>
      <c r="E110" s="117" t="s">
        <v>282</v>
      </c>
      <c r="F110" s="116" t="str">
        <f t="shared" si="24"/>
        <v>TRẢ CHẬM HOMECREDITNguyễn Thị Phương Oanh - 164808</v>
      </c>
      <c r="G110" s="118" cm="1">
        <f t="array" ref="G110">IFERROR(INDEX(KB!$I$38:$AJ$50,MATCH(XL_DT_TD!E110,KB!$I$38:$I$50,0),MATCH(XL_DT_TD!D110,KB!$J$37:$AJ$37,0)+1),0)</f>
        <v>124.175</v>
      </c>
      <c r="H110" s="118" cm="1">
        <f t="array" ref="H110">IFERROR(
  INDEX(DATA_TĐ!$B$36:$Z$47,
    MATCH(TRUE, INDEX(TRIM(DATA_TĐ!$B$36:$B$45)=TRIM(E110),0),0),
    MATCH(TRUE, INDEX(TRIM(DATA_TĐ!$B$36:$Z$36)=TRIM(C110),0),0)
  ),
0)</f>
        <v>0</v>
      </c>
      <c r="I110" s="118">
        <f ca="1">H110/DAY(NOW()-1)*'Hieu Qua NV'!$J$1</f>
        <v>0</v>
      </c>
      <c r="J110" s="118">
        <f t="shared" si="25"/>
        <v>124.175</v>
      </c>
      <c r="K110" s="118">
        <f ca="1">J110/'Hieu Qua NV'!$J$2</f>
        <v>5.3989130434782604</v>
      </c>
      <c r="L110" s="119">
        <f t="shared" ca="1" si="23"/>
        <v>0</v>
      </c>
      <c r="M110" s="118">
        <f ca="1">IFERROR(
INDEX(
KB!$I$55:$AJ$68,
MATCH(E110,KB!$I$55:$I$68,0),
MATCH(D110,KB!$I$55:$AJ$55,0)
),
0)</f>
        <v>31</v>
      </c>
      <c r="S110" s="669" cm="1">
        <f t="array" aca="1" ref="S110" ca="1">_xlfn.IFS(
CONFIG!$B$8="W1",H110-N110,
CONFIG!$B$8="W2",H110-O110,
CONFIG!$B$8="W3",H110-P110,
CONFIG!$B$8="W4",H110-Q110,
CONFIG!$B$8="W5",H110-R110
)</f>
        <v>0</v>
      </c>
      <c r="T110" s="652">
        <f t="shared" ca="1" si="19"/>
        <v>0</v>
      </c>
    </row>
    <row r="111" spans="3:20" ht="19" customHeight="1">
      <c r="C111" s="116" t="str">
        <f>INDEX(KB!C:D,MATCH(D111,KB!D:D,0),1)</f>
        <v>TRẢ CHẬM HOMECREDIT</v>
      </c>
      <c r="D111" s="116" t="s">
        <v>32</v>
      </c>
      <c r="E111" s="117" t="s">
        <v>283</v>
      </c>
      <c r="F111" s="116" t="str">
        <f t="shared" si="24"/>
        <v>TRẢ CHẬM HOMECREDITNguyễn Anh Tài - 269055</v>
      </c>
      <c r="G111" s="118" cm="1">
        <f t="array" ref="G111">IFERROR(INDEX(KB!$I$38:$AJ$50,MATCH(XL_DT_TD!E111,KB!$I$38:$I$50,0),MATCH(XL_DT_TD!D111,KB!$J$37:$AJ$37,0)+1),0)</f>
        <v>149.01</v>
      </c>
      <c r="H111" s="118" cm="1">
        <f t="array" ref="H111">IFERROR(
  INDEX(DATA_TĐ!$B$36:$Z$47,
    MATCH(TRUE, INDEX(TRIM(DATA_TĐ!$B$36:$B$45)=TRIM(E111),0),0),
    MATCH(TRUE, INDEX(TRIM(DATA_TĐ!$B$36:$Z$36)=TRIM(C111),0),0)
  ),
0)</f>
        <v>5.73</v>
      </c>
      <c r="I111" s="118">
        <f ca="1">H111/DAY(NOW()-1)*'Hieu Qua NV'!$J$1</f>
        <v>28.650000000000002</v>
      </c>
      <c r="J111" s="118">
        <f t="shared" si="25"/>
        <v>143.28</v>
      </c>
      <c r="K111" s="118">
        <f ca="1">J111/'Hieu Qua NV'!$J$2</f>
        <v>6.2295652173913041</v>
      </c>
      <c r="L111" s="119">
        <f t="shared" ca="1" si="23"/>
        <v>0.19226897523656133</v>
      </c>
      <c r="M111" s="118">
        <f ca="1">IFERROR(
INDEX(
KB!$I$55:$AJ$68,
MATCH(E111,KB!$I$55:$I$68,0),
MATCH(D111,KB!$I$55:$AJ$55,0)
),
0)</f>
        <v>37</v>
      </c>
      <c r="S111" s="669" cm="1">
        <f t="array" aca="1" ref="S111" ca="1">_xlfn.IFS(
CONFIG!$B$8="W1",H111-N111,
CONFIG!$B$8="W2",H111-O111,
CONFIG!$B$8="W3",H111-P111,
CONFIG!$B$8="W4",H111-Q111,
CONFIG!$B$8="W5",H111-R111
)</f>
        <v>5.73</v>
      </c>
      <c r="T111" s="652">
        <f t="shared" ca="1" si="19"/>
        <v>0.15486486486486487</v>
      </c>
    </row>
    <row r="112" spans="3:20" ht="19" customHeight="1">
      <c r="C112" s="116" t="str">
        <f>INDEX(KB!C:D,MATCH(D112,KB!D:D,0),1)</f>
        <v>TRẢ CHẬM HOMECREDIT</v>
      </c>
      <c r="D112" s="116" t="s">
        <v>32</v>
      </c>
      <c r="E112" s="117" t="s">
        <v>284</v>
      </c>
      <c r="F112" s="116" t="str">
        <f t="shared" si="24"/>
        <v>TRẢ CHẬM HOMECREDITLê Văn Hợp - 279884</v>
      </c>
      <c r="G112" s="118" cm="1">
        <f t="array" ref="G112">IFERROR(INDEX(KB!$I$38:$AJ$50,MATCH(XL_DT_TD!E112,KB!$I$38:$I$50,0),MATCH(XL_DT_TD!D112,KB!$J$37:$AJ$37,0)+1),0)</f>
        <v>49.67</v>
      </c>
      <c r="H112" s="118" cm="1">
        <f t="array" ref="H112">IFERROR(
  INDEX(DATA_TĐ!$B$36:$Z$47,
    MATCH(TRUE, INDEX(TRIM(DATA_TĐ!$B$36:$B$45)=TRIM(E112),0),0),
    MATCH(TRUE, INDEX(TRIM(DATA_TĐ!$B$36:$Z$36)=TRIM(C112),0),0)
  ),
0)</f>
        <v>26.72</v>
      </c>
      <c r="I112" s="118">
        <f ca="1">H112/DAY(NOW()-1)*'Hieu Qua NV'!$J$1</f>
        <v>133.6</v>
      </c>
      <c r="J112" s="118">
        <f t="shared" si="25"/>
        <v>22.950000000000003</v>
      </c>
      <c r="K112" s="118">
        <f ca="1">J112/'Hieu Qua NV'!$J$2</f>
        <v>0.99782608695652186</v>
      </c>
      <c r="L112" s="119">
        <f t="shared" ca="1" si="23"/>
        <v>2.689752365613046</v>
      </c>
      <c r="M112" s="118">
        <f ca="1">IFERROR(
INDEX(
KB!$I$55:$AJ$68,
MATCH(E112,KB!$I$55:$I$68,0),
MATCH(D112,KB!$I$55:$AJ$55,0)
),
0)</f>
        <v>12</v>
      </c>
      <c r="S112" s="669" cm="1">
        <f t="array" aca="1" ref="S112" ca="1">_xlfn.IFS(
CONFIG!$B$8="W1",H112-N112,
CONFIG!$B$8="W2",H112-O112,
CONFIG!$B$8="W3",H112-P112,
CONFIG!$B$8="W4",H112-Q112,
CONFIG!$B$8="W5",H112-R112
)</f>
        <v>26.72</v>
      </c>
      <c r="T112" s="652">
        <f t="shared" ca="1" si="19"/>
        <v>2.2266666666666666</v>
      </c>
    </row>
    <row r="113" spans="3:20" ht="19" customHeight="1">
      <c r="C113" s="120" t="str">
        <f>INDEX(KB!C:D,MATCH(D113,KB!D:D,0),1)</f>
        <v>TRẢ CHẬM HOMECREDIT</v>
      </c>
      <c r="D113" s="120" t="s">
        <v>32</v>
      </c>
      <c r="E113" s="120" t="s">
        <v>20</v>
      </c>
      <c r="F113" s="121" t="str">
        <f t="shared" si="24"/>
        <v>TRẢ CHẬM HOMECREDITTổng</v>
      </c>
      <c r="G113" s="122">
        <f t="shared" ref="G113" si="32">SUM(G100:G111)</f>
        <v>940.50199999999995</v>
      </c>
      <c r="H113" s="122">
        <f t="shared" ref="H113:I113" si="33">SUM(H100:H111)</f>
        <v>51.679999999999993</v>
      </c>
      <c r="I113" s="122">
        <f t="shared" ca="1" si="33"/>
        <v>258.39999999999998</v>
      </c>
      <c r="J113" s="122">
        <f t="shared" si="25"/>
        <v>888.822</v>
      </c>
      <c r="K113" s="122">
        <f ca="1">J113/'Hieu Qua NV'!$J$2</f>
        <v>38.644434782608698</v>
      </c>
      <c r="L113" s="119">
        <f t="shared" ca="1" si="23"/>
        <v>0.27474689049039769</v>
      </c>
      <c r="M113" s="122">
        <f t="shared" ref="M113" ca="1" si="34">SUM(M100:M111)</f>
        <v>235</v>
      </c>
      <c r="S113" s="669" cm="1">
        <f t="array" aca="1" ref="S113" ca="1">_xlfn.IFS(
CONFIG!$B$8="W1",H113-N113,
CONFIG!$B$8="W2",H113-O113,
CONFIG!$B$8="W3",H113-P113,
CONFIG!$B$8="W4",H113-Q113,
CONFIG!$B$8="W5",H113-R113
)</f>
        <v>51.679999999999993</v>
      </c>
      <c r="T113" s="652">
        <f t="shared" ca="1" si="19"/>
        <v>0.21991489361702124</v>
      </c>
    </row>
    <row r="114" spans="3:20" ht="19" customHeight="1">
      <c r="C114" s="116" t="str">
        <f>INDEX(KB!C:D,MATCH(D114,KB!D:D,0),1)</f>
        <v>TỦ LẠNH, TỦ ĐÔNG, TỦ MÁT</v>
      </c>
      <c r="D114" s="116" t="s">
        <v>64</v>
      </c>
      <c r="E114" s="321" t="s">
        <v>57</v>
      </c>
      <c r="F114" s="116" t="str">
        <f t="shared" si="24"/>
        <v>TỦ LẠNH, TỦ ĐÔNG, TỦ MÁTNguyễn Thị Ngọc - 54026</v>
      </c>
      <c r="G114" s="118" cm="1">
        <f t="array" ref="G114">IFERROR(INDEX(KB!$I$38:$AJ$50,MATCH(XL_DT_TD!E114,KB!$I$38:$I$50,0),MATCH(XL_DT_TD!D114,KB!$J$37:$AJ$37,0)+1),0)</f>
        <v>119.898</v>
      </c>
      <c r="H114" s="118" cm="1">
        <f t="array" ref="H114">IFERROR(INDEX(DATA_TĐ!$B$1:$AZ$19,MATCH(XL_DT_TD!E114,DATA_TĐ!B:B,0),MATCH(XL_DT_TD!C114,DATA_TĐ!$1:$1,0)-1),0)</f>
        <v>60.87</v>
      </c>
      <c r="I114" s="118">
        <f ca="1">H114/DAY(NOW()-1)*'Hieu Qua NV'!$J$1</f>
        <v>304.34999999999997</v>
      </c>
      <c r="J114" s="118">
        <f t="shared" si="25"/>
        <v>59.027999999999999</v>
      </c>
      <c r="K114" s="118">
        <f ca="1">J114/'Hieu Qua NV'!$J$2</f>
        <v>2.5664347826086957</v>
      </c>
      <c r="L114" s="119">
        <f t="shared" ca="1" si="23"/>
        <v>2.5384076464995244</v>
      </c>
      <c r="M114" s="118">
        <f ca="1">IFERROR(
INDEX(
KB!$I$55:$AJ$68,
MATCH(E114,KB!$I$55:$I$68,0),
MATCH(D114,KB!$I$55:$AJ$55,0)
),
0)</f>
        <v>30</v>
      </c>
      <c r="S114" s="669" cm="1">
        <f t="array" aca="1" ref="S114" ca="1">_xlfn.IFS(
CONFIG!$B$8="W1",H114-N114,
CONFIG!$B$8="W2",H114-O114,
CONFIG!$B$8="W3",H114-P114,
CONFIG!$B$8="W4",H114-Q114,
CONFIG!$B$8="W5",H114-R114
)</f>
        <v>60.87</v>
      </c>
      <c r="T114" s="652">
        <f t="shared" ca="1" si="19"/>
        <v>2.0289999999999999</v>
      </c>
    </row>
    <row r="115" spans="3:20" ht="19" customHeight="1">
      <c r="C115" s="116" t="str">
        <f>INDEX(KB!C:D,MATCH(D115,KB!D:D,0),1)</f>
        <v>TỦ LẠNH, TỦ ĐÔNG, TỦ MÁT</v>
      </c>
      <c r="D115" s="116" t="s">
        <v>64</v>
      </c>
      <c r="E115" s="321" t="s">
        <v>60</v>
      </c>
      <c r="F115" s="116" t="str">
        <f t="shared" si="24"/>
        <v>TỦ LẠNH, TỦ ĐÔNG, TỦ MÁTNguyễn Viết Sơn - 94065</v>
      </c>
      <c r="G115" s="118" cm="1">
        <f t="array" ref="G115">IFERROR(INDEX(KB!$I$38:$AJ$50,MATCH(XL_DT_TD!E115,KB!$I$38:$I$50,0),MATCH(XL_DT_TD!D115,KB!$J$37:$AJ$37,0)+1),0)</f>
        <v>99.915000000000006</v>
      </c>
      <c r="H115" s="118" cm="1">
        <f t="array" ref="H115">IFERROR(INDEX(DATA_TĐ!$B$1:$AZ$19,MATCH(XL_DT_TD!E115,DATA_TĐ!B:B,0),MATCH(XL_DT_TD!C115,DATA_TĐ!$1:$1,0)-1),0)</f>
        <v>94.74</v>
      </c>
      <c r="I115" s="118">
        <f ca="1">H115/DAY(NOW()-1)*'Hieu Qua NV'!$J$1</f>
        <v>473.7</v>
      </c>
      <c r="J115" s="118">
        <f t="shared" si="25"/>
        <v>5.1750000000000114</v>
      </c>
      <c r="K115" s="118">
        <f ca="1">J115/'Hieu Qua NV'!$J$2</f>
        <v>0.22500000000000051</v>
      </c>
      <c r="L115" s="119">
        <f t="shared" ca="1" si="23"/>
        <v>4.7410298753940845</v>
      </c>
      <c r="M115" s="118">
        <f ca="1">IFERROR(
INDEX(
KB!$I$55:$AJ$68,
MATCH(E115,KB!$I$55:$I$68,0),
MATCH(D115,KB!$I$55:$AJ$55,0)
),
0)</f>
        <v>25</v>
      </c>
      <c r="S115" s="669" cm="1">
        <f t="array" aca="1" ref="S115" ca="1">_xlfn.IFS(
CONFIG!$B$8="W1",H115-N115,
CONFIG!$B$8="W2",H115-O115,
CONFIG!$B$8="W3",H115-P115,
CONFIG!$B$8="W4",H115-Q115,
CONFIG!$B$8="W5",H115-R115
)</f>
        <v>94.74</v>
      </c>
      <c r="T115" s="652">
        <f t="shared" ca="1" si="19"/>
        <v>3.7895999999999996</v>
      </c>
    </row>
    <row r="116" spans="3:20" ht="19" customHeight="1">
      <c r="C116" s="116" t="str">
        <f>INDEX(KB!C:D,MATCH(D116,KB!D:D,0),1)</f>
        <v>TỦ LẠNH, TỦ ĐÔNG, TỦ MÁT</v>
      </c>
      <c r="D116" s="116" t="s">
        <v>64</v>
      </c>
      <c r="E116" s="321" t="s">
        <v>15</v>
      </c>
      <c r="F116" s="116" t="str">
        <f t="shared" si="24"/>
        <v>TỦ LẠNH, TỦ ĐÔNG, TỦ MÁTNguyễn Trang Nhung - 25734</v>
      </c>
      <c r="G116" s="118" cm="1">
        <f t="array" ref="G116">IFERROR(INDEX(KB!$I$38:$AJ$50,MATCH(XL_DT_TD!E116,KB!$I$38:$I$50,0),MATCH(XL_DT_TD!D116,KB!$J$37:$AJ$37,0)+1),0)</f>
        <v>99.915000000000006</v>
      </c>
      <c r="H116" s="118" cm="1">
        <f t="array" ref="H116">IFERROR(INDEX(DATA_TĐ!$B$1:$AZ$19,MATCH(XL_DT_TD!E116,DATA_TĐ!B:B,0),MATCH(XL_DT_TD!C116,DATA_TĐ!$1:$1,0)-1),0)</f>
        <v>25.13</v>
      </c>
      <c r="I116" s="118">
        <f ca="1">H116/DAY(NOW()-1)*'Hieu Qua NV'!$J$1</f>
        <v>125.65</v>
      </c>
      <c r="J116" s="118">
        <f t="shared" si="25"/>
        <v>74.785000000000011</v>
      </c>
      <c r="K116" s="118">
        <f ca="1">J116/'Hieu Qua NV'!$J$2</f>
        <v>3.2515217391304354</v>
      </c>
      <c r="L116" s="119">
        <f t="shared" ca="1" si="23"/>
        <v>1.2575689335935545</v>
      </c>
      <c r="M116" s="118">
        <f ca="1">IFERROR(
INDEX(
KB!$I$55:$AJ$68,
MATCH(E116,KB!$I$55:$I$68,0),
MATCH(D116,KB!$I$55:$AJ$55,0)
),
0)</f>
        <v>25</v>
      </c>
      <c r="S116" s="669" cm="1">
        <f t="array" aca="1" ref="S116" ca="1">_xlfn.IFS(
CONFIG!$B$8="W1",H116-N116,
CONFIG!$B$8="W2",H116-O116,
CONFIG!$B$8="W3",H116-P116,
CONFIG!$B$8="W4",H116-Q116,
CONFIG!$B$8="W5",H116-R116
)</f>
        <v>25.13</v>
      </c>
      <c r="T116" s="652">
        <f t="shared" ca="1" si="19"/>
        <v>1.0051999999999999</v>
      </c>
    </row>
    <row r="117" spans="3:20" ht="19" customHeight="1">
      <c r="C117" s="116" t="str">
        <f>INDEX(KB!C:D,MATCH(D117,KB!D:D,0),1)</f>
        <v>TỦ LẠNH, TỦ ĐÔNG, TỦ MÁT</v>
      </c>
      <c r="D117" s="116" t="s">
        <v>64</v>
      </c>
      <c r="E117" s="321" t="s">
        <v>151</v>
      </c>
      <c r="F117" s="116" t="str">
        <f t="shared" si="24"/>
        <v>TỦ LẠNH, TỦ ĐÔNG, TỦ MÁTTrần Huy Hoàn - 270828</v>
      </c>
      <c r="G117" s="118" cm="1">
        <f t="array" ref="G117">IFERROR(INDEX(KB!$I$38:$AJ$50,MATCH(XL_DT_TD!E117,KB!$I$38:$I$50,0),MATCH(XL_DT_TD!D117,KB!$J$37:$AJ$37,0)+1),0)</f>
        <v>119.898</v>
      </c>
      <c r="H117" s="118" cm="1">
        <f t="array" ref="H117">IFERROR(INDEX(DATA_TĐ!$B$1:$AZ$19,MATCH(XL_DT_TD!E117,DATA_TĐ!B:B,0),MATCH(XL_DT_TD!C117,DATA_TĐ!$1:$1,0)-1),0)</f>
        <v>34.67</v>
      </c>
      <c r="I117" s="118">
        <f ca="1">H117/DAY(NOW()-1)*'Hieu Qua NV'!$J$1</f>
        <v>173.35</v>
      </c>
      <c r="J117" s="118">
        <f t="shared" si="25"/>
        <v>85.227999999999994</v>
      </c>
      <c r="K117" s="118">
        <f ca="1">J117/'Hieu Qua NV'!$J$2</f>
        <v>3.7055652173913041</v>
      </c>
      <c r="L117" s="119">
        <f t="shared" ca="1" si="23"/>
        <v>1.4458122737660344</v>
      </c>
      <c r="M117" s="118">
        <f ca="1">IFERROR(
INDEX(
KB!$I$55:$AJ$68,
MATCH(E117,KB!$I$55:$I$68,0),
MATCH(D117,KB!$I$55:$AJ$55,0)
),
0)</f>
        <v>30</v>
      </c>
      <c r="S117" s="669" cm="1">
        <f t="array" aca="1" ref="S117" ca="1">_xlfn.IFS(
CONFIG!$B$8="W1",H117-N117,
CONFIG!$B$8="W2",H117-O117,
CONFIG!$B$8="W3",H117-P117,
CONFIG!$B$8="W4",H117-Q117,
CONFIG!$B$8="W5",H117-R117
)</f>
        <v>34.67</v>
      </c>
      <c r="T117" s="652">
        <f t="shared" ca="1" si="19"/>
        <v>1.1556666666666666</v>
      </c>
    </row>
    <row r="118" spans="3:20" ht="19" customHeight="1">
      <c r="C118" s="116" t="str">
        <f>INDEX(KB!C:D,MATCH(D118,KB!D:D,0),1)</f>
        <v>TỦ LẠNH, TỦ ĐÔNG, TỦ MÁT</v>
      </c>
      <c r="D118" s="116" t="s">
        <v>64</v>
      </c>
      <c r="E118" s="321" t="s">
        <v>293</v>
      </c>
      <c r="F118" s="116" t="str">
        <f t="shared" si="24"/>
        <v>TỦ LẠNH, TỦ ĐÔNG, TỦ MÁTPhạm Văn Thanh - 279935</v>
      </c>
      <c r="G118" s="118" cm="1">
        <f t="array" ref="G118">IFERROR(INDEX(KB!$I$38:$AJ$50,MATCH(XL_DT_TD!E118,KB!$I$38:$I$50,0),MATCH(XL_DT_TD!D118,KB!$J$37:$AJ$37,0)+1),0)</f>
        <v>66.61</v>
      </c>
      <c r="H118" s="118" cm="1">
        <f t="array" ref="H118">IFERROR(INDEX(DATA_TĐ!$B$1:$AZ$19,MATCH(XL_DT_TD!E118,DATA_TĐ!B:B,0),MATCH(XL_DT_TD!C118,DATA_TĐ!$1:$1,0)-1),0)</f>
        <v>7.52</v>
      </c>
      <c r="I118" s="118">
        <f ca="1">H118/DAY(NOW()-1)*'Hieu Qua NV'!$J$1</f>
        <v>37.599999999999994</v>
      </c>
      <c r="J118" s="118">
        <f t="shared" si="25"/>
        <v>59.09</v>
      </c>
      <c r="K118" s="118">
        <f ca="1">J118/'Hieu Qua NV'!$J$2</f>
        <v>2.5691304347826089</v>
      </c>
      <c r="L118" s="119">
        <f t="shared" ca="1" si="23"/>
        <v>0.56447980783666107</v>
      </c>
      <c r="M118" s="118">
        <f ca="1">IFERROR(
INDEX(
KB!$I$55:$AJ$68,
MATCH(E118,KB!$I$55:$I$68,0),
MATCH(D118,KB!$I$55:$AJ$55,0)
),
0)</f>
        <v>17</v>
      </c>
      <c r="S118" s="669" cm="1">
        <f t="array" aca="1" ref="S118" ca="1">_xlfn.IFS(
CONFIG!$B$8="W1",H118-N118,
CONFIG!$B$8="W2",H118-O118,
CONFIG!$B$8="W3",H118-P118,
CONFIG!$B$8="W4",H118-Q118,
CONFIG!$B$8="W5",H118-R118
)</f>
        <v>7.52</v>
      </c>
      <c r="T118" s="652">
        <f t="shared" ca="1" si="19"/>
        <v>0.44235294117647056</v>
      </c>
    </row>
    <row r="119" spans="3:20" ht="19" customHeight="1">
      <c r="C119" s="116" t="str">
        <f>INDEX(KB!C:D,MATCH(D119,KB!D:D,0),1)</f>
        <v>TỦ LẠNH, TỦ ĐÔNG, TỦ MÁT</v>
      </c>
      <c r="D119" s="116" t="s">
        <v>64</v>
      </c>
      <c r="E119" s="321" t="s">
        <v>433</v>
      </c>
      <c r="F119" s="116" t="str">
        <f t="shared" si="24"/>
        <v>TỦ LẠNH, TỦ ĐÔNG, TỦ MÁTNguyễn Thành Đạt - 280855</v>
      </c>
      <c r="G119" s="118" cm="1">
        <f t="array" ref="G119">IFERROR(INDEX(KB!$I$38:$AJ$50,MATCH(XL_DT_TD!E119,KB!$I$38:$I$50,0),MATCH(XL_DT_TD!D119,KB!$J$37:$AJ$37,0)+1),0)</f>
        <v>66.61</v>
      </c>
      <c r="H119" s="118" cm="1">
        <f t="array" ref="H119">IFERROR(INDEX(DATA_TĐ!$B$1:$AZ$19,MATCH(XL_DT_TD!E119,DATA_TĐ!B:B,0),MATCH(XL_DT_TD!C119,DATA_TĐ!$1:$1,0)-1),0)</f>
        <v>19.21</v>
      </c>
      <c r="I119" s="118">
        <f ca="1">H119/DAY(NOW()-1)*'Hieu Qua NV'!$J$1</f>
        <v>96.05</v>
      </c>
      <c r="J119" s="118">
        <f t="shared" si="25"/>
        <v>47.4</v>
      </c>
      <c r="K119" s="118">
        <f ca="1">J119/'Hieu Qua NV'!$J$2</f>
        <v>2.0608695652173914</v>
      </c>
      <c r="L119" s="119">
        <f t="shared" ca="1" si="23"/>
        <v>1.4419756793274283</v>
      </c>
      <c r="M119" s="118">
        <f ca="1">IFERROR(
INDEX(
KB!$I$55:$AJ$68,
MATCH(E119,KB!$I$55:$I$68,0),
MATCH(D119,KB!$I$55:$AJ$55,0)
),
0)</f>
        <v>17</v>
      </c>
      <c r="S119" s="669" cm="1">
        <f t="array" aca="1" ref="S119" ca="1">_xlfn.IFS(
CONFIG!$B$8="W1",H119-N119,
CONFIG!$B$8="W2",H119-O119,
CONFIG!$B$8="W3",H119-P119,
CONFIG!$B$8="W4",H119-Q119,
CONFIG!$B$8="W5",H119-R119
)</f>
        <v>19.21</v>
      </c>
      <c r="T119" s="652">
        <f t="shared" ca="1" si="19"/>
        <v>1.1300000000000001</v>
      </c>
    </row>
    <row r="120" spans="3:20" ht="19" customHeight="1">
      <c r="C120" s="116" t="str">
        <f>INDEX(KB!C:D,MATCH(D120,KB!D:D,0),1)</f>
        <v>TỦ LẠNH, TỦ ĐÔNG, TỦ MÁT</v>
      </c>
      <c r="D120" s="116" t="s">
        <v>64</v>
      </c>
      <c r="E120" s="321" t="s">
        <v>56</v>
      </c>
      <c r="F120" s="116" t="str">
        <f t="shared" si="24"/>
        <v>TỦ LẠNH, TỦ ĐÔNG, TỦ MÁTĐỗ Văn Duân - 62025</v>
      </c>
      <c r="G120" s="118" cm="1">
        <f t="array" ref="G120">IFERROR(INDEX(KB!$I$38:$AJ$50,MATCH(XL_DT_TD!E120,KB!$I$38:$I$50,0),MATCH(XL_DT_TD!D120,KB!$J$37:$AJ$37,0)+1),0)</f>
        <v>146.542</v>
      </c>
      <c r="H120" s="118" cm="1">
        <f t="array" ref="H120">IFERROR(INDEX(DATA_TĐ!$B$1:$AZ$19,MATCH(XL_DT_TD!E120,DATA_TĐ!B:B,0),MATCH(XL_DT_TD!C120,DATA_TĐ!$1:$1,0)-1),0)</f>
        <v>17.66</v>
      </c>
      <c r="I120" s="118">
        <f ca="1">H120/DAY(NOW()-1)*'Hieu Qua NV'!$J$1</f>
        <v>88.3</v>
      </c>
      <c r="J120" s="118">
        <f t="shared" si="25"/>
        <v>128.88200000000001</v>
      </c>
      <c r="K120" s="118">
        <f ca="1">J120/'Hieu Qua NV'!$J$2</f>
        <v>5.6035652173913046</v>
      </c>
      <c r="L120" s="119">
        <f t="shared" ca="1" si="23"/>
        <v>0.60255762852970474</v>
      </c>
      <c r="M120" s="118">
        <f ca="1">IFERROR(
INDEX(
KB!$I$55:$AJ$68,
MATCH(E120,KB!$I$55:$I$68,0),
MATCH(D120,KB!$I$55:$AJ$55,0)
),
0)</f>
        <v>37</v>
      </c>
      <c r="S120" s="669" cm="1">
        <f t="array" aca="1" ref="S120" ca="1">_xlfn.IFS(
CONFIG!$B$8="W1",H120-N120,
CONFIG!$B$8="W2",H120-O120,
CONFIG!$B$8="W3",H120-P120,
CONFIG!$B$8="W4",H120-Q120,
CONFIG!$B$8="W5",H120-R120
)</f>
        <v>17.66</v>
      </c>
      <c r="T120" s="652">
        <f t="shared" ca="1" si="19"/>
        <v>0.47729729729729731</v>
      </c>
    </row>
    <row r="121" spans="3:20" ht="19" customHeight="1">
      <c r="C121" s="116" t="str">
        <f>INDEX(KB!C:D,MATCH(D121,KB!D:D,0),1)</f>
        <v>TỦ LẠNH, TỦ ĐÔNG, TỦ MÁT</v>
      </c>
      <c r="D121" s="116" t="s">
        <v>64</v>
      </c>
      <c r="E121" s="321" t="s">
        <v>530</v>
      </c>
      <c r="F121" s="116" t="str">
        <f t="shared" si="24"/>
        <v>TỦ LẠNH, TỦ ĐÔNG, TỦ MÁTNhân viên Mới 1</v>
      </c>
      <c r="G121" s="118" cm="1">
        <f t="array" ref="G121">IFERROR(INDEX(KB!$I$38:$AJ$50,MATCH(XL_DT_TD!E121,KB!$I$38:$I$50,0),MATCH(XL_DT_TD!D121,KB!$J$37:$AJ$37,0)+1),0)</f>
        <v>0</v>
      </c>
      <c r="H121" s="118" cm="1">
        <f t="array" ref="H121">IFERROR(INDEX(DATA_TĐ!$B$1:$AZ$19,MATCH(XL_DT_TD!E121,DATA_TĐ!B:B,0),MATCH(XL_DT_TD!C121,DATA_TĐ!$1:$1,0)-1),0)</f>
        <v>0</v>
      </c>
      <c r="I121" s="118">
        <f ca="1">H121/DAY(NOW()-1)*'Hieu Qua NV'!$J$1</f>
        <v>0</v>
      </c>
      <c r="J121" s="118">
        <f t="shared" si="25"/>
        <v>0</v>
      </c>
      <c r="K121" s="118">
        <f ca="1">J121/'Hieu Qua NV'!$J$2</f>
        <v>0</v>
      </c>
      <c r="L121" s="119" t="e">
        <f t="shared" ca="1" si="23"/>
        <v>#DIV/0!</v>
      </c>
      <c r="M121" s="118">
        <f ca="1">IFERROR(
INDEX(
KB!$I$55:$AJ$68,
MATCH(E121,KB!$I$55:$I$68,0),
MATCH(D121,KB!$I$55:$AJ$55,0)
),
0)</f>
        <v>0</v>
      </c>
      <c r="S121" s="669" cm="1">
        <f t="array" aca="1" ref="S121" ca="1">_xlfn.IFS(
CONFIG!$B$8="W1",H121-N121,
CONFIG!$B$8="W2",H121-O121,
CONFIG!$B$8="W3",H121-P121,
CONFIG!$B$8="W4",H121-Q121,
CONFIG!$B$8="W5",H121-R121
)</f>
        <v>0</v>
      </c>
      <c r="T121" s="652">
        <f t="shared" ca="1" si="19"/>
        <v>0</v>
      </c>
    </row>
    <row r="122" spans="3:20" ht="19" customHeight="1">
      <c r="C122" s="116" t="str">
        <f>INDEX(KB!C:D,MATCH(D122,KB!D:D,0),1)</f>
        <v>TỦ LẠNH, TỦ ĐÔNG, TỦ MÁT</v>
      </c>
      <c r="D122" s="116" t="s">
        <v>64</v>
      </c>
      <c r="E122" s="321" t="s">
        <v>560</v>
      </c>
      <c r="F122" s="116" t="str">
        <f t="shared" si="24"/>
        <v>TỦ LẠNH, TỦ ĐÔNG, TỦ MÁTNhân viên Mới 2</v>
      </c>
      <c r="G122" s="118" cm="1">
        <f t="array" ref="G122">IFERROR(INDEX(KB!$I$38:$AJ$50,MATCH(XL_DT_TD!E122,KB!$I$38:$I$50,0),MATCH(XL_DT_TD!D122,KB!$J$37:$AJ$37,0)+1),0)</f>
        <v>0</v>
      </c>
      <c r="H122" s="118" cm="1">
        <f t="array" ref="H122">IFERROR(INDEX(DATA_TĐ!$B$1:$AZ$19,MATCH(XL_DT_TD!E122,DATA_TĐ!B:B,0),MATCH(XL_DT_TD!C122,DATA_TĐ!$1:$1,0)-1),0)</f>
        <v>0</v>
      </c>
      <c r="I122" s="118">
        <f ca="1">H122/DAY(NOW()-1)*'Hieu Qua NV'!$J$1</f>
        <v>0</v>
      </c>
      <c r="J122" s="118">
        <f t="shared" si="25"/>
        <v>0</v>
      </c>
      <c r="K122" s="118">
        <f ca="1">J122/'Hieu Qua NV'!$J$2</f>
        <v>0</v>
      </c>
      <c r="L122" s="119" t="e">
        <f t="shared" ca="1" si="23"/>
        <v>#DIV/0!</v>
      </c>
      <c r="M122" s="118">
        <f ca="1">IFERROR(
INDEX(
KB!$I$55:$AJ$68,
MATCH(E122,KB!$I$55:$I$68,0),
MATCH(D122,KB!$I$55:$AJ$55,0)
),
0)</f>
        <v>0</v>
      </c>
      <c r="S122" s="669" cm="1">
        <f t="array" aca="1" ref="S122" ca="1">_xlfn.IFS(
CONFIG!$B$8="W1",H122-N122,
CONFIG!$B$8="W2",H122-O122,
CONFIG!$B$8="W3",H122-P122,
CONFIG!$B$8="W4",H122-Q122,
CONFIG!$B$8="W5",H122-R122
)</f>
        <v>0</v>
      </c>
      <c r="T122" s="652">
        <f t="shared" ca="1" si="19"/>
        <v>0</v>
      </c>
    </row>
    <row r="123" spans="3:20" ht="19" customHeight="1">
      <c r="C123" s="116" t="str">
        <f>INDEX(KB!C:D,MATCH(D123,KB!D:D,0),1)</f>
        <v>TỦ LẠNH, TỦ ĐÔNG, TỦ MÁT</v>
      </c>
      <c r="D123" s="116" t="s">
        <v>64</v>
      </c>
      <c r="E123" s="117" t="s">
        <v>281</v>
      </c>
      <c r="F123" s="116" t="str">
        <f t="shared" si="24"/>
        <v>TỦ LẠNH, TỦ ĐÔNG, TỦ MÁTTrần Thị Nhung - 11082</v>
      </c>
      <c r="G123" s="118" cm="1">
        <f t="array" ref="G123">IFERROR(INDEX(KB!$I$38:$AJ$50,MATCH(XL_DT_TD!E123,KB!$I$38:$I$50,0),MATCH(XL_DT_TD!D123,KB!$J$37:$AJ$37,0)+1),0)</f>
        <v>0</v>
      </c>
      <c r="H123" s="118" cm="1">
        <f t="array" ref="H123">IFERROR(
  INDEX(DATA_TĐ!$B$36:$Z$47,
    MATCH(TRUE, INDEX(TRIM(DATA_TĐ!$B$36:$B$45)=TRIM(E123),0),0),
    MATCH(TRUE, INDEX(TRIM(DATA_TĐ!$B$36:$Z$36)=TRIM(C123),0),0)
  ),
0)</f>
        <v>0</v>
      </c>
      <c r="I123" s="118">
        <f ca="1">H123/DAY(NOW()-1)*'Hieu Qua NV'!$J$1</f>
        <v>0</v>
      </c>
      <c r="J123" s="118">
        <f t="shared" si="25"/>
        <v>0</v>
      </c>
      <c r="K123" s="118">
        <f ca="1">J123/'Hieu Qua NV'!$J$2</f>
        <v>0</v>
      </c>
      <c r="L123" s="119" t="e">
        <f t="shared" ca="1" si="23"/>
        <v>#DIV/0!</v>
      </c>
      <c r="M123" s="118">
        <f ca="1">IFERROR(
INDEX(
KB!$I$55:$AJ$68,
MATCH(E123,KB!$I$55:$I$68,0),
MATCH(D123,KB!$I$55:$AJ$55,0)
),
0)</f>
        <v>0</v>
      </c>
      <c r="S123" s="669" cm="1">
        <f t="array" aca="1" ref="S123" ca="1">_xlfn.IFS(
CONFIG!$B$8="W1",H123-N123,
CONFIG!$B$8="W2",H123-O123,
CONFIG!$B$8="W3",H123-P123,
CONFIG!$B$8="W4",H123-Q123,
CONFIG!$B$8="W5",H123-R123
)</f>
        <v>0</v>
      </c>
      <c r="T123" s="652">
        <f t="shared" ca="1" si="19"/>
        <v>0</v>
      </c>
    </row>
    <row r="124" spans="3:20" ht="19" customHeight="1">
      <c r="C124" s="116" t="str">
        <f>INDEX(KB!C:D,MATCH(D124,KB!D:D,0),1)</f>
        <v>TỦ LẠNH, TỦ ĐÔNG, TỦ MÁT</v>
      </c>
      <c r="D124" s="116" t="s">
        <v>64</v>
      </c>
      <c r="E124" s="117" t="s">
        <v>282</v>
      </c>
      <c r="F124" s="116" t="str">
        <f t="shared" si="24"/>
        <v>TỦ LẠNH, TỦ ĐÔNG, TỦ MÁTNguyễn Thị Phương Oanh - 164808</v>
      </c>
      <c r="G124" s="118" cm="1">
        <f t="array" ref="G124">IFERROR(INDEX(KB!$I$38:$AJ$50,MATCH(XL_DT_TD!E124,KB!$I$38:$I$50,0),MATCH(XL_DT_TD!D124,KB!$J$37:$AJ$37,0)+1),0)</f>
        <v>0</v>
      </c>
      <c r="H124" s="118" cm="1">
        <f t="array" ref="H124">IFERROR(
  INDEX(DATA_TĐ!$B$36:$Z$47,
    MATCH(TRUE, INDEX(TRIM(DATA_TĐ!$B$36:$B$45)=TRIM(E124),0),0),
    MATCH(TRUE, INDEX(TRIM(DATA_TĐ!$B$36:$Z$36)=TRIM(C124),0),0)
  ),
0)</f>
        <v>0</v>
      </c>
      <c r="I124" s="118">
        <f ca="1">H124/DAY(NOW()-1)*'Hieu Qua NV'!$J$1</f>
        <v>0</v>
      </c>
      <c r="J124" s="118">
        <f t="shared" si="25"/>
        <v>0</v>
      </c>
      <c r="K124" s="118">
        <f ca="1">J124/'Hieu Qua NV'!$J$2</f>
        <v>0</v>
      </c>
      <c r="L124" s="119" t="e">
        <f t="shared" ca="1" si="23"/>
        <v>#DIV/0!</v>
      </c>
      <c r="M124" s="118">
        <f ca="1">IFERROR(
INDEX(
KB!$I$55:$AJ$68,
MATCH(E124,KB!$I$55:$I$68,0),
MATCH(D124,KB!$I$55:$AJ$55,0)
),
0)</f>
        <v>0</v>
      </c>
      <c r="S124" s="669" cm="1">
        <f t="array" aca="1" ref="S124" ca="1">_xlfn.IFS(
CONFIG!$B$8="W1",H124-N124,
CONFIG!$B$8="W2",H124-O124,
CONFIG!$B$8="W3",H124-P124,
CONFIG!$B$8="W4",H124-Q124,
CONFIG!$B$8="W5",H124-R124
)</f>
        <v>0</v>
      </c>
      <c r="T124" s="652">
        <f t="shared" ca="1" si="19"/>
        <v>0</v>
      </c>
    </row>
    <row r="125" spans="3:20" ht="19" customHeight="1">
      <c r="C125" s="116" t="str">
        <f>INDEX(KB!C:D,MATCH(D125,KB!D:D,0),1)</f>
        <v>TỦ LẠNH, TỦ ĐÔNG, TỦ MÁT</v>
      </c>
      <c r="D125" s="116" t="s">
        <v>64</v>
      </c>
      <c r="E125" s="117" t="s">
        <v>283</v>
      </c>
      <c r="F125" s="116" t="str">
        <f t="shared" si="24"/>
        <v>TỦ LẠNH, TỦ ĐÔNG, TỦ MÁTNguyễn Anh Tài - 269055</v>
      </c>
      <c r="G125" s="118" cm="1">
        <f t="array" ref="G125">IFERROR(INDEX(KB!$I$38:$AJ$50,MATCH(XL_DT_TD!E125,KB!$I$38:$I$50,0),MATCH(XL_DT_TD!D125,KB!$J$37:$AJ$37,0)+1),0)</f>
        <v>0</v>
      </c>
      <c r="H125" s="118" cm="1">
        <f t="array" ref="H125">IFERROR(
  INDEX(DATA_TĐ!$B$36:$Z$47,
    MATCH(TRUE, INDEX(TRIM(DATA_TĐ!$B$36:$B$45)=TRIM(E125),0),0),
    MATCH(TRUE, INDEX(TRIM(DATA_TĐ!$B$36:$Z$36)=TRIM(C125),0),0)
  ),
0)</f>
        <v>0</v>
      </c>
      <c r="I125" s="118">
        <f ca="1">H125/DAY(NOW()-1)*'Hieu Qua NV'!$J$1</f>
        <v>0</v>
      </c>
      <c r="J125" s="118">
        <f t="shared" si="25"/>
        <v>0</v>
      </c>
      <c r="K125" s="118">
        <f ca="1">J125/'Hieu Qua NV'!$J$2</f>
        <v>0</v>
      </c>
      <c r="L125" s="119" t="e">
        <f t="shared" ca="1" si="23"/>
        <v>#DIV/0!</v>
      </c>
      <c r="M125" s="118">
        <f ca="1">IFERROR(
INDEX(
KB!$I$55:$AJ$68,
MATCH(E125,KB!$I$55:$I$68,0),
MATCH(D125,KB!$I$55:$AJ$55,0)
),
0)</f>
        <v>0</v>
      </c>
      <c r="S125" s="669" cm="1">
        <f t="array" aca="1" ref="S125" ca="1">_xlfn.IFS(
CONFIG!$B$8="W1",H125-N125,
CONFIG!$B$8="W2",H125-O125,
CONFIG!$B$8="W3",H125-P125,
CONFIG!$B$8="W4",H125-Q125,
CONFIG!$B$8="W5",H125-R125
)</f>
        <v>0</v>
      </c>
      <c r="T125" s="652">
        <f t="shared" ca="1" si="19"/>
        <v>0</v>
      </c>
    </row>
    <row r="126" spans="3:20" ht="19" customHeight="1">
      <c r="C126" s="116" t="str">
        <f>INDEX(KB!C:D,MATCH(D126,KB!D:D,0),1)</f>
        <v>TỦ LẠNH, TỦ ĐÔNG, TỦ MÁT</v>
      </c>
      <c r="D126" s="116" t="s">
        <v>64</v>
      </c>
      <c r="E126" s="117" t="s">
        <v>284</v>
      </c>
      <c r="F126" s="116" t="str">
        <f t="shared" si="24"/>
        <v>TỦ LẠNH, TỦ ĐÔNG, TỦ MÁTLê Văn Hợp - 279884</v>
      </c>
      <c r="G126" s="118" cm="1">
        <f t="array" ref="G126">IFERROR(INDEX(KB!$I$38:$AJ$50,MATCH(XL_DT_TD!E126,KB!$I$38:$I$50,0),MATCH(XL_DT_TD!D126,KB!$J$37:$AJ$37,0)+1),0)</f>
        <v>0</v>
      </c>
      <c r="H126" s="118" cm="1">
        <f t="array" ref="H126">IFERROR(
  INDEX(DATA_TĐ!$B$36:$Z$47,
    MATCH(TRUE, INDEX(TRIM(DATA_TĐ!$B$36:$B$45)=TRIM(E126),0),0),
    MATCH(TRUE, INDEX(TRIM(DATA_TĐ!$B$36:$Z$36)=TRIM(C126),0),0)
  ),
0)</f>
        <v>0</v>
      </c>
      <c r="I126" s="118">
        <f ca="1">H126/DAY(NOW()-1)*'Hieu Qua NV'!$J$1</f>
        <v>0</v>
      </c>
      <c r="J126" s="118">
        <f t="shared" si="25"/>
        <v>0</v>
      </c>
      <c r="K126" s="118">
        <f ca="1">J126/'Hieu Qua NV'!$J$2</f>
        <v>0</v>
      </c>
      <c r="L126" s="119" t="e">
        <f t="shared" ca="1" si="23"/>
        <v>#DIV/0!</v>
      </c>
      <c r="M126" s="118">
        <f ca="1">IFERROR(
INDEX(
KB!$I$55:$AJ$68,
MATCH(E126,KB!$I$55:$I$68,0),
MATCH(D126,KB!$I$55:$AJ$55,0)
),
0)</f>
        <v>0</v>
      </c>
      <c r="S126" s="669" cm="1">
        <f t="array" aca="1" ref="S126" ca="1">_xlfn.IFS(
CONFIG!$B$8="W1",H126-N126,
CONFIG!$B$8="W2",H126-O126,
CONFIG!$B$8="W3",H126-P126,
CONFIG!$B$8="W4",H126-Q126,
CONFIG!$B$8="W5",H126-R126
)</f>
        <v>0</v>
      </c>
      <c r="T126" s="652">
        <f t="shared" ca="1" si="19"/>
        <v>0</v>
      </c>
    </row>
    <row r="127" spans="3:20" ht="19" customHeight="1">
      <c r="C127" s="120" t="str">
        <f>INDEX(KB!C:D,MATCH(D127,KB!D:D,0),1)</f>
        <v>TỦ LẠNH, TỦ ĐÔNG, TỦ MÁT</v>
      </c>
      <c r="D127" s="120" t="s">
        <v>64</v>
      </c>
      <c r="E127" s="120" t="s">
        <v>20</v>
      </c>
      <c r="F127" s="121" t="str">
        <f t="shared" si="24"/>
        <v>TỦ LẠNH, TỦ ĐÔNG, TỦ MÁTTổng</v>
      </c>
      <c r="G127" s="122">
        <f t="shared" ref="G127" si="35">SUM(G114:G125)</f>
        <v>719.38800000000003</v>
      </c>
      <c r="H127" s="122">
        <f t="shared" ref="H127:I127" si="36">SUM(H114:H125)</f>
        <v>259.8</v>
      </c>
      <c r="I127" s="122">
        <f t="shared" ca="1" si="36"/>
        <v>1298.9999999999998</v>
      </c>
      <c r="J127" s="122">
        <f t="shared" si="25"/>
        <v>459.58800000000002</v>
      </c>
      <c r="K127" s="122">
        <f ca="1">J127/'Hieu Qua NV'!$J$2</f>
        <v>19.982086956521741</v>
      </c>
      <c r="L127" s="119">
        <f t="shared" ca="1" si="23"/>
        <v>1.8057015129526761</v>
      </c>
      <c r="M127" s="122">
        <f t="shared" ref="M127" ca="1" si="37">SUM(M114:M125)</f>
        <v>181</v>
      </c>
      <c r="S127" s="669" cm="1">
        <f t="array" aca="1" ref="S127" ca="1">_xlfn.IFS(
CONFIG!$B$8="W1",H127-N127,
CONFIG!$B$8="W2",H127-O127,
CONFIG!$B$8="W3",H127-P127,
CONFIG!$B$8="W4",H127-Q127,
CONFIG!$B$8="W5",H127-R127
)</f>
        <v>259.8</v>
      </c>
      <c r="T127" s="652">
        <f t="shared" ca="1" si="19"/>
        <v>1.4353591160220995</v>
      </c>
    </row>
    <row r="128" spans="3:20" ht="19" customHeight="1">
      <c r="C128" s="116" t="str">
        <f>INDEX(KB!C:D,MATCH(D128,KB!D:D,0),1)</f>
        <v>Điện tử</v>
      </c>
      <c r="D128" s="116" t="s">
        <v>168</v>
      </c>
      <c r="E128" s="321" t="s">
        <v>57</v>
      </c>
      <c r="F128" s="116" t="str">
        <f t="shared" si="24"/>
        <v>Điện tửNguyễn Thị Ngọc - 54026</v>
      </c>
      <c r="G128" s="118" cm="1">
        <f t="array" ref="G128">IFERROR(INDEX(KB!$I$38:$AJ$50,MATCH(XL_DT_TD!E128,KB!$I$38:$I$50,0),MATCH(XL_DT_TD!D128,KB!$J$37:$AJ$37,0)+1),0)</f>
        <v>178.00200000000001</v>
      </c>
      <c r="H128" s="118" cm="1">
        <f t="array" ref="H128">IFERROR(INDEX(DATA_TĐ!$B$1:$AZ$19,MATCH(XL_DT_TD!E128,DATA_TĐ!B:B,0),MATCH(XL_DT_TD!C128,DATA_TĐ!$1:$1,0)-1),0)</f>
        <v>20.11</v>
      </c>
      <c r="I128" s="118">
        <f ca="1">H128/DAY(NOW()-1)*'Hieu Qua NV'!$J$1</f>
        <v>100.55</v>
      </c>
      <c r="J128" s="118">
        <f t="shared" si="25"/>
        <v>157.892</v>
      </c>
      <c r="K128" s="118">
        <f ca="1">J128/'Hieu Qua NV'!$J$2</f>
        <v>6.8648695652173908</v>
      </c>
      <c r="L128" s="119">
        <f t="shared" ca="1" si="23"/>
        <v>0.56488129346861271</v>
      </c>
      <c r="M128" s="118">
        <f ca="1">IFERROR(
INDEX(
KB!$I$55:$AJ$68,
MATCH(E128,KB!$I$55:$I$68,0),
MATCH(D128,KB!$I$55:$AJ$55,0)
),
0)</f>
        <v>45</v>
      </c>
      <c r="S128" s="669" cm="1">
        <f t="array" aca="1" ref="S128" ca="1">_xlfn.IFS(
CONFIG!$B$8="W1",H128-N128,
CONFIG!$B$8="W2",H128-O128,
CONFIG!$B$8="W3",H128-P128,
CONFIG!$B$8="W4",H128-Q128,
CONFIG!$B$8="W5",H128-R128
)</f>
        <v>20.11</v>
      </c>
      <c r="T128" s="652">
        <f t="shared" ca="1" si="19"/>
        <v>0.44688888888888889</v>
      </c>
    </row>
    <row r="129" spans="3:20" ht="19" customHeight="1">
      <c r="C129" s="116" t="str">
        <f>INDEX(KB!C:D,MATCH(D129,KB!D:D,0),1)</f>
        <v>Điện tử</v>
      </c>
      <c r="D129" s="116" t="s">
        <v>168</v>
      </c>
      <c r="E129" s="321" t="s">
        <v>60</v>
      </c>
      <c r="F129" s="116" t="str">
        <f t="shared" si="24"/>
        <v>Điện tửNguyễn Viết Sơn - 94065</v>
      </c>
      <c r="G129" s="118" cm="1">
        <f t="array" ref="G129">IFERROR(INDEX(KB!$I$38:$AJ$50,MATCH(XL_DT_TD!E129,KB!$I$38:$I$50,0),MATCH(XL_DT_TD!D129,KB!$J$37:$AJ$37,0)+1),0)</f>
        <v>145.63800000000001</v>
      </c>
      <c r="H129" s="118" cm="1">
        <f t="array" ref="H129">IFERROR(INDEX(DATA_TĐ!$B$1:$AZ$19,MATCH(XL_DT_TD!E129,DATA_TĐ!B:B,0),MATCH(XL_DT_TD!C129,DATA_TĐ!$1:$1,0)-1),0)</f>
        <v>14.14</v>
      </c>
      <c r="I129" s="118">
        <f ca="1">H129/DAY(NOW()-1)*'Hieu Qua NV'!$J$1</f>
        <v>70.7</v>
      </c>
      <c r="J129" s="118">
        <f t="shared" si="25"/>
        <v>131.49799999999999</v>
      </c>
      <c r="K129" s="118">
        <f ca="1">J129/'Hieu Qua NV'!$J$2</f>
        <v>5.7173043478260865</v>
      </c>
      <c r="L129" s="119">
        <f t="shared" ca="1" si="23"/>
        <v>0.48545022590258036</v>
      </c>
      <c r="M129" s="118">
        <f ca="1">IFERROR(
INDEX(
KB!$I$55:$AJ$68,
MATCH(E129,KB!$I$55:$I$68,0),
MATCH(D129,KB!$I$55:$AJ$55,0)
),
0)</f>
        <v>36</v>
      </c>
      <c r="S129" s="669" cm="1">
        <f t="array" aca="1" ref="S129" ca="1">_xlfn.IFS(
CONFIG!$B$8="W1",H129-N129,
CONFIG!$B$8="W2",H129-O129,
CONFIG!$B$8="W3",H129-P129,
CONFIG!$B$8="W4",H129-Q129,
CONFIG!$B$8="W5",H129-R129
)</f>
        <v>14.14</v>
      </c>
      <c r="T129" s="652">
        <f t="shared" ca="1" si="19"/>
        <v>0.39277777777777778</v>
      </c>
    </row>
    <row r="130" spans="3:20">
      <c r="C130" s="116" t="str">
        <f>INDEX(KB!C:D,MATCH(D130,KB!D:D,0),1)</f>
        <v>Điện tử</v>
      </c>
      <c r="D130" s="116" t="s">
        <v>168</v>
      </c>
      <c r="E130" s="321" t="s">
        <v>15</v>
      </c>
      <c r="F130" s="116" t="str">
        <f t="shared" si="24"/>
        <v>Điện tửNguyễn Trang Nhung - 25734</v>
      </c>
      <c r="G130" s="118" cm="1">
        <f t="array" ref="G130">IFERROR(INDEX(KB!$I$38:$AJ$50,MATCH(XL_DT_TD!E130,KB!$I$38:$I$50,0),MATCH(XL_DT_TD!D130,KB!$J$37:$AJ$37,0)+1),0)</f>
        <v>178.00200000000001</v>
      </c>
      <c r="H130" s="118" cm="1">
        <f t="array" ref="H130">IFERROR(INDEX(DATA_TĐ!$B$1:$AZ$19,MATCH(XL_DT_TD!E130,DATA_TĐ!B:B,0),MATCH(XL_DT_TD!C130,DATA_TĐ!$1:$1,0)-1),0)</f>
        <v>-15.84</v>
      </c>
      <c r="I130" s="118">
        <f ca="1">H130/DAY(NOW()-1)*'Hieu Qua NV'!$J$1</f>
        <v>-79.2</v>
      </c>
      <c r="J130" s="118">
        <f t="shared" si="25"/>
        <v>193.84200000000001</v>
      </c>
      <c r="K130" s="118">
        <f ca="1">J130/'Hieu Qua NV'!$J$2</f>
        <v>8.4279130434782612</v>
      </c>
      <c r="L130" s="119">
        <f t="shared" ca="1" si="23"/>
        <v>-0.44493882091212456</v>
      </c>
      <c r="M130" s="118">
        <f ca="1">IFERROR(
INDEX(
KB!$I$55:$AJ$68,
MATCH(E130,KB!$I$55:$I$68,0),
MATCH(D130,KB!$I$55:$AJ$55,0)
),
0)</f>
        <v>45</v>
      </c>
      <c r="S130" s="669" cm="1">
        <f t="array" aca="1" ref="S130" ca="1">_xlfn.IFS(
CONFIG!$B$8="W1",H130-N130,
CONFIG!$B$8="W2",H130-O130,
CONFIG!$B$8="W3",H130-P130,
CONFIG!$B$8="W4",H130-Q130,
CONFIG!$B$8="W5",H130-R130
)</f>
        <v>-15.84</v>
      </c>
      <c r="T130" s="652">
        <f t="shared" ca="1" si="19"/>
        <v>-0.35199999999999998</v>
      </c>
    </row>
    <row r="131" spans="3:20">
      <c r="C131" s="116" t="str">
        <f>INDEX(KB!C:D,MATCH(D131,KB!D:D,0),1)</f>
        <v>Điện tử</v>
      </c>
      <c r="D131" s="116" t="s">
        <v>168</v>
      </c>
      <c r="E131" s="321" t="s">
        <v>151</v>
      </c>
      <c r="F131" s="116" t="str">
        <f t="shared" si="24"/>
        <v>Điện tửTrần Huy Hoàn - 270828</v>
      </c>
      <c r="G131" s="118" cm="1">
        <f t="array" ref="G131">IFERROR(INDEX(KB!$I$38:$AJ$50,MATCH(XL_DT_TD!E131,KB!$I$38:$I$50,0),MATCH(XL_DT_TD!D131,KB!$J$37:$AJ$37,0)+1),0)</f>
        <v>145.63800000000001</v>
      </c>
      <c r="H131" s="118" cm="1">
        <f t="array" ref="H131">IFERROR(INDEX(DATA_TĐ!$B$1:$AZ$19,MATCH(XL_DT_TD!E131,DATA_TĐ!B:B,0),MATCH(XL_DT_TD!C131,DATA_TĐ!$1:$1,0)-1),0)</f>
        <v>0</v>
      </c>
      <c r="I131" s="118">
        <f ca="1">H131/DAY(NOW()-1)*'Hieu Qua NV'!$J$1</f>
        <v>0</v>
      </c>
      <c r="J131" s="118">
        <f t="shared" si="25"/>
        <v>145.63800000000001</v>
      </c>
      <c r="K131" s="118">
        <f ca="1">J131/'Hieu Qua NV'!$J$2</f>
        <v>6.3320869565217395</v>
      </c>
      <c r="L131" s="119">
        <f t="shared" ca="1" si="23"/>
        <v>0</v>
      </c>
      <c r="M131" s="118">
        <f ca="1">IFERROR(
INDEX(
KB!$I$55:$AJ$68,
MATCH(E131,KB!$I$55:$I$68,0),
MATCH(D131,KB!$I$55:$AJ$55,0)
),
0)</f>
        <v>36</v>
      </c>
      <c r="S131" s="669" cm="1">
        <f t="array" aca="1" ref="S131" ca="1">_xlfn.IFS(
CONFIG!$B$8="W1",H131-N131,
CONFIG!$B$8="W2",H131-O131,
CONFIG!$B$8="W3",H131-P131,
CONFIG!$B$8="W4",H131-Q131,
CONFIG!$B$8="W5",H131-R131
)</f>
        <v>0</v>
      </c>
      <c r="T131" s="652">
        <f t="shared" ref="T131:T194" ca="1" si="38">IF(M131=0,0,S131/M131)</f>
        <v>0</v>
      </c>
    </row>
    <row r="132" spans="3:20">
      <c r="C132" s="116" t="str">
        <f>INDEX(KB!C:D,MATCH(D132,KB!D:D,0),1)</f>
        <v>Điện tử</v>
      </c>
      <c r="D132" s="116" t="s">
        <v>168</v>
      </c>
      <c r="E132" s="321" t="s">
        <v>293</v>
      </c>
      <c r="F132" s="116" t="str">
        <f t="shared" si="24"/>
        <v>Điện tửPhạm Văn Thanh - 279935</v>
      </c>
      <c r="G132" s="118" cm="1">
        <f t="array" ref="G132">IFERROR(INDEX(KB!$I$38:$AJ$50,MATCH(XL_DT_TD!E132,KB!$I$38:$I$50,0),MATCH(XL_DT_TD!D132,KB!$J$37:$AJ$37,0)+1),0)</f>
        <v>80.910000000000011</v>
      </c>
      <c r="H132" s="118" cm="1">
        <f t="array" ref="H132">IFERROR(INDEX(DATA_TĐ!$B$1:$AZ$19,MATCH(XL_DT_TD!E132,DATA_TĐ!B:B,0),MATCH(XL_DT_TD!C132,DATA_TĐ!$1:$1,0)-1),0)</f>
        <v>0</v>
      </c>
      <c r="I132" s="118">
        <f ca="1">H132/DAY(NOW()-1)*'Hieu Qua NV'!$J$1</f>
        <v>0</v>
      </c>
      <c r="J132" s="118">
        <f t="shared" si="25"/>
        <v>80.910000000000011</v>
      </c>
      <c r="K132" s="118">
        <f ca="1">J132/'Hieu Qua NV'!$J$2</f>
        <v>3.5178260869565223</v>
      </c>
      <c r="L132" s="119">
        <f t="shared" ca="1" si="23"/>
        <v>0</v>
      </c>
      <c r="M132" s="118">
        <f ca="1">IFERROR(
INDEX(
KB!$I$55:$AJ$68,
MATCH(E132,KB!$I$55:$I$68,0),
MATCH(D132,KB!$I$55:$AJ$55,0)
),
0)</f>
        <v>20</v>
      </c>
      <c r="S132" s="669" cm="1">
        <f t="array" aca="1" ref="S132" ca="1">_xlfn.IFS(
CONFIG!$B$8="W1",H132-N132,
CONFIG!$B$8="W2",H132-O132,
CONFIG!$B$8="W3",H132-P132,
CONFIG!$B$8="W4",H132-Q132,
CONFIG!$B$8="W5",H132-R132
)</f>
        <v>0</v>
      </c>
      <c r="T132" s="652">
        <f t="shared" ca="1" si="38"/>
        <v>0</v>
      </c>
    </row>
    <row r="133" spans="3:20">
      <c r="C133" s="116" t="str">
        <f>INDEX(KB!C:D,MATCH(D133,KB!D:D,0),1)</f>
        <v>Điện tử</v>
      </c>
      <c r="D133" s="116" t="s">
        <v>168</v>
      </c>
      <c r="E133" s="321" t="s">
        <v>433</v>
      </c>
      <c r="F133" s="116" t="str">
        <f t="shared" si="24"/>
        <v>Điện tửNguyễn Thành Đạt - 280855</v>
      </c>
      <c r="G133" s="118" cm="1">
        <f t="array" ref="G133">IFERROR(INDEX(KB!$I$38:$AJ$50,MATCH(XL_DT_TD!E133,KB!$I$38:$I$50,0),MATCH(XL_DT_TD!D133,KB!$J$37:$AJ$37,0)+1),0)</f>
        <v>80.910000000000011</v>
      </c>
      <c r="H133" s="118" cm="1">
        <f t="array" ref="H133">IFERROR(INDEX(DATA_TĐ!$B$1:$AZ$19,MATCH(XL_DT_TD!E133,DATA_TĐ!B:B,0),MATCH(XL_DT_TD!C133,DATA_TĐ!$1:$1,0)-1),0)</f>
        <v>0</v>
      </c>
      <c r="I133" s="118">
        <f ca="1">H133/DAY(NOW()-1)*'Hieu Qua NV'!$J$1</f>
        <v>0</v>
      </c>
      <c r="J133" s="118">
        <f t="shared" si="25"/>
        <v>80.910000000000011</v>
      </c>
      <c r="K133" s="118">
        <f ca="1">J133/'Hieu Qua NV'!$J$2</f>
        <v>3.5178260869565223</v>
      </c>
      <c r="L133" s="119">
        <f t="shared" ca="1" si="23"/>
        <v>0</v>
      </c>
      <c r="M133" s="118">
        <f ca="1">IFERROR(
INDEX(
KB!$I$55:$AJ$68,
MATCH(E133,KB!$I$55:$I$68,0),
MATCH(D133,KB!$I$55:$AJ$55,0)
),
0)</f>
        <v>20</v>
      </c>
      <c r="S133" s="669" cm="1">
        <f t="array" aca="1" ref="S133" ca="1">_xlfn.IFS(
CONFIG!$B$8="W1",H133-N133,
CONFIG!$B$8="W2",H133-O133,
CONFIG!$B$8="W3",H133-P133,
CONFIG!$B$8="W4",H133-Q133,
CONFIG!$B$8="W5",H133-R133
)</f>
        <v>0</v>
      </c>
      <c r="T133" s="652">
        <f t="shared" ca="1" si="38"/>
        <v>0</v>
      </c>
    </row>
    <row r="134" spans="3:20">
      <c r="C134" s="116" t="str">
        <f>INDEX(KB!C:D,MATCH(D134,KB!D:D,0),1)</f>
        <v>Điện tử</v>
      </c>
      <c r="D134" s="116" t="s">
        <v>168</v>
      </c>
      <c r="E134" s="321" t="s">
        <v>56</v>
      </c>
      <c r="F134" s="116" t="str">
        <f t="shared" si="24"/>
        <v>Điện tửĐỗ Văn Duân - 62025</v>
      </c>
      <c r="G134" s="118" cm="1">
        <f t="array" ref="G134">IFERROR(INDEX(KB!$I$38:$AJ$50,MATCH(XL_DT_TD!E134,KB!$I$38:$I$50,0),MATCH(XL_DT_TD!D134,KB!$J$37:$AJ$37,0)+1),0)</f>
        <v>178.00200000000001</v>
      </c>
      <c r="H134" s="118" cm="1">
        <f t="array" ref="H134">IFERROR(INDEX(DATA_TĐ!$B$1:$AZ$19,MATCH(XL_DT_TD!E134,DATA_TĐ!B:B,0),MATCH(XL_DT_TD!C134,DATA_TĐ!$1:$1,0)-1),0)</f>
        <v>66.78</v>
      </c>
      <c r="I134" s="118">
        <f ca="1">H134/DAY(NOW()-1)*'Hieu Qua NV'!$J$1</f>
        <v>333.90000000000003</v>
      </c>
      <c r="J134" s="118">
        <f t="shared" si="25"/>
        <v>111.22200000000001</v>
      </c>
      <c r="K134" s="118">
        <f ca="1">J134/'Hieu Qua NV'!$J$2</f>
        <v>4.8357391304347832</v>
      </c>
      <c r="L134" s="119">
        <f t="shared" ca="1" si="23"/>
        <v>1.8758216199817981</v>
      </c>
      <c r="M134" s="118">
        <f ca="1">IFERROR(
INDEX(
KB!$I$55:$AJ$68,
MATCH(E134,KB!$I$55:$I$68,0),
MATCH(D134,KB!$I$55:$AJ$55,0)
),
0)</f>
        <v>45</v>
      </c>
      <c r="S134" s="669" cm="1">
        <f t="array" aca="1" ref="S134" ca="1">_xlfn.IFS(
CONFIG!$B$8="W1",H134-N134,
CONFIG!$B$8="W2",H134-O134,
CONFIG!$B$8="W3",H134-P134,
CONFIG!$B$8="W4",H134-Q134,
CONFIG!$B$8="W5",H134-R134
)</f>
        <v>66.78</v>
      </c>
      <c r="T134" s="652">
        <f t="shared" ca="1" si="38"/>
        <v>1.484</v>
      </c>
    </row>
    <row r="135" spans="3:20">
      <c r="C135" s="116" t="str">
        <f>INDEX(KB!C:D,MATCH(D135,KB!D:D,0),1)</f>
        <v>Điện tử</v>
      </c>
      <c r="D135" s="116" t="s">
        <v>168</v>
      </c>
      <c r="E135" s="321" t="s">
        <v>530</v>
      </c>
      <c r="F135" s="116" t="str">
        <f t="shared" si="24"/>
        <v>Điện tửNhân viên Mới 1</v>
      </c>
      <c r="G135" s="118" cm="1">
        <f t="array" ref="G135">IFERROR(INDEX(KB!$I$38:$AJ$50,MATCH(XL_DT_TD!E135,KB!$I$38:$I$50,0),MATCH(XL_DT_TD!D135,KB!$J$37:$AJ$37,0)+1),0)</f>
        <v>0</v>
      </c>
      <c r="H135" s="118" cm="1">
        <f t="array" ref="H135">IFERROR(INDEX(DATA_TĐ!$B$1:$AZ$19,MATCH(XL_DT_TD!E135,DATA_TĐ!B:B,0),MATCH(XL_DT_TD!C135,DATA_TĐ!$1:$1,0)-1),0)</f>
        <v>0</v>
      </c>
      <c r="I135" s="118">
        <f ca="1">H135/DAY(NOW()-1)*'Hieu Qua NV'!$J$1</f>
        <v>0</v>
      </c>
      <c r="J135" s="118">
        <f t="shared" si="25"/>
        <v>0</v>
      </c>
      <c r="K135" s="118">
        <f ca="1">J135/'Hieu Qua NV'!$J$2</f>
        <v>0</v>
      </c>
      <c r="L135" s="119" t="e">
        <f t="shared" ca="1" si="23"/>
        <v>#DIV/0!</v>
      </c>
      <c r="M135" s="118">
        <f ca="1">IFERROR(
INDEX(
KB!$I$55:$AJ$68,
MATCH(E135,KB!$I$55:$I$68,0),
MATCH(D135,KB!$I$55:$AJ$55,0)
),
0)</f>
        <v>0</v>
      </c>
      <c r="S135" s="669" cm="1">
        <f t="array" aca="1" ref="S135" ca="1">_xlfn.IFS(
CONFIG!$B$8="W1",H135-N135,
CONFIG!$B$8="W2",H135-O135,
CONFIG!$B$8="W3",H135-P135,
CONFIG!$B$8="W4",H135-Q135,
CONFIG!$B$8="W5",H135-R135
)</f>
        <v>0</v>
      </c>
      <c r="T135" s="652">
        <f t="shared" ca="1" si="38"/>
        <v>0</v>
      </c>
    </row>
    <row r="136" spans="3:20">
      <c r="C136" s="116" t="str">
        <f>INDEX(KB!C:D,MATCH(D136,KB!D:D,0),1)</f>
        <v>Điện tử</v>
      </c>
      <c r="D136" s="116" t="s">
        <v>168</v>
      </c>
      <c r="E136" s="321" t="s">
        <v>560</v>
      </c>
      <c r="F136" s="116" t="str">
        <f t="shared" si="24"/>
        <v>Điện tửNhân viên Mới 2</v>
      </c>
      <c r="G136" s="118" cm="1">
        <f t="array" ref="G136">IFERROR(INDEX(KB!$I$38:$AJ$50,MATCH(XL_DT_TD!E136,KB!$I$38:$I$50,0),MATCH(XL_DT_TD!D136,KB!$J$37:$AJ$37,0)+1),0)</f>
        <v>0</v>
      </c>
      <c r="H136" s="118" cm="1">
        <f t="array" ref="H136">IFERROR(INDEX(DATA_TĐ!$B$1:$AZ$19,MATCH(XL_DT_TD!E136,DATA_TĐ!B:B,0),MATCH(XL_DT_TD!C136,DATA_TĐ!$1:$1,0)-1),0)</f>
        <v>0</v>
      </c>
      <c r="I136" s="118">
        <f ca="1">H136/DAY(NOW()-1)*'Hieu Qua NV'!$J$1</f>
        <v>0</v>
      </c>
      <c r="J136" s="118">
        <f t="shared" si="25"/>
        <v>0</v>
      </c>
      <c r="K136" s="118">
        <f ca="1">J136/'Hieu Qua NV'!$J$2</f>
        <v>0</v>
      </c>
      <c r="L136" s="119" t="e">
        <f t="shared" ca="1" si="23"/>
        <v>#DIV/0!</v>
      </c>
      <c r="M136" s="118">
        <f ca="1">IFERROR(
INDEX(
KB!$I$55:$AJ$68,
MATCH(E136,KB!$I$55:$I$68,0),
MATCH(D136,KB!$I$55:$AJ$55,0)
),
0)</f>
        <v>0</v>
      </c>
      <c r="S136" s="669" cm="1">
        <f t="array" aca="1" ref="S136" ca="1">_xlfn.IFS(
CONFIG!$B$8="W1",H136-N136,
CONFIG!$B$8="W2",H136-O136,
CONFIG!$B$8="W3",H136-P136,
CONFIG!$B$8="W4",H136-Q136,
CONFIG!$B$8="W5",H136-R136
)</f>
        <v>0</v>
      </c>
      <c r="T136" s="652">
        <f t="shared" ca="1" si="38"/>
        <v>0</v>
      </c>
    </row>
    <row r="137" spans="3:20">
      <c r="C137" s="116" t="str">
        <f>INDEX(KB!C:D,MATCH(D137,KB!D:D,0),1)</f>
        <v>Điện tử</v>
      </c>
      <c r="D137" s="116" t="s">
        <v>168</v>
      </c>
      <c r="E137" s="117" t="s">
        <v>281</v>
      </c>
      <c r="F137" s="116" t="str">
        <f t="shared" si="24"/>
        <v>Điện tửTrần Thị Nhung - 11082</v>
      </c>
      <c r="G137" s="118" cm="1">
        <f t="array" ref="G137">IFERROR(INDEX(KB!$I$38:$AJ$50,MATCH(XL_DT_TD!E137,KB!$I$38:$I$50,0),MATCH(XL_DT_TD!D137,KB!$J$37:$AJ$37,0)+1),0)</f>
        <v>0</v>
      </c>
      <c r="H137" s="118" cm="1">
        <f t="array" ref="H137">IFERROR(
  INDEX(DATA_TĐ!$B$36:$Z$47,
    MATCH(TRUE, INDEX(TRIM(DATA_TĐ!$B$36:$B$45)=TRIM(E137),0),0),
    MATCH(TRUE, INDEX(TRIM(DATA_TĐ!$B$36:$Z$36)=TRIM(C137),0),0)
  ),
0)</f>
        <v>0</v>
      </c>
      <c r="I137" s="118">
        <f ca="1">H137/DAY(NOW()-1)*'Hieu Qua NV'!$J$1</f>
        <v>0</v>
      </c>
      <c r="J137" s="118">
        <f t="shared" si="25"/>
        <v>0</v>
      </c>
      <c r="K137" s="118">
        <f ca="1">J137/'Hieu Qua NV'!$J$2</f>
        <v>0</v>
      </c>
      <c r="L137" s="119" t="e">
        <f t="shared" ca="1" si="23"/>
        <v>#DIV/0!</v>
      </c>
      <c r="M137" s="118">
        <f ca="1">IFERROR(
INDEX(
KB!$I$55:$AJ$68,
MATCH(E137,KB!$I$55:$I$68,0),
MATCH(D137,KB!$I$55:$AJ$55,0)
),
0)</f>
        <v>0</v>
      </c>
      <c r="S137" s="669" cm="1">
        <f t="array" aca="1" ref="S137" ca="1">_xlfn.IFS(
CONFIG!$B$8="W1",H137-N137,
CONFIG!$B$8="W2",H137-O137,
CONFIG!$B$8="W3",H137-P137,
CONFIG!$B$8="W4",H137-Q137,
CONFIG!$B$8="W5",H137-R137
)</f>
        <v>0</v>
      </c>
      <c r="T137" s="652">
        <f t="shared" ca="1" si="38"/>
        <v>0</v>
      </c>
    </row>
    <row r="138" spans="3:20">
      <c r="C138" s="116" t="str">
        <f>INDEX(KB!C:D,MATCH(D138,KB!D:D,0),1)</f>
        <v>Điện tử</v>
      </c>
      <c r="D138" s="116" t="s">
        <v>168</v>
      </c>
      <c r="E138" s="117" t="s">
        <v>282</v>
      </c>
      <c r="F138" s="116" t="str">
        <f t="shared" si="24"/>
        <v>Điện tửNguyễn Thị Phương Oanh - 164808</v>
      </c>
      <c r="G138" s="118" cm="1">
        <f t="array" ref="G138">IFERROR(INDEX(KB!$I$38:$AJ$50,MATCH(XL_DT_TD!E138,KB!$I$38:$I$50,0),MATCH(XL_DT_TD!D138,KB!$J$37:$AJ$37,0)+1),0)</f>
        <v>0</v>
      </c>
      <c r="H138" s="118" cm="1">
        <f t="array" ref="H138">IFERROR(
  INDEX(DATA_TĐ!$B$36:$Z$47,
    MATCH(TRUE, INDEX(TRIM(DATA_TĐ!$B$36:$B$45)=TRIM(E138),0),0),
    MATCH(TRUE, INDEX(TRIM(DATA_TĐ!$B$36:$Z$36)=TRIM(C138),0),0)
  ),
0)</f>
        <v>0</v>
      </c>
      <c r="I138" s="118">
        <f ca="1">H138/DAY(NOW()-1)*'Hieu Qua NV'!$J$1</f>
        <v>0</v>
      </c>
      <c r="J138" s="118">
        <f t="shared" si="25"/>
        <v>0</v>
      </c>
      <c r="K138" s="118">
        <f ca="1">J138/'Hieu Qua NV'!$J$2</f>
        <v>0</v>
      </c>
      <c r="L138" s="119" t="e">
        <f t="shared" ca="1" si="23"/>
        <v>#DIV/0!</v>
      </c>
      <c r="M138" s="118">
        <f ca="1">IFERROR(
INDEX(
KB!$I$55:$AJ$68,
MATCH(E138,KB!$I$55:$I$68,0),
MATCH(D138,KB!$I$55:$AJ$55,0)
),
0)</f>
        <v>0</v>
      </c>
      <c r="S138" s="669" cm="1">
        <f t="array" aca="1" ref="S138" ca="1">_xlfn.IFS(
CONFIG!$B$8="W1",H138-N138,
CONFIG!$B$8="W2",H138-O138,
CONFIG!$B$8="W3",H138-P138,
CONFIG!$B$8="W4",H138-Q138,
CONFIG!$B$8="W5",H138-R138
)</f>
        <v>0</v>
      </c>
      <c r="T138" s="652">
        <f t="shared" ca="1" si="38"/>
        <v>0</v>
      </c>
    </row>
    <row r="139" spans="3:20">
      <c r="C139" s="116" t="str">
        <f>INDEX(KB!C:D,MATCH(D139,KB!D:D,0),1)</f>
        <v>Điện tử</v>
      </c>
      <c r="D139" s="116" t="s">
        <v>168</v>
      </c>
      <c r="E139" s="117" t="s">
        <v>283</v>
      </c>
      <c r="F139" s="116" t="str">
        <f t="shared" si="24"/>
        <v>Điện tửNguyễn Anh Tài - 269055</v>
      </c>
      <c r="G139" s="118" cm="1">
        <f t="array" ref="G139">IFERROR(INDEX(KB!$I$38:$AJ$50,MATCH(XL_DT_TD!E139,KB!$I$38:$I$50,0),MATCH(XL_DT_TD!D139,KB!$J$37:$AJ$37,0)+1),0)</f>
        <v>0</v>
      </c>
      <c r="H139" s="118" cm="1">
        <f t="array" ref="H139">IFERROR(
  INDEX(DATA_TĐ!$B$36:$Z$47,
    MATCH(TRUE, INDEX(TRIM(DATA_TĐ!$B$36:$B$45)=TRIM(E139),0),0),
    MATCH(TRUE, INDEX(TRIM(DATA_TĐ!$B$36:$Z$36)=TRIM(C139),0),0)
  ),
0)</f>
        <v>0</v>
      </c>
      <c r="I139" s="118">
        <f ca="1">H139/DAY(NOW()-1)*'Hieu Qua NV'!$J$1</f>
        <v>0</v>
      </c>
      <c r="J139" s="118">
        <f t="shared" si="25"/>
        <v>0</v>
      </c>
      <c r="K139" s="118">
        <f ca="1">J139/'Hieu Qua NV'!$J$2</f>
        <v>0</v>
      </c>
      <c r="L139" s="119" t="e">
        <f t="shared" ca="1" si="23"/>
        <v>#DIV/0!</v>
      </c>
      <c r="M139" s="118">
        <f ca="1">IFERROR(
INDEX(
KB!$I$55:$AJ$68,
MATCH(E139,KB!$I$55:$I$68,0),
MATCH(D139,KB!$I$55:$AJ$55,0)
),
0)</f>
        <v>0</v>
      </c>
      <c r="S139" s="669" cm="1">
        <f t="array" aca="1" ref="S139" ca="1">_xlfn.IFS(
CONFIG!$B$8="W1",H139-N139,
CONFIG!$B$8="W2",H139-O139,
CONFIG!$B$8="W3",H139-P139,
CONFIG!$B$8="W4",H139-Q139,
CONFIG!$B$8="W5",H139-R139
)</f>
        <v>0</v>
      </c>
      <c r="T139" s="652">
        <f t="shared" ca="1" si="38"/>
        <v>0</v>
      </c>
    </row>
    <row r="140" spans="3:20">
      <c r="C140" s="116" t="str">
        <f>INDEX(KB!C:D,MATCH(D140,KB!D:D,0),1)</f>
        <v>Điện tử</v>
      </c>
      <c r="D140" s="116" t="s">
        <v>168</v>
      </c>
      <c r="E140" s="117" t="s">
        <v>284</v>
      </c>
      <c r="F140" s="116" t="str">
        <f t="shared" si="24"/>
        <v>Điện tửLê Văn Hợp - 279884</v>
      </c>
      <c r="G140" s="118" cm="1">
        <f t="array" ref="G140">IFERROR(INDEX(KB!$I$38:$AJ$50,MATCH(XL_DT_TD!E140,KB!$I$38:$I$50,0),MATCH(XL_DT_TD!D140,KB!$J$37:$AJ$37,0)+1),0)</f>
        <v>0</v>
      </c>
      <c r="H140" s="118" cm="1">
        <f t="array" ref="H140">IFERROR(
  INDEX(DATA_TĐ!$B$36:$Z$47,
    MATCH(TRUE, INDEX(TRIM(DATA_TĐ!$B$36:$B$45)=TRIM(E140),0),0),
    MATCH(TRUE, INDEX(TRIM(DATA_TĐ!$B$36:$Z$36)=TRIM(C140),0),0)
  ),
0)</f>
        <v>0</v>
      </c>
      <c r="I140" s="118">
        <f ca="1">H140/DAY(NOW()-1)*'Hieu Qua NV'!$J$1</f>
        <v>0</v>
      </c>
      <c r="J140" s="118">
        <f t="shared" si="25"/>
        <v>0</v>
      </c>
      <c r="K140" s="118">
        <f ca="1">J140/'Hieu Qua NV'!$J$2</f>
        <v>0</v>
      </c>
      <c r="L140" s="119" t="e">
        <f t="shared" ca="1" si="23"/>
        <v>#DIV/0!</v>
      </c>
      <c r="M140" s="118">
        <f ca="1">IFERROR(
INDEX(
KB!$I$55:$AJ$68,
MATCH(E140,KB!$I$55:$I$68,0),
MATCH(D140,KB!$I$55:$AJ$55,0)
),
0)</f>
        <v>0</v>
      </c>
      <c r="S140" s="669" cm="1">
        <f t="array" aca="1" ref="S140" ca="1">_xlfn.IFS(
CONFIG!$B$8="W1",H140-N140,
CONFIG!$B$8="W2",H140-O140,
CONFIG!$B$8="W3",H140-P140,
CONFIG!$B$8="W4",H140-Q140,
CONFIG!$B$8="W5",H140-R140
)</f>
        <v>0</v>
      </c>
      <c r="T140" s="652">
        <f t="shared" ca="1" si="38"/>
        <v>0</v>
      </c>
    </row>
    <row r="141" spans="3:20">
      <c r="C141" s="120" t="str">
        <f>INDEX(KB!C:D,MATCH(D141,KB!D:D,0),1)</f>
        <v>Điện tử</v>
      </c>
      <c r="D141" s="120" t="s">
        <v>168</v>
      </c>
      <c r="E141" s="120" t="s">
        <v>20</v>
      </c>
      <c r="F141" s="121" t="str">
        <f t="shared" si="24"/>
        <v>Điện tửTổng</v>
      </c>
      <c r="G141" s="122">
        <f t="shared" ref="G141" si="39">SUM(G128:G139)</f>
        <v>987.10199999999986</v>
      </c>
      <c r="H141" s="122">
        <f t="shared" ref="H141:I141" si="40">SUM(H128:H139)</f>
        <v>85.19</v>
      </c>
      <c r="I141" s="122">
        <f t="shared" ca="1" si="40"/>
        <v>425.95000000000005</v>
      </c>
      <c r="J141" s="122">
        <f t="shared" si="25"/>
        <v>901.91199999999981</v>
      </c>
      <c r="K141" s="122">
        <f ca="1">J141/'Hieu Qua NV'!$J$2</f>
        <v>39.213565217391299</v>
      </c>
      <c r="L141" s="119">
        <f t="shared" ca="1" si="23"/>
        <v>0.43151568936138324</v>
      </c>
      <c r="M141" s="122">
        <f t="shared" ref="M141" ca="1" si="41">SUM(M128:M139)</f>
        <v>247</v>
      </c>
      <c r="S141" s="669" cm="1">
        <f t="array" aca="1" ref="S141" ca="1">_xlfn.IFS(
CONFIG!$B$8="W1",H141-N141,
CONFIG!$B$8="W2",H141-O141,
CONFIG!$B$8="W3",H141-P141,
CONFIG!$B$8="W4",H141-Q141,
CONFIG!$B$8="W5",H141-R141
)</f>
        <v>85.19</v>
      </c>
      <c r="T141" s="652">
        <f t="shared" ca="1" si="38"/>
        <v>0.34489878542510122</v>
      </c>
    </row>
    <row r="142" spans="3:20">
      <c r="C142" s="116" t="str">
        <f>INDEX(KB!C:D,MATCH(D142,KB!D:D,0),1)</f>
        <v>Máy Lạnh</v>
      </c>
      <c r="D142" s="116" t="s">
        <v>169</v>
      </c>
      <c r="E142" s="321" t="s">
        <v>57</v>
      </c>
      <c r="F142" s="116" t="str">
        <f t="shared" si="24"/>
        <v>Máy LạnhNguyễn Thị Ngọc - 54026</v>
      </c>
      <c r="G142" s="118" cm="1">
        <f t="array" ref="G142">IFERROR(INDEX(KB!$I$38:$AJ$50,MATCH(XL_DT_TD!E142,KB!$I$38:$I$50,0),MATCH(XL_DT_TD!D142,KB!$J$37:$AJ$37,0)+1),0)</f>
        <v>168.83999999999997</v>
      </c>
      <c r="H142" s="118" cm="1">
        <f t="array" ref="H142">IFERROR(INDEX(DATA_TĐ!$B$1:$AZ$19,MATCH(XL_DT_TD!E142,DATA_TĐ!B:B,0),MATCH(XL_DT_TD!C142,DATA_TĐ!$1:$1,0)-1),0)</f>
        <v>26.05</v>
      </c>
      <c r="I142" s="118">
        <f ca="1">H142/DAY(NOW()-1)*'Hieu Qua NV'!$J$1</f>
        <v>130.25</v>
      </c>
      <c r="J142" s="118">
        <f t="shared" si="25"/>
        <v>142.78999999999996</v>
      </c>
      <c r="K142" s="118">
        <f ca="1">J142/'Hieu Qua NV'!$J$2</f>
        <v>6.2082608695652155</v>
      </c>
      <c r="L142" s="119">
        <f t="shared" ca="1" si="23"/>
        <v>0.77144041696280519</v>
      </c>
      <c r="M142" s="118">
        <f ca="1">IFERROR(
INDEX(
KB!$I$55:$AJ$68,
MATCH(E142,KB!$I$55:$I$68,0),
MATCH(D142,KB!$I$55:$AJ$55,0)
),
0)</f>
        <v>42</v>
      </c>
      <c r="S142" s="669" cm="1">
        <f t="array" aca="1" ref="S142" ca="1">_xlfn.IFS(
CONFIG!$B$8="W1",H142-N142,
CONFIG!$B$8="W2",H142-O142,
CONFIG!$B$8="W3",H142-P142,
CONFIG!$B$8="W4",H142-Q142,
CONFIG!$B$8="W5",H142-R142
)</f>
        <v>26.05</v>
      </c>
      <c r="T142" s="652">
        <f t="shared" ca="1" si="38"/>
        <v>0.62023809523809526</v>
      </c>
    </row>
    <row r="143" spans="3:20">
      <c r="C143" s="116" t="str">
        <f>INDEX(KB!C:D,MATCH(D143,KB!D:D,0),1)</f>
        <v>Máy Lạnh</v>
      </c>
      <c r="D143" s="116" t="s">
        <v>169</v>
      </c>
      <c r="E143" s="321" t="s">
        <v>60</v>
      </c>
      <c r="F143" s="116" t="str">
        <f t="shared" si="24"/>
        <v>Máy LạnhNguyễn Viết Sơn - 94065</v>
      </c>
      <c r="G143" s="118" cm="1">
        <f t="array" ref="G143">IFERROR(INDEX(KB!$I$38:$AJ$50,MATCH(XL_DT_TD!E143,KB!$I$38:$I$50,0),MATCH(XL_DT_TD!D143,KB!$J$37:$AJ$37,0)+1),0)</f>
        <v>202.60799999999998</v>
      </c>
      <c r="H143" s="118" cm="1">
        <f t="array" ref="H143">IFERROR(INDEX(DATA_TĐ!$B$1:$AZ$19,MATCH(XL_DT_TD!E143,DATA_TĐ!B:B,0),MATCH(XL_DT_TD!C143,DATA_TĐ!$1:$1,0)-1),0)</f>
        <v>18.54</v>
      </c>
      <c r="I143" s="118">
        <f ca="1">H143/DAY(NOW()-1)*'Hieu Qua NV'!$J$1</f>
        <v>92.699999999999989</v>
      </c>
      <c r="J143" s="118">
        <f t="shared" si="25"/>
        <v>184.06799999999998</v>
      </c>
      <c r="K143" s="118">
        <f ca="1">J143/'Hieu Qua NV'!$J$2</f>
        <v>8.0029565217391294</v>
      </c>
      <c r="L143" s="119">
        <f t="shared" ca="1" si="23"/>
        <v>0.45753375977256572</v>
      </c>
      <c r="M143" s="118">
        <f ca="1">IFERROR(
INDEX(
KB!$I$55:$AJ$68,
MATCH(E143,KB!$I$55:$I$68,0),
MATCH(D143,KB!$I$55:$AJ$55,0)
),
0)</f>
        <v>51</v>
      </c>
      <c r="S143" s="669" cm="1">
        <f t="array" aca="1" ref="S143" ca="1">_xlfn.IFS(
CONFIG!$B$8="W1",H143-N143,
CONFIG!$B$8="W2",H143-O143,
CONFIG!$B$8="W3",H143-P143,
CONFIG!$B$8="W4",H143-Q143,
CONFIG!$B$8="W5",H143-R143
)</f>
        <v>18.54</v>
      </c>
      <c r="T143" s="652">
        <f t="shared" ca="1" si="38"/>
        <v>0.36352941176470588</v>
      </c>
    </row>
    <row r="144" spans="3:20">
      <c r="C144" s="116" t="str">
        <f>INDEX(KB!C:D,MATCH(D144,KB!D:D,0),1)</f>
        <v>Máy Lạnh</v>
      </c>
      <c r="D144" s="116" t="s">
        <v>169</v>
      </c>
      <c r="E144" s="321" t="s">
        <v>15</v>
      </c>
      <c r="F144" s="116" t="str">
        <f t="shared" si="24"/>
        <v>Máy LạnhNguyễn Trang Nhung - 25734</v>
      </c>
      <c r="G144" s="118" cm="1">
        <f t="array" ref="G144">IFERROR(INDEX(KB!$I$38:$AJ$50,MATCH(XL_DT_TD!E144,KB!$I$38:$I$50,0),MATCH(XL_DT_TD!D144,KB!$J$37:$AJ$37,0)+1),0)</f>
        <v>202.60799999999998</v>
      </c>
      <c r="H144" s="118" cm="1">
        <f t="array" ref="H144">IFERROR(INDEX(DATA_TĐ!$B$1:$AZ$19,MATCH(XL_DT_TD!E144,DATA_TĐ!B:B,0),MATCH(XL_DT_TD!C144,DATA_TĐ!$1:$1,0)-1),0)</f>
        <v>32.479999999999997</v>
      </c>
      <c r="I144" s="118">
        <f ca="1">H144/DAY(NOW()-1)*'Hieu Qua NV'!$J$1</f>
        <v>162.4</v>
      </c>
      <c r="J144" s="118">
        <f t="shared" si="25"/>
        <v>170.12799999999999</v>
      </c>
      <c r="K144" s="118">
        <f ca="1">J144/'Hieu Qua NV'!$J$2</f>
        <v>7.3968695652173908</v>
      </c>
      <c r="L144" s="119">
        <f t="shared" ref="L144:L207" ca="1" si="42">I144/G144</f>
        <v>0.80154781647318973</v>
      </c>
      <c r="M144" s="118">
        <f ca="1">IFERROR(
INDEX(
KB!$I$55:$AJ$68,
MATCH(E144,KB!$I$55:$I$68,0),
MATCH(D144,KB!$I$55:$AJ$55,0)
),
0)</f>
        <v>51</v>
      </c>
      <c r="S144" s="669" cm="1">
        <f t="array" aca="1" ref="S144" ca="1">_xlfn.IFS(
CONFIG!$B$8="W1",H144-N144,
CONFIG!$B$8="W2",H144-O144,
CONFIG!$B$8="W3",H144-P144,
CONFIG!$B$8="W4",H144-Q144,
CONFIG!$B$8="W5",H144-R144
)</f>
        <v>32.479999999999997</v>
      </c>
      <c r="T144" s="652">
        <f t="shared" ca="1" si="38"/>
        <v>0.6368627450980392</v>
      </c>
    </row>
    <row r="145" spans="3:20">
      <c r="C145" s="116" t="str">
        <f>INDEX(KB!C:D,MATCH(D145,KB!D:D,0),1)</f>
        <v>Máy Lạnh</v>
      </c>
      <c r="D145" s="116" t="s">
        <v>169</v>
      </c>
      <c r="E145" s="321" t="s">
        <v>151</v>
      </c>
      <c r="F145" s="116" t="str">
        <f t="shared" ref="F145:F208" si="43">C145&amp;E145</f>
        <v>Máy LạnhTrần Huy Hoàn - 270828</v>
      </c>
      <c r="G145" s="118" cm="1">
        <f t="array" ref="G145">IFERROR(INDEX(KB!$I$38:$AJ$50,MATCH(XL_DT_TD!E145,KB!$I$38:$I$50,0),MATCH(XL_DT_TD!D145,KB!$J$37:$AJ$37,0)+1),0)</f>
        <v>247.63199999999998</v>
      </c>
      <c r="H145" s="118" cm="1">
        <f t="array" ref="H145">IFERROR(INDEX(DATA_TĐ!$B$1:$AZ$19,MATCH(XL_DT_TD!E145,DATA_TĐ!B:B,0),MATCH(XL_DT_TD!C145,DATA_TĐ!$1:$1,0)-1),0)</f>
        <v>16.510000000000002</v>
      </c>
      <c r="I145" s="118">
        <f ca="1">H145/DAY(NOW()-1)*'Hieu Qua NV'!$J$1</f>
        <v>82.550000000000011</v>
      </c>
      <c r="J145" s="118">
        <f t="shared" ref="J145:J208" si="44">G145-H145</f>
        <v>231.12199999999999</v>
      </c>
      <c r="K145" s="118">
        <f ca="1">J145/'Hieu Qua NV'!$J$2</f>
        <v>10.048782608695651</v>
      </c>
      <c r="L145" s="119">
        <f t="shared" ca="1" si="42"/>
        <v>0.33335756283517487</v>
      </c>
      <c r="M145" s="118">
        <f ca="1">IFERROR(
INDEX(
KB!$I$55:$AJ$68,
MATCH(E145,KB!$I$55:$I$68,0),
MATCH(D145,KB!$I$55:$AJ$55,0)
),
0)</f>
        <v>62</v>
      </c>
      <c r="S145" s="669" cm="1">
        <f t="array" aca="1" ref="S145" ca="1">_xlfn.IFS(
CONFIG!$B$8="W1",H145-N145,
CONFIG!$B$8="W2",H145-O145,
CONFIG!$B$8="W3",H145-P145,
CONFIG!$B$8="W4",H145-Q145,
CONFIG!$B$8="W5",H145-R145
)</f>
        <v>16.510000000000002</v>
      </c>
      <c r="T145" s="652">
        <f t="shared" ca="1" si="38"/>
        <v>0.26629032258064517</v>
      </c>
    </row>
    <row r="146" spans="3:20">
      <c r="C146" s="116" t="str">
        <f>INDEX(KB!C:D,MATCH(D146,KB!D:D,0),1)</f>
        <v>Máy Lạnh</v>
      </c>
      <c r="D146" s="116" t="s">
        <v>169</v>
      </c>
      <c r="E146" s="321" t="s">
        <v>293</v>
      </c>
      <c r="F146" s="116" t="str">
        <f t="shared" si="43"/>
        <v>Máy LạnhPhạm Văn Thanh - 279935</v>
      </c>
      <c r="G146" s="118" cm="1">
        <f t="array" ref="G146">IFERROR(INDEX(KB!$I$38:$AJ$50,MATCH(XL_DT_TD!E146,KB!$I$38:$I$50,0),MATCH(XL_DT_TD!D146,KB!$J$37:$AJ$37,0)+1),0)</f>
        <v>112.56</v>
      </c>
      <c r="H146" s="118" cm="1">
        <f t="array" ref="H146">IFERROR(INDEX(DATA_TĐ!$B$1:$AZ$19,MATCH(XL_DT_TD!E146,DATA_TĐ!B:B,0),MATCH(XL_DT_TD!C146,DATA_TĐ!$1:$1,0)-1),0)</f>
        <v>4.17</v>
      </c>
      <c r="I146" s="118">
        <f ca="1">H146/DAY(NOW()-1)*'Hieu Qua NV'!$J$1</f>
        <v>20.849999999999998</v>
      </c>
      <c r="J146" s="118">
        <f t="shared" si="44"/>
        <v>108.39</v>
      </c>
      <c r="K146" s="118">
        <f ca="1">J146/'Hieu Qua NV'!$J$2</f>
        <v>4.7126086956521736</v>
      </c>
      <c r="L146" s="119">
        <f t="shared" ca="1" si="42"/>
        <v>0.18523454157782512</v>
      </c>
      <c r="M146" s="118">
        <f ca="1">IFERROR(
INDEX(
KB!$I$55:$AJ$68,
MATCH(E146,KB!$I$55:$I$68,0),
MATCH(D146,KB!$I$55:$AJ$55,0)
),
0)</f>
        <v>28</v>
      </c>
      <c r="S146" s="669" cm="1">
        <f t="array" aca="1" ref="S146" ca="1">_xlfn.IFS(
CONFIG!$B$8="W1",H146-N146,
CONFIG!$B$8="W2",H146-O146,
CONFIG!$B$8="W3",H146-P146,
CONFIG!$B$8="W4",H146-Q146,
CONFIG!$B$8="W5",H146-R146
)</f>
        <v>4.17</v>
      </c>
      <c r="T146" s="652">
        <f t="shared" ca="1" si="38"/>
        <v>0.14892857142857144</v>
      </c>
    </row>
    <row r="147" spans="3:20">
      <c r="C147" s="116" t="str">
        <f>INDEX(KB!C:D,MATCH(D147,KB!D:D,0),1)</f>
        <v>Máy Lạnh</v>
      </c>
      <c r="D147" s="116" t="s">
        <v>169</v>
      </c>
      <c r="E147" s="321" t="s">
        <v>433</v>
      </c>
      <c r="F147" s="116" t="str">
        <f t="shared" si="43"/>
        <v>Máy LạnhNguyễn Thành Đạt - 280855</v>
      </c>
      <c r="G147" s="118" cm="1">
        <f t="array" ref="G147">IFERROR(INDEX(KB!$I$38:$AJ$50,MATCH(XL_DT_TD!E147,KB!$I$38:$I$50,0),MATCH(XL_DT_TD!D147,KB!$J$37:$AJ$37,0)+1),0)</f>
        <v>112.56</v>
      </c>
      <c r="H147" s="118" cm="1">
        <f t="array" ref="H147">IFERROR(INDEX(DATA_TĐ!$B$1:$AZ$19,MATCH(XL_DT_TD!E147,DATA_TĐ!B:B,0),MATCH(XL_DT_TD!C147,DATA_TĐ!$1:$1,0)-1),0)</f>
        <v>24.88</v>
      </c>
      <c r="I147" s="118">
        <f ca="1">H147/DAY(NOW()-1)*'Hieu Qua NV'!$J$1</f>
        <v>124.39999999999999</v>
      </c>
      <c r="J147" s="118">
        <f t="shared" si="44"/>
        <v>87.68</v>
      </c>
      <c r="K147" s="118">
        <f ca="1">J147/'Hieu Qua NV'!$J$2</f>
        <v>3.8121739130434786</v>
      </c>
      <c r="L147" s="119">
        <f t="shared" ca="1" si="42"/>
        <v>1.105188343994314</v>
      </c>
      <c r="M147" s="118">
        <f ca="1">IFERROR(
INDEX(
KB!$I$55:$AJ$68,
MATCH(E147,KB!$I$55:$I$68,0),
MATCH(D147,KB!$I$55:$AJ$55,0)
),
0)</f>
        <v>28</v>
      </c>
      <c r="S147" s="669" cm="1">
        <f t="array" aca="1" ref="S147" ca="1">_xlfn.IFS(
CONFIG!$B$8="W1",H147-N147,
CONFIG!$B$8="W2",H147-O147,
CONFIG!$B$8="W3",H147-P147,
CONFIG!$B$8="W4",H147-Q147,
CONFIG!$B$8="W5",H147-R147
)</f>
        <v>24.88</v>
      </c>
      <c r="T147" s="652">
        <f t="shared" ca="1" si="38"/>
        <v>0.88857142857142857</v>
      </c>
    </row>
    <row r="148" spans="3:20">
      <c r="C148" s="116" t="str">
        <f>INDEX(KB!C:D,MATCH(D148,KB!D:D,0),1)</f>
        <v>Máy Lạnh</v>
      </c>
      <c r="D148" s="116" t="s">
        <v>169</v>
      </c>
      <c r="E148" s="321" t="s">
        <v>56</v>
      </c>
      <c r="F148" s="116" t="str">
        <f t="shared" si="43"/>
        <v>Máy LạnhĐỗ Văn Duân - 62025</v>
      </c>
      <c r="G148" s="118" cm="1">
        <f t="array" ref="G148">IFERROR(INDEX(KB!$I$38:$AJ$50,MATCH(XL_DT_TD!E148,KB!$I$38:$I$50,0),MATCH(XL_DT_TD!D148,KB!$J$37:$AJ$37,0)+1),0)</f>
        <v>202.60799999999998</v>
      </c>
      <c r="H148" s="118" cm="1">
        <f t="array" ref="H148">IFERROR(INDEX(DATA_TĐ!$B$1:$AZ$19,MATCH(XL_DT_TD!E148,DATA_TĐ!B:B,0),MATCH(XL_DT_TD!C148,DATA_TĐ!$1:$1,0)-1),0)</f>
        <v>63.69</v>
      </c>
      <c r="I148" s="118">
        <f ca="1">H148/DAY(NOW()-1)*'Hieu Qua NV'!$J$1</f>
        <v>318.45</v>
      </c>
      <c r="J148" s="118">
        <f t="shared" si="44"/>
        <v>138.91799999999998</v>
      </c>
      <c r="K148" s="118">
        <f ca="1">J148/'Hieu Qua NV'!$J$2</f>
        <v>6.0399130434782595</v>
      </c>
      <c r="L148" s="119">
        <f t="shared" ca="1" si="42"/>
        <v>1.5717543236199953</v>
      </c>
      <c r="M148" s="118">
        <f ca="1">IFERROR(
INDEX(
KB!$I$55:$AJ$68,
MATCH(E148,KB!$I$55:$I$68,0),
MATCH(D148,KB!$I$55:$AJ$55,0)
),
0)</f>
        <v>51</v>
      </c>
      <c r="S148" s="669" cm="1">
        <f t="array" aca="1" ref="S148" ca="1">_xlfn.IFS(
CONFIG!$B$8="W1",H148-N148,
CONFIG!$B$8="W2",H148-O148,
CONFIG!$B$8="W3",H148-P148,
CONFIG!$B$8="W4",H148-Q148,
CONFIG!$B$8="W5",H148-R148
)</f>
        <v>63.69</v>
      </c>
      <c r="T148" s="652">
        <f t="shared" ca="1" si="38"/>
        <v>1.2488235294117647</v>
      </c>
    </row>
    <row r="149" spans="3:20">
      <c r="C149" s="116" t="str">
        <f>INDEX(KB!C:D,MATCH(D149,KB!D:D,0),1)</f>
        <v>Máy Lạnh</v>
      </c>
      <c r="D149" s="116" t="s">
        <v>169</v>
      </c>
      <c r="E149" s="321" t="s">
        <v>530</v>
      </c>
      <c r="F149" s="116" t="str">
        <f t="shared" si="43"/>
        <v>Máy LạnhNhân viên Mới 1</v>
      </c>
      <c r="G149" s="118" cm="1">
        <f t="array" ref="G149">IFERROR(INDEX(KB!$I$38:$AJ$50,MATCH(XL_DT_TD!E149,KB!$I$38:$I$50,0),MATCH(XL_DT_TD!D149,KB!$J$37:$AJ$37,0)+1),0)</f>
        <v>0</v>
      </c>
      <c r="H149" s="118" cm="1">
        <f t="array" ref="H149">IFERROR(INDEX(DATA_TĐ!$B$1:$AZ$19,MATCH(XL_DT_TD!E149,DATA_TĐ!B:B,0),MATCH(XL_DT_TD!C149,DATA_TĐ!$1:$1,0)-1),0)</f>
        <v>0</v>
      </c>
      <c r="I149" s="118">
        <f ca="1">H149/DAY(NOW()-1)*'Hieu Qua NV'!$J$1</f>
        <v>0</v>
      </c>
      <c r="J149" s="118">
        <f t="shared" si="44"/>
        <v>0</v>
      </c>
      <c r="K149" s="118">
        <f ca="1">J149/'Hieu Qua NV'!$J$2</f>
        <v>0</v>
      </c>
      <c r="L149" s="119" t="e">
        <f t="shared" ca="1" si="42"/>
        <v>#DIV/0!</v>
      </c>
      <c r="M149" s="118">
        <f ca="1">IFERROR(
INDEX(
KB!$I$55:$AJ$68,
MATCH(E149,KB!$I$55:$I$68,0),
MATCH(D149,KB!$I$55:$AJ$55,0)
),
0)</f>
        <v>0</v>
      </c>
      <c r="S149" s="669" cm="1">
        <f t="array" aca="1" ref="S149" ca="1">_xlfn.IFS(
CONFIG!$B$8="W1",H149-N149,
CONFIG!$B$8="W2",H149-O149,
CONFIG!$B$8="W3",H149-P149,
CONFIG!$B$8="W4",H149-Q149,
CONFIG!$B$8="W5",H149-R149
)</f>
        <v>0</v>
      </c>
      <c r="T149" s="652">
        <f t="shared" ca="1" si="38"/>
        <v>0</v>
      </c>
    </row>
    <row r="150" spans="3:20">
      <c r="C150" s="116" t="str">
        <f>INDEX(KB!C:D,MATCH(D150,KB!D:D,0),1)</f>
        <v>Máy Lạnh</v>
      </c>
      <c r="D150" s="116" t="s">
        <v>169</v>
      </c>
      <c r="E150" s="321" t="s">
        <v>560</v>
      </c>
      <c r="F150" s="116" t="str">
        <f t="shared" si="43"/>
        <v>Máy LạnhNhân viên Mới 2</v>
      </c>
      <c r="G150" s="118" cm="1">
        <f t="array" ref="G150">IFERROR(INDEX(KB!$I$38:$AJ$50,MATCH(XL_DT_TD!E150,KB!$I$38:$I$50,0),MATCH(XL_DT_TD!D150,KB!$J$37:$AJ$37,0)+1),0)</f>
        <v>0</v>
      </c>
      <c r="H150" s="118" cm="1">
        <f t="array" ref="H150">IFERROR(INDEX(DATA_TĐ!$B$1:$AZ$19,MATCH(XL_DT_TD!E150,DATA_TĐ!B:B,0),MATCH(XL_DT_TD!C150,DATA_TĐ!$1:$1,0)-1),0)</f>
        <v>0</v>
      </c>
      <c r="I150" s="118">
        <f ca="1">H150/DAY(NOW()-1)*'Hieu Qua NV'!$J$1</f>
        <v>0</v>
      </c>
      <c r="J150" s="118">
        <f t="shared" si="44"/>
        <v>0</v>
      </c>
      <c r="K150" s="118">
        <f ca="1">J150/'Hieu Qua NV'!$J$2</f>
        <v>0</v>
      </c>
      <c r="L150" s="119" t="e">
        <f t="shared" ca="1" si="42"/>
        <v>#DIV/0!</v>
      </c>
      <c r="M150" s="118">
        <f ca="1">IFERROR(
INDEX(
KB!$I$55:$AJ$68,
MATCH(E150,KB!$I$55:$I$68,0),
MATCH(D150,KB!$I$55:$AJ$55,0)
),
0)</f>
        <v>0</v>
      </c>
      <c r="S150" s="669" cm="1">
        <f t="array" aca="1" ref="S150" ca="1">_xlfn.IFS(
CONFIG!$B$8="W1",H150-N150,
CONFIG!$B$8="W2",H150-O150,
CONFIG!$B$8="W3",H150-P150,
CONFIG!$B$8="W4",H150-Q150,
CONFIG!$B$8="W5",H150-R150
)</f>
        <v>0</v>
      </c>
      <c r="T150" s="652">
        <f t="shared" ca="1" si="38"/>
        <v>0</v>
      </c>
    </row>
    <row r="151" spans="3:20">
      <c r="C151" s="116" t="str">
        <f>INDEX(KB!C:D,MATCH(D151,KB!D:D,0),1)</f>
        <v>Máy Lạnh</v>
      </c>
      <c r="D151" s="116" t="s">
        <v>169</v>
      </c>
      <c r="E151" s="117" t="s">
        <v>281</v>
      </c>
      <c r="F151" s="116" t="str">
        <f t="shared" si="43"/>
        <v>Máy LạnhTrần Thị Nhung - 11082</v>
      </c>
      <c r="G151" s="118" cm="1">
        <f t="array" ref="G151">IFERROR(INDEX(KB!$I$38:$AJ$50,MATCH(XL_DT_TD!E151,KB!$I$38:$I$50,0),MATCH(XL_DT_TD!D151,KB!$J$37:$AJ$37,0)+1),0)</f>
        <v>0</v>
      </c>
      <c r="H151" s="118" cm="1">
        <f t="array" ref="H151">IFERROR(
  INDEX(DATA_TĐ!$B$36:$Z$47,
    MATCH(TRUE, INDEX(TRIM(DATA_TĐ!$B$36:$B$45)=TRIM(E151),0),0),
    MATCH(TRUE, INDEX(TRIM(DATA_TĐ!$B$36:$Z$36)=TRIM(C151),0),0)
  ),
0)</f>
        <v>0</v>
      </c>
      <c r="I151" s="118">
        <f ca="1">H151/DAY(NOW()-1)*'Hieu Qua NV'!$J$1</f>
        <v>0</v>
      </c>
      <c r="J151" s="118">
        <f t="shared" si="44"/>
        <v>0</v>
      </c>
      <c r="K151" s="118">
        <f ca="1">J151/'Hieu Qua NV'!$J$2</f>
        <v>0</v>
      </c>
      <c r="L151" s="119" t="e">
        <f t="shared" ca="1" si="42"/>
        <v>#DIV/0!</v>
      </c>
      <c r="M151" s="118">
        <f ca="1">IFERROR(
INDEX(
KB!$I$55:$AJ$68,
MATCH(E151,KB!$I$55:$I$68,0),
MATCH(D151,KB!$I$55:$AJ$55,0)
),
0)</f>
        <v>0</v>
      </c>
      <c r="S151" s="669" cm="1">
        <f t="array" aca="1" ref="S151" ca="1">_xlfn.IFS(
CONFIG!$B$8="W1",H151-N151,
CONFIG!$B$8="W2",H151-O151,
CONFIG!$B$8="W3",H151-P151,
CONFIG!$B$8="W4",H151-Q151,
CONFIG!$B$8="W5",H151-R151
)</f>
        <v>0</v>
      </c>
      <c r="T151" s="652">
        <f t="shared" ca="1" si="38"/>
        <v>0</v>
      </c>
    </row>
    <row r="152" spans="3:20">
      <c r="C152" s="116" t="str">
        <f>INDEX(KB!C:D,MATCH(D152,KB!D:D,0),1)</f>
        <v>Máy Lạnh</v>
      </c>
      <c r="D152" s="116" t="s">
        <v>169</v>
      </c>
      <c r="E152" s="117" t="s">
        <v>282</v>
      </c>
      <c r="F152" s="116" t="str">
        <f t="shared" si="43"/>
        <v>Máy LạnhNguyễn Thị Phương Oanh - 164808</v>
      </c>
      <c r="G152" s="118" cm="1">
        <f t="array" ref="G152">IFERROR(INDEX(KB!$I$38:$AJ$50,MATCH(XL_DT_TD!E152,KB!$I$38:$I$50,0),MATCH(XL_DT_TD!D152,KB!$J$37:$AJ$37,0)+1),0)</f>
        <v>0</v>
      </c>
      <c r="H152" s="118" cm="1">
        <f t="array" ref="H152">IFERROR(
  INDEX(DATA_TĐ!$B$36:$Z$47,
    MATCH(TRUE, INDEX(TRIM(DATA_TĐ!$B$36:$B$45)=TRIM(E152),0),0),
    MATCH(TRUE, INDEX(TRIM(DATA_TĐ!$B$36:$Z$36)=TRIM(C152),0),0)
  ),
0)</f>
        <v>0</v>
      </c>
      <c r="I152" s="118">
        <f ca="1">H152/DAY(NOW()-1)*'Hieu Qua NV'!$J$1</f>
        <v>0</v>
      </c>
      <c r="J152" s="118">
        <f t="shared" si="44"/>
        <v>0</v>
      </c>
      <c r="K152" s="118">
        <f ca="1">J152/'Hieu Qua NV'!$J$2</f>
        <v>0</v>
      </c>
      <c r="L152" s="119" t="e">
        <f t="shared" ca="1" si="42"/>
        <v>#DIV/0!</v>
      </c>
      <c r="M152" s="118">
        <f ca="1">IFERROR(
INDEX(
KB!$I$55:$AJ$68,
MATCH(E152,KB!$I$55:$I$68,0),
MATCH(D152,KB!$I$55:$AJ$55,0)
),
0)</f>
        <v>0</v>
      </c>
      <c r="S152" s="669" cm="1">
        <f t="array" aca="1" ref="S152" ca="1">_xlfn.IFS(
CONFIG!$B$8="W1",H152-N152,
CONFIG!$B$8="W2",H152-O152,
CONFIG!$B$8="W3",H152-P152,
CONFIG!$B$8="W4",H152-Q152,
CONFIG!$B$8="W5",H152-R152
)</f>
        <v>0</v>
      </c>
      <c r="T152" s="652">
        <f t="shared" ca="1" si="38"/>
        <v>0</v>
      </c>
    </row>
    <row r="153" spans="3:20">
      <c r="C153" s="116" t="str">
        <f>INDEX(KB!C:D,MATCH(D153,KB!D:D,0),1)</f>
        <v>Máy Lạnh</v>
      </c>
      <c r="D153" s="116" t="s">
        <v>169</v>
      </c>
      <c r="E153" s="117" t="s">
        <v>283</v>
      </c>
      <c r="F153" s="116" t="str">
        <f t="shared" si="43"/>
        <v>Máy LạnhNguyễn Anh Tài - 269055</v>
      </c>
      <c r="G153" s="118" cm="1">
        <f t="array" ref="G153">IFERROR(INDEX(KB!$I$38:$AJ$50,MATCH(XL_DT_TD!E153,KB!$I$38:$I$50,0),MATCH(XL_DT_TD!D153,KB!$J$37:$AJ$37,0)+1),0)</f>
        <v>0</v>
      </c>
      <c r="H153" s="118" cm="1">
        <f t="array" ref="H153">IFERROR(
  INDEX(DATA_TĐ!$B$36:$Z$47,
    MATCH(TRUE, INDEX(TRIM(DATA_TĐ!$B$36:$B$45)=TRIM(E153),0),0),
    MATCH(TRUE, INDEX(TRIM(DATA_TĐ!$B$36:$Z$36)=TRIM(C153),0),0)
  ),
0)</f>
        <v>0</v>
      </c>
      <c r="I153" s="118">
        <f ca="1">H153/DAY(NOW()-1)*'Hieu Qua NV'!$J$1</f>
        <v>0</v>
      </c>
      <c r="J153" s="118">
        <f t="shared" si="44"/>
        <v>0</v>
      </c>
      <c r="K153" s="118">
        <f ca="1">J153/'Hieu Qua NV'!$J$2</f>
        <v>0</v>
      </c>
      <c r="L153" s="119" t="e">
        <f t="shared" ca="1" si="42"/>
        <v>#DIV/0!</v>
      </c>
      <c r="M153" s="118">
        <f ca="1">IFERROR(
INDEX(
KB!$I$55:$AJ$68,
MATCH(E153,KB!$I$55:$I$68,0),
MATCH(D153,KB!$I$55:$AJ$55,0)
),
0)</f>
        <v>0</v>
      </c>
      <c r="S153" s="669" cm="1">
        <f t="array" aca="1" ref="S153" ca="1">_xlfn.IFS(
CONFIG!$B$8="W1",H153-N153,
CONFIG!$B$8="W2",H153-O153,
CONFIG!$B$8="W3",H153-P153,
CONFIG!$B$8="W4",H153-Q153,
CONFIG!$B$8="W5",H153-R153
)</f>
        <v>0</v>
      </c>
      <c r="T153" s="652">
        <f t="shared" ca="1" si="38"/>
        <v>0</v>
      </c>
    </row>
    <row r="154" spans="3:20">
      <c r="C154" s="116" t="str">
        <f>INDEX(KB!C:D,MATCH(D154,KB!D:D,0),1)</f>
        <v>Máy Lạnh</v>
      </c>
      <c r="D154" s="116" t="s">
        <v>169</v>
      </c>
      <c r="E154" s="117" t="s">
        <v>284</v>
      </c>
      <c r="F154" s="116" t="str">
        <f t="shared" si="43"/>
        <v>Máy LạnhLê Văn Hợp - 279884</v>
      </c>
      <c r="G154" s="118" cm="1">
        <f t="array" ref="G154">IFERROR(INDEX(KB!$I$38:$AJ$50,MATCH(XL_DT_TD!E154,KB!$I$38:$I$50,0),MATCH(XL_DT_TD!D154,KB!$J$37:$AJ$37,0)+1),0)</f>
        <v>0</v>
      </c>
      <c r="H154" s="118" cm="1">
        <f t="array" ref="H154">IFERROR(
  INDEX(DATA_TĐ!$B$36:$Z$47,
    MATCH(TRUE, INDEX(TRIM(DATA_TĐ!$B$36:$B$45)=TRIM(E154),0),0),
    MATCH(TRUE, INDEX(TRIM(DATA_TĐ!$B$36:$Z$36)=TRIM(C154),0),0)
  ),
0)</f>
        <v>0</v>
      </c>
      <c r="I154" s="118">
        <f ca="1">H154/DAY(NOW()-1)*'Hieu Qua NV'!$J$1</f>
        <v>0</v>
      </c>
      <c r="J154" s="118">
        <f t="shared" si="44"/>
        <v>0</v>
      </c>
      <c r="K154" s="118">
        <f ca="1">J154/'Hieu Qua NV'!$J$2</f>
        <v>0</v>
      </c>
      <c r="L154" s="119" t="e">
        <f t="shared" ca="1" si="42"/>
        <v>#DIV/0!</v>
      </c>
      <c r="M154" s="118">
        <f ca="1">IFERROR(
INDEX(
KB!$I$55:$AJ$68,
MATCH(E154,KB!$I$55:$I$68,0),
MATCH(D154,KB!$I$55:$AJ$55,0)
),
0)</f>
        <v>0</v>
      </c>
      <c r="S154" s="669" cm="1">
        <f t="array" aca="1" ref="S154" ca="1">_xlfn.IFS(
CONFIG!$B$8="W1",H154-N154,
CONFIG!$B$8="W2",H154-O154,
CONFIG!$B$8="W3",H154-P154,
CONFIG!$B$8="W4",H154-Q154,
CONFIG!$B$8="W5",H154-R154
)</f>
        <v>0</v>
      </c>
      <c r="T154" s="652">
        <f t="shared" ca="1" si="38"/>
        <v>0</v>
      </c>
    </row>
    <row r="155" spans="3:20">
      <c r="C155" s="120" t="str">
        <f>INDEX(KB!C:D,MATCH(D155,KB!D:D,0),1)</f>
        <v>Máy Lạnh</v>
      </c>
      <c r="D155" s="120" t="s">
        <v>169</v>
      </c>
      <c r="E155" s="120" t="s">
        <v>20</v>
      </c>
      <c r="F155" s="121" t="str">
        <f t="shared" si="43"/>
        <v>Máy LạnhTổng</v>
      </c>
      <c r="G155" s="122">
        <f t="shared" ref="G155" si="45">SUM(G142:G153)</f>
        <v>1249.4159999999997</v>
      </c>
      <c r="H155" s="122">
        <f t="shared" ref="H155:I155" si="46">SUM(H142:H153)</f>
        <v>186.32</v>
      </c>
      <c r="I155" s="122">
        <f t="shared" ca="1" si="46"/>
        <v>931.60000000000014</v>
      </c>
      <c r="J155" s="122">
        <f t="shared" si="44"/>
        <v>1063.0959999999998</v>
      </c>
      <c r="K155" s="122">
        <f ca="1">J155/'Hieu Qua NV'!$J$2</f>
        <v>46.221565217391294</v>
      </c>
      <c r="L155" s="119">
        <f t="shared" ca="1" si="42"/>
        <v>0.74562835756865631</v>
      </c>
      <c r="M155" s="122">
        <f t="shared" ref="M155" ca="1" si="47">SUM(M142:M153)</f>
        <v>313</v>
      </c>
      <c r="S155" s="669" cm="1">
        <f t="array" aca="1" ref="S155" ca="1">_xlfn.IFS(
CONFIG!$B$8="W1",H155-N155,
CONFIG!$B$8="W2",H155-O155,
CONFIG!$B$8="W3",H155-P155,
CONFIG!$B$8="W4",H155-Q155,
CONFIG!$B$8="W5",H155-R155
)</f>
        <v>186.32</v>
      </c>
      <c r="T155" s="652">
        <f t="shared" ca="1" si="38"/>
        <v>0.59527156549520766</v>
      </c>
    </row>
    <row r="156" spans="3:20">
      <c r="C156" s="116" t="str">
        <f>INDEX(KB!C:D,MATCH(D156,KB!D:D,0),1)</f>
        <v>Gia dụng</v>
      </c>
      <c r="D156" s="116" t="s">
        <v>147</v>
      </c>
      <c r="E156" s="321" t="s">
        <v>57</v>
      </c>
      <c r="F156" s="116" t="str">
        <f t="shared" si="43"/>
        <v>Gia dụngNguyễn Thị Ngọc - 54026</v>
      </c>
      <c r="G156" s="118" cm="1">
        <f t="array" ref="G156">IFERROR(INDEX(KB!$I$38:$AJ$50,MATCH(XL_DT_TD!E156,KB!$I$38:$I$50,0),MATCH(XL_DT_TD!D156,KB!$J$37:$AJ$37,0)+1),0)</f>
        <v>202.04999999999998</v>
      </c>
      <c r="H156" s="118" cm="1">
        <f t="array" ref="H156">IFERROR(INDEX(DATA_TĐ!$B$1:$AZ$19,MATCH(XL_DT_TD!E156,DATA_TĐ!B:B,0),MATCH(XL_DT_TD!C156,DATA_TĐ!$1:$1,0)-1),0)</f>
        <v>17.59</v>
      </c>
      <c r="I156" s="118">
        <f ca="1">H156/DAY(NOW()-1)*'Hieu Qua NV'!$J$1</f>
        <v>87.95</v>
      </c>
      <c r="J156" s="118">
        <f t="shared" si="44"/>
        <v>184.45999999999998</v>
      </c>
      <c r="K156" s="118">
        <f ca="1">J156/'Hieu Qua NV'!$J$2</f>
        <v>8.02</v>
      </c>
      <c r="L156" s="119">
        <f t="shared" ca="1" si="42"/>
        <v>0.43528829497649102</v>
      </c>
      <c r="M156" s="118">
        <f ca="1">IFERROR(
INDEX(
KB!$I$55:$AJ$68,
MATCH(E156,KB!$I$55:$I$68,0),
MATCH(D156,KB!$I$55:$AJ$55,0)
),
0)</f>
        <v>51</v>
      </c>
      <c r="S156" s="669" cm="1">
        <f t="array" aca="1" ref="S156" ca="1">_xlfn.IFS(
CONFIG!$B$8="W1",H156-N156,
CONFIG!$B$8="W2",H156-O156,
CONFIG!$B$8="W3",H156-P156,
CONFIG!$B$8="W4",H156-Q156,
CONFIG!$B$8="W5",H156-R156
)</f>
        <v>17.59</v>
      </c>
      <c r="T156" s="652">
        <f t="shared" ca="1" si="38"/>
        <v>0.34490196078431373</v>
      </c>
    </row>
    <row r="157" spans="3:20">
      <c r="C157" s="116" t="str">
        <f>INDEX(KB!C:D,MATCH(D157,KB!D:D,0),1)</f>
        <v>Gia dụng</v>
      </c>
      <c r="D157" s="116" t="s">
        <v>147</v>
      </c>
      <c r="E157" s="321" t="s">
        <v>60</v>
      </c>
      <c r="F157" s="116" t="str">
        <f t="shared" si="43"/>
        <v>Gia dụngNguyễn Viết Sơn - 94065</v>
      </c>
      <c r="G157" s="118" cm="1">
        <f t="array" ref="G157">IFERROR(INDEX(KB!$I$38:$AJ$50,MATCH(XL_DT_TD!E157,KB!$I$38:$I$50,0),MATCH(XL_DT_TD!D157,KB!$J$37:$AJ$37,0)+1),0)</f>
        <v>202.04999999999998</v>
      </c>
      <c r="H157" s="118" cm="1">
        <f t="array" ref="H157">IFERROR(INDEX(DATA_TĐ!$B$1:$AZ$19,MATCH(XL_DT_TD!E157,DATA_TĐ!B:B,0),MATCH(XL_DT_TD!C157,DATA_TĐ!$1:$1,0)-1),0)</f>
        <v>31.99</v>
      </c>
      <c r="I157" s="118">
        <f ca="1">H157/DAY(NOW()-1)*'Hieu Qua NV'!$J$1</f>
        <v>159.94999999999999</v>
      </c>
      <c r="J157" s="118">
        <f t="shared" si="44"/>
        <v>170.05999999999997</v>
      </c>
      <c r="K157" s="118">
        <f ca="1">J157/'Hieu Qua NV'!$J$2</f>
        <v>7.3939130434782596</v>
      </c>
      <c r="L157" s="119">
        <f t="shared" ca="1" si="42"/>
        <v>0.79163573372927498</v>
      </c>
      <c r="M157" s="118">
        <f ca="1">IFERROR(
INDEX(
KB!$I$55:$AJ$68,
MATCH(E157,KB!$I$55:$I$68,0),
MATCH(D157,KB!$I$55:$AJ$55,0)
),
0)</f>
        <v>51</v>
      </c>
      <c r="S157" s="669" cm="1">
        <f t="array" aca="1" ref="S157" ca="1">_xlfn.IFS(
CONFIG!$B$8="W1",H157-N157,
CONFIG!$B$8="W2",H157-O157,
CONFIG!$B$8="W3",H157-P157,
CONFIG!$B$8="W4",H157-Q157,
CONFIG!$B$8="W5",H157-R157
)</f>
        <v>31.99</v>
      </c>
      <c r="T157" s="652">
        <f t="shared" ca="1" si="38"/>
        <v>0.62725490196078426</v>
      </c>
    </row>
    <row r="158" spans="3:20">
      <c r="C158" s="116" t="str">
        <f>INDEX(KB!C:D,MATCH(D158,KB!D:D,0),1)</f>
        <v>Gia dụng</v>
      </c>
      <c r="D158" s="116" t="s">
        <v>147</v>
      </c>
      <c r="E158" s="321" t="s">
        <v>15</v>
      </c>
      <c r="F158" s="116" t="str">
        <f t="shared" si="43"/>
        <v>Gia dụngNguyễn Trang Nhung - 25734</v>
      </c>
      <c r="G158" s="118" cm="1">
        <f t="array" ref="G158">IFERROR(INDEX(KB!$I$38:$AJ$50,MATCH(XL_DT_TD!E158,KB!$I$38:$I$50,0),MATCH(XL_DT_TD!D158,KB!$J$37:$AJ$37,0)+1),0)</f>
        <v>168.375</v>
      </c>
      <c r="H158" s="118" cm="1">
        <f t="array" ref="H158">IFERROR(INDEX(DATA_TĐ!$B$1:$AZ$19,MATCH(XL_DT_TD!E158,DATA_TĐ!B:B,0),MATCH(XL_DT_TD!C158,DATA_TĐ!$1:$1,0)-1),0)</f>
        <v>16.61</v>
      </c>
      <c r="I158" s="118">
        <f ca="1">H158/DAY(NOW()-1)*'Hieu Qua NV'!$J$1</f>
        <v>83.05</v>
      </c>
      <c r="J158" s="118">
        <f t="shared" si="44"/>
        <v>151.76499999999999</v>
      </c>
      <c r="K158" s="118">
        <f ca="1">J158/'Hieu Qua NV'!$J$2</f>
        <v>6.5984782608695642</v>
      </c>
      <c r="L158" s="119">
        <f t="shared" ca="1" si="42"/>
        <v>0.49324424647364512</v>
      </c>
      <c r="M158" s="118">
        <f ca="1">IFERROR(
INDEX(
KB!$I$55:$AJ$68,
MATCH(E158,KB!$I$55:$I$68,0),
MATCH(D158,KB!$I$55:$AJ$55,0)
),
0)</f>
        <v>42</v>
      </c>
      <c r="S158" s="669" cm="1">
        <f t="array" aca="1" ref="S158" ca="1">_xlfn.IFS(
CONFIG!$B$8="W1",H158-N158,
CONFIG!$B$8="W2",H158-O158,
CONFIG!$B$8="W3",H158-P158,
CONFIG!$B$8="W4",H158-Q158,
CONFIG!$B$8="W5",H158-R158
)</f>
        <v>16.61</v>
      </c>
      <c r="T158" s="652">
        <f t="shared" ca="1" si="38"/>
        <v>0.39547619047619048</v>
      </c>
    </row>
    <row r="159" spans="3:20">
      <c r="C159" s="116" t="str">
        <f>INDEX(KB!C:D,MATCH(D159,KB!D:D,0),1)</f>
        <v>Gia dụng</v>
      </c>
      <c r="D159" s="116" t="s">
        <v>147</v>
      </c>
      <c r="E159" s="321" t="s">
        <v>151</v>
      </c>
      <c r="F159" s="116" t="str">
        <f t="shared" si="43"/>
        <v>Gia dụngTrần Huy Hoàn - 270828</v>
      </c>
      <c r="G159" s="118" cm="1">
        <f t="array" ref="G159">IFERROR(INDEX(KB!$I$38:$AJ$50,MATCH(XL_DT_TD!E159,KB!$I$38:$I$50,0),MATCH(XL_DT_TD!D159,KB!$J$37:$AJ$37,0)+1),0)</f>
        <v>202.04999999999998</v>
      </c>
      <c r="H159" s="118" cm="1">
        <f t="array" ref="H159">IFERROR(INDEX(DATA_TĐ!$B$1:$AZ$19,MATCH(XL_DT_TD!E159,DATA_TĐ!B:B,0),MATCH(XL_DT_TD!C159,DATA_TĐ!$1:$1,0)-1),0)</f>
        <v>11.65</v>
      </c>
      <c r="I159" s="118">
        <f ca="1">H159/DAY(NOW()-1)*'Hieu Qua NV'!$J$1</f>
        <v>58.25</v>
      </c>
      <c r="J159" s="118">
        <f t="shared" si="44"/>
        <v>190.39999999999998</v>
      </c>
      <c r="K159" s="118">
        <f ca="1">J159/'Hieu Qua NV'!$J$2</f>
        <v>8.2782608695652158</v>
      </c>
      <c r="L159" s="119">
        <f t="shared" ca="1" si="42"/>
        <v>0.28829497649096758</v>
      </c>
      <c r="M159" s="118">
        <f ca="1">IFERROR(
INDEX(
KB!$I$55:$AJ$68,
MATCH(E159,KB!$I$55:$I$68,0),
MATCH(D159,KB!$I$55:$AJ$55,0)
),
0)</f>
        <v>51</v>
      </c>
      <c r="S159" s="669" cm="1">
        <f t="array" aca="1" ref="S159" ca="1">_xlfn.IFS(
CONFIG!$B$8="W1",H159-N159,
CONFIG!$B$8="W2",H159-O159,
CONFIG!$B$8="W3",H159-P159,
CONFIG!$B$8="W4",H159-Q159,
CONFIG!$B$8="W5",H159-R159
)</f>
        <v>11.65</v>
      </c>
      <c r="T159" s="652">
        <f t="shared" ca="1" si="38"/>
        <v>0.2284313725490196</v>
      </c>
    </row>
    <row r="160" spans="3:20">
      <c r="C160" s="116" t="str">
        <f>INDEX(KB!C:D,MATCH(D160,KB!D:D,0),1)</f>
        <v>Gia dụng</v>
      </c>
      <c r="D160" s="116" t="s">
        <v>147</v>
      </c>
      <c r="E160" s="321" t="s">
        <v>293</v>
      </c>
      <c r="F160" s="116" t="str">
        <f t="shared" si="43"/>
        <v>Gia dụngPhạm Văn Thanh - 279935</v>
      </c>
      <c r="G160" s="118" cm="1">
        <f t="array" ref="G160">IFERROR(INDEX(KB!$I$38:$AJ$50,MATCH(XL_DT_TD!E160,KB!$I$38:$I$50,0),MATCH(XL_DT_TD!D160,KB!$J$37:$AJ$37,0)+1),0)</f>
        <v>112.25</v>
      </c>
      <c r="H160" s="118" cm="1">
        <f t="array" ref="H160">IFERROR(INDEX(DATA_TĐ!$B$1:$AZ$19,MATCH(XL_DT_TD!E160,DATA_TĐ!B:B,0),MATCH(XL_DT_TD!C160,DATA_TĐ!$1:$1,0)-1),0)</f>
        <v>8.69</v>
      </c>
      <c r="I160" s="118">
        <f ca="1">H160/DAY(NOW()-1)*'Hieu Qua NV'!$J$1</f>
        <v>43.449999999999996</v>
      </c>
      <c r="J160" s="118">
        <f t="shared" si="44"/>
        <v>103.56</v>
      </c>
      <c r="K160" s="118">
        <f ca="1">J160/'Hieu Qua NV'!$J$2</f>
        <v>4.5026086956521736</v>
      </c>
      <c r="L160" s="119">
        <f t="shared" ca="1" si="42"/>
        <v>0.38708240534521154</v>
      </c>
      <c r="M160" s="118">
        <f ca="1">IFERROR(
INDEX(
KB!$I$55:$AJ$68,
MATCH(E160,KB!$I$55:$I$68,0),
MATCH(D160,KB!$I$55:$AJ$55,0)
),
0)</f>
        <v>28</v>
      </c>
      <c r="S160" s="669" cm="1">
        <f t="array" aca="1" ref="S160" ca="1">_xlfn.IFS(
CONFIG!$B$8="W1",H160-N160,
CONFIG!$B$8="W2",H160-O160,
CONFIG!$B$8="W3",H160-P160,
CONFIG!$B$8="W4",H160-Q160,
CONFIG!$B$8="W5",H160-R160
)</f>
        <v>8.69</v>
      </c>
      <c r="T160" s="652">
        <f t="shared" ca="1" si="38"/>
        <v>0.31035714285714283</v>
      </c>
    </row>
    <row r="161" spans="3:20">
      <c r="C161" s="116" t="str">
        <f>INDEX(KB!C:D,MATCH(D161,KB!D:D,0),1)</f>
        <v>Gia dụng</v>
      </c>
      <c r="D161" s="116" t="s">
        <v>147</v>
      </c>
      <c r="E161" s="321" t="s">
        <v>433</v>
      </c>
      <c r="F161" s="116" t="str">
        <f t="shared" si="43"/>
        <v>Gia dụngNguyễn Thành Đạt - 280855</v>
      </c>
      <c r="G161" s="118" cm="1">
        <f t="array" ref="G161">IFERROR(INDEX(KB!$I$38:$AJ$50,MATCH(XL_DT_TD!E161,KB!$I$38:$I$50,0),MATCH(XL_DT_TD!D161,KB!$J$37:$AJ$37,0)+1),0)</f>
        <v>112.25</v>
      </c>
      <c r="H161" s="118" cm="1">
        <f t="array" ref="H161">IFERROR(INDEX(DATA_TĐ!$B$1:$AZ$19,MATCH(XL_DT_TD!E161,DATA_TĐ!B:B,0),MATCH(XL_DT_TD!C161,DATA_TĐ!$1:$1,0)-1),0)</f>
        <v>4.1900000000000004</v>
      </c>
      <c r="I161" s="118">
        <f ca="1">H161/DAY(NOW()-1)*'Hieu Qua NV'!$J$1</f>
        <v>20.95</v>
      </c>
      <c r="J161" s="118">
        <f t="shared" si="44"/>
        <v>108.06</v>
      </c>
      <c r="K161" s="118">
        <f ca="1">J161/'Hieu Qua NV'!$J$2</f>
        <v>4.6982608695652175</v>
      </c>
      <c r="L161" s="119">
        <f t="shared" ca="1" si="42"/>
        <v>0.1866369710467706</v>
      </c>
      <c r="M161" s="118">
        <f ca="1">IFERROR(
INDEX(
KB!$I$55:$AJ$68,
MATCH(E161,KB!$I$55:$I$68,0),
MATCH(D161,KB!$I$55:$AJ$55,0)
),
0)</f>
        <v>28</v>
      </c>
      <c r="S161" s="669" cm="1">
        <f t="array" aca="1" ref="S161" ca="1">_xlfn.IFS(
CONFIG!$B$8="W1",H161-N161,
CONFIG!$B$8="W2",H161-O161,
CONFIG!$B$8="W3",H161-P161,
CONFIG!$B$8="W4",H161-Q161,
CONFIG!$B$8="W5",H161-R161
)</f>
        <v>4.1900000000000004</v>
      </c>
      <c r="T161" s="652">
        <f t="shared" ca="1" si="38"/>
        <v>0.14964285714285716</v>
      </c>
    </row>
    <row r="162" spans="3:20">
      <c r="C162" s="116" t="str">
        <f>INDEX(KB!C:D,MATCH(D162,KB!D:D,0),1)</f>
        <v>Gia dụng</v>
      </c>
      <c r="D162" s="116" t="s">
        <v>147</v>
      </c>
      <c r="E162" s="321" t="s">
        <v>56</v>
      </c>
      <c r="F162" s="116" t="str">
        <f t="shared" si="43"/>
        <v>Gia dụngĐỗ Văn Duân - 62025</v>
      </c>
      <c r="G162" s="118" cm="1">
        <f t="array" ref="G162">IFERROR(INDEX(KB!$I$38:$AJ$50,MATCH(XL_DT_TD!E162,KB!$I$38:$I$50,0),MATCH(XL_DT_TD!D162,KB!$J$37:$AJ$37,0)+1),0)</f>
        <v>246.95</v>
      </c>
      <c r="H162" s="118" cm="1">
        <f t="array" ref="H162">IFERROR(INDEX(DATA_TĐ!$B$1:$AZ$19,MATCH(XL_DT_TD!E162,DATA_TĐ!B:B,0),MATCH(XL_DT_TD!C162,DATA_TĐ!$1:$1,0)-1),0)</f>
        <v>47.33</v>
      </c>
      <c r="I162" s="118">
        <f ca="1">H162/DAY(NOW()-1)*'Hieu Qua NV'!$J$1</f>
        <v>236.64999999999998</v>
      </c>
      <c r="J162" s="118">
        <f t="shared" si="44"/>
        <v>199.62</v>
      </c>
      <c r="K162" s="118">
        <f ca="1">J162/'Hieu Qua NV'!$J$2</f>
        <v>8.6791304347826088</v>
      </c>
      <c r="L162" s="119">
        <f t="shared" ca="1" si="42"/>
        <v>0.95829115205507187</v>
      </c>
      <c r="M162" s="118">
        <f ca="1">IFERROR(
INDEX(
KB!$I$55:$AJ$68,
MATCH(E162,KB!$I$55:$I$68,0),
MATCH(D162,KB!$I$55:$AJ$55,0)
),
0)</f>
        <v>62</v>
      </c>
      <c r="S162" s="669" cm="1">
        <f t="array" aca="1" ref="S162" ca="1">_xlfn.IFS(
CONFIG!$B$8="W1",H162-N162,
CONFIG!$B$8="W2",H162-O162,
CONFIG!$B$8="W3",H162-P162,
CONFIG!$B$8="W4",H162-Q162,
CONFIG!$B$8="W5",H162-R162
)</f>
        <v>47.33</v>
      </c>
      <c r="T162" s="652">
        <f t="shared" ca="1" si="38"/>
        <v>0.76338709677419347</v>
      </c>
    </row>
    <row r="163" spans="3:20">
      <c r="C163" s="116" t="str">
        <f>INDEX(KB!C:D,MATCH(D163,KB!D:D,0),1)</f>
        <v>Gia dụng</v>
      </c>
      <c r="D163" s="116" t="s">
        <v>147</v>
      </c>
      <c r="E163" s="321" t="s">
        <v>530</v>
      </c>
      <c r="F163" s="116" t="str">
        <f t="shared" si="43"/>
        <v>Gia dụngNhân viên Mới 1</v>
      </c>
      <c r="G163" s="118" cm="1">
        <f t="array" ref="G163">IFERROR(INDEX(KB!$I$38:$AJ$50,MATCH(XL_DT_TD!E163,KB!$I$38:$I$50,0),MATCH(XL_DT_TD!D163,KB!$J$37:$AJ$37,0)+1),0)</f>
        <v>0</v>
      </c>
      <c r="H163" s="118" cm="1">
        <f t="array" ref="H163">IFERROR(INDEX(DATA_TĐ!$B$1:$AZ$19,MATCH(XL_DT_TD!E163,DATA_TĐ!B:B,0),MATCH(XL_DT_TD!C163,DATA_TĐ!$1:$1,0)-1),0)</f>
        <v>0</v>
      </c>
      <c r="I163" s="118">
        <f ca="1">H163/DAY(NOW()-1)*'Hieu Qua NV'!$J$1</f>
        <v>0</v>
      </c>
      <c r="J163" s="118">
        <f t="shared" si="44"/>
        <v>0</v>
      </c>
      <c r="K163" s="118">
        <f ca="1">J163/'Hieu Qua NV'!$J$2</f>
        <v>0</v>
      </c>
      <c r="L163" s="119" t="e">
        <f t="shared" ca="1" si="42"/>
        <v>#DIV/0!</v>
      </c>
      <c r="M163" s="118">
        <f ca="1">IFERROR(
INDEX(
KB!$I$55:$AJ$68,
MATCH(E163,KB!$I$55:$I$68,0),
MATCH(D163,KB!$I$55:$AJ$55,0)
),
0)</f>
        <v>0</v>
      </c>
      <c r="S163" s="669" cm="1">
        <f t="array" aca="1" ref="S163" ca="1">_xlfn.IFS(
CONFIG!$B$8="W1",H163-N163,
CONFIG!$B$8="W2",H163-O163,
CONFIG!$B$8="W3",H163-P163,
CONFIG!$B$8="W4",H163-Q163,
CONFIG!$B$8="W5",H163-R163
)</f>
        <v>0</v>
      </c>
      <c r="T163" s="652">
        <f t="shared" ca="1" si="38"/>
        <v>0</v>
      </c>
    </row>
    <row r="164" spans="3:20">
      <c r="C164" s="116" t="str">
        <f>INDEX(KB!C:D,MATCH(D164,KB!D:D,0),1)</f>
        <v>Gia dụng</v>
      </c>
      <c r="D164" s="116" t="s">
        <v>147</v>
      </c>
      <c r="E164" s="321" t="s">
        <v>560</v>
      </c>
      <c r="F164" s="116" t="str">
        <f t="shared" si="43"/>
        <v>Gia dụngNhân viên Mới 2</v>
      </c>
      <c r="G164" s="118" cm="1">
        <f t="array" ref="G164">IFERROR(INDEX(KB!$I$38:$AJ$50,MATCH(XL_DT_TD!E164,KB!$I$38:$I$50,0),MATCH(XL_DT_TD!D164,KB!$J$37:$AJ$37,0)+1),0)</f>
        <v>0</v>
      </c>
      <c r="H164" s="118" cm="1">
        <f t="array" ref="H164">IFERROR(INDEX(DATA_TĐ!$B$1:$AZ$19,MATCH(XL_DT_TD!E164,DATA_TĐ!B:B,0),MATCH(XL_DT_TD!C164,DATA_TĐ!$1:$1,0)-1),0)</f>
        <v>0</v>
      </c>
      <c r="I164" s="118">
        <f ca="1">H164/DAY(NOW()-1)*'Hieu Qua NV'!$J$1</f>
        <v>0</v>
      </c>
      <c r="J164" s="118">
        <f t="shared" si="44"/>
        <v>0</v>
      </c>
      <c r="K164" s="118">
        <f ca="1">J164/'Hieu Qua NV'!$J$2</f>
        <v>0</v>
      </c>
      <c r="L164" s="119" t="e">
        <f t="shared" ca="1" si="42"/>
        <v>#DIV/0!</v>
      </c>
      <c r="M164" s="118">
        <f ca="1">IFERROR(
INDEX(
KB!$I$55:$AJ$68,
MATCH(E164,KB!$I$55:$I$68,0),
MATCH(D164,KB!$I$55:$AJ$55,0)
),
0)</f>
        <v>0</v>
      </c>
      <c r="S164" s="669" cm="1">
        <f t="array" aca="1" ref="S164" ca="1">_xlfn.IFS(
CONFIG!$B$8="W1",H164-N164,
CONFIG!$B$8="W2",H164-O164,
CONFIG!$B$8="W3",H164-P164,
CONFIG!$B$8="W4",H164-Q164,
CONFIG!$B$8="W5",H164-R164
)</f>
        <v>0</v>
      </c>
      <c r="T164" s="652">
        <f t="shared" ca="1" si="38"/>
        <v>0</v>
      </c>
    </row>
    <row r="165" spans="3:20">
      <c r="C165" s="116" t="str">
        <f>INDEX(KB!C:D,MATCH(D165,KB!D:D,0),1)</f>
        <v>Gia dụng</v>
      </c>
      <c r="D165" s="116" t="s">
        <v>147</v>
      </c>
      <c r="E165" s="117" t="s">
        <v>281</v>
      </c>
      <c r="F165" s="116" t="str">
        <f t="shared" si="43"/>
        <v>Gia dụngTrần Thị Nhung - 11082</v>
      </c>
      <c r="G165" s="118" cm="1">
        <f t="array" ref="G165">IFERROR(INDEX(KB!$I$38:$AJ$50,MATCH(XL_DT_TD!E165,KB!$I$38:$I$50,0),MATCH(XL_DT_TD!D165,KB!$J$37:$AJ$37,0)+1),0)</f>
        <v>0</v>
      </c>
      <c r="H165" s="118" cm="1">
        <f t="array" ref="H165">IFERROR(
  INDEX(DATA_TĐ!$B$36:$Z$47,
    MATCH(TRUE, INDEX(TRIM(DATA_TĐ!$B$36:$B$45)=TRIM(E165),0),0),
    MATCH(TRUE, INDEX(TRIM(DATA_TĐ!$B$36:$Z$36)=TRIM(C165),0),0)
  ),
0)</f>
        <v>0</v>
      </c>
      <c r="I165" s="118">
        <f ca="1">H165/DAY(NOW()-1)*'Hieu Qua NV'!$J$1</f>
        <v>0</v>
      </c>
      <c r="J165" s="118">
        <f t="shared" si="44"/>
        <v>0</v>
      </c>
      <c r="K165" s="118">
        <f ca="1">J165/'Hieu Qua NV'!$J$2</f>
        <v>0</v>
      </c>
      <c r="L165" s="119" t="e">
        <f t="shared" ca="1" si="42"/>
        <v>#DIV/0!</v>
      </c>
      <c r="M165" s="118">
        <f ca="1">IFERROR(
INDEX(
KB!$I$55:$AJ$68,
MATCH(E165,KB!$I$55:$I$68,0),
MATCH(D165,KB!$I$55:$AJ$55,0)
),
0)</f>
        <v>0</v>
      </c>
      <c r="S165" s="669" cm="1">
        <f t="array" aca="1" ref="S165" ca="1">_xlfn.IFS(
CONFIG!$B$8="W1",H165-N165,
CONFIG!$B$8="W2",H165-O165,
CONFIG!$B$8="W3",H165-P165,
CONFIG!$B$8="W4",H165-Q165,
CONFIG!$B$8="W5",H165-R165
)</f>
        <v>0</v>
      </c>
      <c r="T165" s="652">
        <f t="shared" ca="1" si="38"/>
        <v>0</v>
      </c>
    </row>
    <row r="166" spans="3:20">
      <c r="C166" s="116" t="str">
        <f>INDEX(KB!C:D,MATCH(D166,KB!D:D,0),1)</f>
        <v>Gia dụng</v>
      </c>
      <c r="D166" s="116" t="s">
        <v>147</v>
      </c>
      <c r="E166" s="117" t="s">
        <v>282</v>
      </c>
      <c r="F166" s="116" t="str">
        <f t="shared" si="43"/>
        <v>Gia dụngNguyễn Thị Phương Oanh - 164808</v>
      </c>
      <c r="G166" s="118" cm="1">
        <f t="array" ref="G166">IFERROR(INDEX(KB!$I$38:$AJ$50,MATCH(XL_DT_TD!E166,KB!$I$38:$I$50,0),MATCH(XL_DT_TD!D166,KB!$J$37:$AJ$37,0)+1),0)</f>
        <v>0</v>
      </c>
      <c r="H166" s="118" cm="1">
        <f t="array" ref="H166">IFERROR(
  INDEX(DATA_TĐ!$B$36:$Z$47,
    MATCH(TRUE, INDEX(TRIM(DATA_TĐ!$B$36:$B$45)=TRIM(E166),0),0),
    MATCH(TRUE, INDEX(TRIM(DATA_TĐ!$B$36:$Z$36)=TRIM(C166),0),0)
  ),
0)</f>
        <v>0</v>
      </c>
      <c r="I166" s="118">
        <f ca="1">H166/DAY(NOW()-1)*'Hieu Qua NV'!$J$1</f>
        <v>0</v>
      </c>
      <c r="J166" s="118">
        <f t="shared" si="44"/>
        <v>0</v>
      </c>
      <c r="K166" s="118">
        <f ca="1">J166/'Hieu Qua NV'!$J$2</f>
        <v>0</v>
      </c>
      <c r="L166" s="119" t="e">
        <f t="shared" ca="1" si="42"/>
        <v>#DIV/0!</v>
      </c>
      <c r="M166" s="118">
        <f ca="1">IFERROR(
INDEX(
KB!$I$55:$AJ$68,
MATCH(E166,KB!$I$55:$I$68,0),
MATCH(D166,KB!$I$55:$AJ$55,0)
),
0)</f>
        <v>0</v>
      </c>
      <c r="S166" s="669" cm="1">
        <f t="array" aca="1" ref="S166" ca="1">_xlfn.IFS(
CONFIG!$B$8="W1",H166-N166,
CONFIG!$B$8="W2",H166-O166,
CONFIG!$B$8="W3",H166-P166,
CONFIG!$B$8="W4",H166-Q166,
CONFIG!$B$8="W5",H166-R166
)</f>
        <v>0</v>
      </c>
      <c r="T166" s="652">
        <f t="shared" ca="1" si="38"/>
        <v>0</v>
      </c>
    </row>
    <row r="167" spans="3:20">
      <c r="C167" s="116" t="str">
        <f>INDEX(KB!C:D,MATCH(D167,KB!D:D,0),1)</f>
        <v>Gia dụng</v>
      </c>
      <c r="D167" s="116" t="s">
        <v>147</v>
      </c>
      <c r="E167" s="117" t="s">
        <v>283</v>
      </c>
      <c r="F167" s="116" t="str">
        <f t="shared" si="43"/>
        <v>Gia dụngNguyễn Anh Tài - 269055</v>
      </c>
      <c r="G167" s="118" cm="1">
        <f t="array" ref="G167">IFERROR(INDEX(KB!$I$38:$AJ$50,MATCH(XL_DT_TD!E167,KB!$I$38:$I$50,0),MATCH(XL_DT_TD!D167,KB!$J$37:$AJ$37,0)+1),0)</f>
        <v>0</v>
      </c>
      <c r="H167" s="118" cm="1">
        <f t="array" ref="H167">IFERROR(
  INDEX(DATA_TĐ!$B$36:$Z$47,
    MATCH(TRUE, INDEX(TRIM(DATA_TĐ!$B$36:$B$45)=TRIM(E167),0),0),
    MATCH(TRUE, INDEX(TRIM(DATA_TĐ!$B$36:$Z$36)=TRIM(C167),0),0)
  ),
0)</f>
        <v>0</v>
      </c>
      <c r="I167" s="118">
        <f ca="1">H167/DAY(NOW()-1)*'Hieu Qua NV'!$J$1</f>
        <v>0</v>
      </c>
      <c r="J167" s="118">
        <f t="shared" si="44"/>
        <v>0</v>
      </c>
      <c r="K167" s="118">
        <f ca="1">J167/'Hieu Qua NV'!$J$2</f>
        <v>0</v>
      </c>
      <c r="L167" s="119" t="e">
        <f t="shared" ca="1" si="42"/>
        <v>#DIV/0!</v>
      </c>
      <c r="M167" s="118">
        <f ca="1">IFERROR(
INDEX(
KB!$I$55:$AJ$68,
MATCH(E167,KB!$I$55:$I$68,0),
MATCH(D167,KB!$I$55:$AJ$55,0)
),
0)</f>
        <v>0</v>
      </c>
      <c r="S167" s="669" cm="1">
        <f t="array" aca="1" ref="S167" ca="1">_xlfn.IFS(
CONFIG!$B$8="W1",H167-N167,
CONFIG!$B$8="W2",H167-O167,
CONFIG!$B$8="W3",H167-P167,
CONFIG!$B$8="W4",H167-Q167,
CONFIG!$B$8="W5",H167-R167
)</f>
        <v>0</v>
      </c>
      <c r="T167" s="652">
        <f t="shared" ca="1" si="38"/>
        <v>0</v>
      </c>
    </row>
    <row r="168" spans="3:20">
      <c r="C168" s="116" t="str">
        <f>INDEX(KB!C:D,MATCH(D168,KB!D:D,0),1)</f>
        <v>Gia dụng</v>
      </c>
      <c r="D168" s="116" t="s">
        <v>147</v>
      </c>
      <c r="E168" s="117" t="s">
        <v>284</v>
      </c>
      <c r="F168" s="116" t="str">
        <f t="shared" si="43"/>
        <v>Gia dụngLê Văn Hợp - 279884</v>
      </c>
      <c r="G168" s="118" cm="1">
        <f t="array" ref="G168">IFERROR(INDEX(KB!$I$38:$AJ$50,MATCH(XL_DT_TD!E168,KB!$I$38:$I$50,0),MATCH(XL_DT_TD!D168,KB!$J$37:$AJ$37,0)+1),0)</f>
        <v>0</v>
      </c>
      <c r="H168" s="118" cm="1">
        <f t="array" ref="H168">IFERROR(
  INDEX(DATA_TĐ!$B$36:$Z$47,
    MATCH(TRUE, INDEX(TRIM(DATA_TĐ!$B$36:$B$45)=TRIM(E168),0),0),
    MATCH(TRUE, INDEX(TRIM(DATA_TĐ!$B$36:$Z$36)=TRIM(C168),0),0)
  ),
0)</f>
        <v>0</v>
      </c>
      <c r="I168" s="118">
        <f ca="1">H168/DAY(NOW()-1)*'Hieu Qua NV'!$J$1</f>
        <v>0</v>
      </c>
      <c r="J168" s="118">
        <f t="shared" si="44"/>
        <v>0</v>
      </c>
      <c r="K168" s="118">
        <f ca="1">J168/'Hieu Qua NV'!$J$2</f>
        <v>0</v>
      </c>
      <c r="L168" s="119" t="e">
        <f t="shared" ca="1" si="42"/>
        <v>#DIV/0!</v>
      </c>
      <c r="M168" s="118">
        <f ca="1">IFERROR(
INDEX(
KB!$I$55:$AJ$68,
MATCH(E168,KB!$I$55:$I$68,0),
MATCH(D168,KB!$I$55:$AJ$55,0)
),
0)</f>
        <v>0</v>
      </c>
      <c r="S168" s="669" cm="1">
        <f t="array" aca="1" ref="S168" ca="1">_xlfn.IFS(
CONFIG!$B$8="W1",H168-N168,
CONFIG!$B$8="W2",H168-O168,
CONFIG!$B$8="W3",H168-P168,
CONFIG!$B$8="W4",H168-Q168,
CONFIG!$B$8="W5",H168-R168
)</f>
        <v>0</v>
      </c>
      <c r="T168" s="652">
        <f t="shared" ca="1" si="38"/>
        <v>0</v>
      </c>
    </row>
    <row r="169" spans="3:20">
      <c r="C169" s="120" t="str">
        <f>INDEX(KB!C:D,MATCH(D169,KB!D:D,0),1)</f>
        <v>Gia dụng</v>
      </c>
      <c r="D169" s="120" t="s">
        <v>147</v>
      </c>
      <c r="E169" s="120" t="s">
        <v>20</v>
      </c>
      <c r="F169" s="121" t="str">
        <f t="shared" si="43"/>
        <v>Gia dụngTổng</v>
      </c>
      <c r="G169" s="122">
        <f t="shared" ref="G169" si="48">SUM(G156:G167)</f>
        <v>1245.9749999999999</v>
      </c>
      <c r="H169" s="122">
        <f t="shared" ref="H169:I169" si="49">SUM(H156:H167)</f>
        <v>138.05000000000001</v>
      </c>
      <c r="I169" s="122">
        <f t="shared" ca="1" si="49"/>
        <v>690.25</v>
      </c>
      <c r="J169" s="122">
        <f t="shared" si="44"/>
        <v>1107.925</v>
      </c>
      <c r="K169" s="122">
        <f ca="1">J169/'Hieu Qua NV'!$J$2</f>
        <v>48.170652173913041</v>
      </c>
      <c r="L169" s="119">
        <f t="shared" ca="1" si="42"/>
        <v>0.55398382792592149</v>
      </c>
      <c r="M169" s="122">
        <f t="shared" ref="M169" ca="1" si="50">SUM(M156:M167)</f>
        <v>313</v>
      </c>
      <c r="S169" s="669" cm="1">
        <f t="array" aca="1" ref="S169" ca="1">_xlfn.IFS(
CONFIG!$B$8="W1",H169-N169,
CONFIG!$B$8="W2",H169-O169,
CONFIG!$B$8="W3",H169-P169,
CONFIG!$B$8="W4",H169-Q169,
CONFIG!$B$8="W5",H169-R169
)</f>
        <v>138.05000000000001</v>
      </c>
      <c r="T169" s="652">
        <f t="shared" ca="1" si="38"/>
        <v>0.44105431309904158</v>
      </c>
    </row>
    <row r="170" spans="3:20">
      <c r="C170" s="116" t="str">
        <f>INDEX(KB!C:D,MATCH(D170,KB!D:D,0),1)</f>
        <v>Máy Lọc nước</v>
      </c>
      <c r="D170" s="116" t="s">
        <v>26</v>
      </c>
      <c r="E170" s="321" t="s">
        <v>57</v>
      </c>
      <c r="F170" s="116" t="str">
        <f t="shared" si="43"/>
        <v>Máy Lọc nướcNguyễn Thị Ngọc - 54026</v>
      </c>
      <c r="G170" s="118" cm="1">
        <f t="array" ref="G170">IFERROR(INDEX(KB!$I$38:$AJ$50,MATCH(XL_DT_TD!E170,KB!$I$38:$I$50,0),MATCH(XL_DT_TD!D170,KB!$J$37:$AJ$37,0)+1),0)</f>
        <v>43.775999999999996</v>
      </c>
      <c r="H170" s="118" cm="1">
        <f t="array" ref="H170">IFERROR(INDEX(DATA_TĐ!$B$1:$AZ$19,MATCH(XL_DT_TD!E170,DATA_TĐ!B:B,0),MATCH(XL_DT_TD!C170,DATA_TĐ!$1:$1,0)-1),0)</f>
        <v>4.0599999999999996</v>
      </c>
      <c r="I170" s="118">
        <f ca="1">H170/DAY(NOW()-1)*'Hieu Qua NV'!$J$1</f>
        <v>20.3</v>
      </c>
      <c r="J170" s="118">
        <f t="shared" si="44"/>
        <v>39.715999999999994</v>
      </c>
      <c r="K170" s="118">
        <f ca="1">J170/'Hieu Qua NV'!$J$2</f>
        <v>1.7267826086956519</v>
      </c>
      <c r="L170" s="119">
        <f t="shared" ca="1" si="42"/>
        <v>0.46372441520467844</v>
      </c>
      <c r="M170" s="118">
        <f ca="1">IFERROR(
INDEX(
KB!$I$55:$AJ$68,
MATCH(E170,KB!$I$55:$I$68,0),
MATCH(D170,KB!$I$55:$AJ$55,0)
),
0)</f>
        <v>11</v>
      </c>
      <c r="S170" s="669" cm="1">
        <f t="array" aca="1" ref="S170" ca="1">_xlfn.IFS(
CONFIG!$B$8="W1",H170-N170,
CONFIG!$B$8="W2",H170-O170,
CONFIG!$B$8="W3",H170-P170,
CONFIG!$B$8="W4",H170-Q170,
CONFIG!$B$8="W5",H170-R170
)</f>
        <v>4.0599999999999996</v>
      </c>
      <c r="T170" s="652">
        <f t="shared" ca="1" si="38"/>
        <v>0.36909090909090908</v>
      </c>
    </row>
    <row r="171" spans="3:20">
      <c r="C171" s="116" t="str">
        <f>INDEX(KB!C:D,MATCH(D171,KB!D:D,0),1)</f>
        <v>Máy Lọc nước</v>
      </c>
      <c r="D171" s="116" t="s">
        <v>26</v>
      </c>
      <c r="E171" s="321" t="s">
        <v>60</v>
      </c>
      <c r="F171" s="116" t="str">
        <f t="shared" si="43"/>
        <v>Máy Lọc nướcNguyễn Viết Sơn - 94065</v>
      </c>
      <c r="G171" s="118" cm="1">
        <f t="array" ref="G171">IFERROR(INDEX(KB!$I$38:$AJ$50,MATCH(XL_DT_TD!E171,KB!$I$38:$I$50,0),MATCH(XL_DT_TD!D171,KB!$J$37:$AJ$37,0)+1),0)</f>
        <v>43.775999999999996</v>
      </c>
      <c r="H171" s="118" cm="1">
        <f t="array" ref="H171">IFERROR(INDEX(DATA_TĐ!$B$1:$AZ$19,MATCH(XL_DT_TD!E171,DATA_TĐ!B:B,0),MATCH(XL_DT_TD!C171,DATA_TĐ!$1:$1,0)-1),0)</f>
        <v>15.17</v>
      </c>
      <c r="I171" s="118">
        <f ca="1">H171/DAY(NOW()-1)*'Hieu Qua NV'!$J$1</f>
        <v>75.849999999999994</v>
      </c>
      <c r="J171" s="118">
        <f t="shared" si="44"/>
        <v>28.605999999999995</v>
      </c>
      <c r="K171" s="118">
        <f ca="1">J171/'Hieu Qua NV'!$J$2</f>
        <v>1.2437391304347825</v>
      </c>
      <c r="L171" s="119">
        <f t="shared" ca="1" si="42"/>
        <v>1.7326845760233918</v>
      </c>
      <c r="M171" s="118">
        <f ca="1">IFERROR(
INDEX(
KB!$I$55:$AJ$68,
MATCH(E171,KB!$I$55:$I$68,0),
MATCH(D171,KB!$I$55:$AJ$55,0)
),
0)</f>
        <v>11</v>
      </c>
      <c r="S171" s="669" cm="1">
        <f t="array" aca="1" ref="S171" ca="1">_xlfn.IFS(
CONFIG!$B$8="W1",H171-N171,
CONFIG!$B$8="W2",H171-O171,
CONFIG!$B$8="W3",H171-P171,
CONFIG!$B$8="W4",H171-Q171,
CONFIG!$B$8="W5",H171-R171
)</f>
        <v>15.17</v>
      </c>
      <c r="T171" s="652">
        <f t="shared" ca="1" si="38"/>
        <v>1.3790909090909091</v>
      </c>
    </row>
    <row r="172" spans="3:20">
      <c r="C172" s="116" t="str">
        <f>INDEX(KB!C:D,MATCH(D172,KB!D:D,0),1)</f>
        <v>Máy Lọc nước</v>
      </c>
      <c r="D172" s="116" t="s">
        <v>26</v>
      </c>
      <c r="E172" s="321" t="s">
        <v>15</v>
      </c>
      <c r="F172" s="116" t="str">
        <f t="shared" si="43"/>
        <v>Máy Lọc nướcNguyễn Trang Nhung - 25734</v>
      </c>
      <c r="G172" s="118" cm="1">
        <f t="array" ref="G172">IFERROR(INDEX(KB!$I$38:$AJ$50,MATCH(XL_DT_TD!E172,KB!$I$38:$I$50,0),MATCH(XL_DT_TD!D172,KB!$J$37:$AJ$37,0)+1),0)</f>
        <v>36.479999999999997</v>
      </c>
      <c r="H172" s="118" cm="1">
        <f t="array" ref="H172">IFERROR(INDEX(DATA_TĐ!$B$1:$AZ$19,MATCH(XL_DT_TD!E172,DATA_TĐ!B:B,0),MATCH(XL_DT_TD!C172,DATA_TĐ!$1:$1,0)-1),0)</f>
        <v>10.34</v>
      </c>
      <c r="I172" s="118">
        <f ca="1">H172/DAY(NOW()-1)*'Hieu Qua NV'!$J$1</f>
        <v>51.7</v>
      </c>
      <c r="J172" s="118">
        <f t="shared" si="44"/>
        <v>26.139999999999997</v>
      </c>
      <c r="K172" s="118">
        <f ca="1">J172/'Hieu Qua NV'!$J$2</f>
        <v>1.1365217391304347</v>
      </c>
      <c r="L172" s="119">
        <f t="shared" ca="1" si="42"/>
        <v>1.4172149122807018</v>
      </c>
      <c r="M172" s="118">
        <f ca="1">IFERROR(
INDEX(
KB!$I$55:$AJ$68,
MATCH(E172,KB!$I$55:$I$68,0),
MATCH(D172,KB!$I$55:$AJ$55,0)
),
0)</f>
        <v>9</v>
      </c>
      <c r="S172" s="669" cm="1">
        <f t="array" aca="1" ref="S172" ca="1">_xlfn.IFS(
CONFIG!$B$8="W1",H172-N172,
CONFIG!$B$8="W2",H172-O172,
CONFIG!$B$8="W3",H172-P172,
CONFIG!$B$8="W4",H172-Q172,
CONFIG!$B$8="W5",H172-R172
)</f>
        <v>10.34</v>
      </c>
      <c r="T172" s="652">
        <f t="shared" ca="1" si="38"/>
        <v>1.1488888888888888</v>
      </c>
    </row>
    <row r="173" spans="3:20">
      <c r="C173" s="116" t="str">
        <f>INDEX(KB!C:D,MATCH(D173,KB!D:D,0),1)</f>
        <v>Máy Lọc nước</v>
      </c>
      <c r="D173" s="116" t="s">
        <v>26</v>
      </c>
      <c r="E173" s="321" t="s">
        <v>151</v>
      </c>
      <c r="F173" s="116" t="str">
        <f t="shared" si="43"/>
        <v>Máy Lọc nướcTrần Huy Hoàn - 270828</v>
      </c>
      <c r="G173" s="118" cm="1">
        <f t="array" ref="G173">IFERROR(INDEX(KB!$I$38:$AJ$50,MATCH(XL_DT_TD!E173,KB!$I$38:$I$50,0),MATCH(XL_DT_TD!D173,KB!$J$37:$AJ$37,0)+1),0)</f>
        <v>36.479999999999997</v>
      </c>
      <c r="H173" s="118" cm="1">
        <f t="array" ref="H173">IFERROR(INDEX(DATA_TĐ!$B$1:$AZ$19,MATCH(XL_DT_TD!E173,DATA_TĐ!B:B,0),MATCH(XL_DT_TD!C173,DATA_TĐ!$1:$1,0)-1),0)</f>
        <v>0</v>
      </c>
      <c r="I173" s="118">
        <f ca="1">H173/DAY(NOW()-1)*'Hieu Qua NV'!$J$1</f>
        <v>0</v>
      </c>
      <c r="J173" s="118">
        <f t="shared" si="44"/>
        <v>36.479999999999997</v>
      </c>
      <c r="K173" s="118">
        <f ca="1">J173/'Hieu Qua NV'!$J$2</f>
        <v>1.586086956521739</v>
      </c>
      <c r="L173" s="119">
        <f t="shared" ca="1" si="42"/>
        <v>0</v>
      </c>
      <c r="M173" s="118">
        <f ca="1">IFERROR(
INDEX(
KB!$I$55:$AJ$68,
MATCH(E173,KB!$I$55:$I$68,0),
MATCH(D173,KB!$I$55:$AJ$55,0)
),
0)</f>
        <v>9</v>
      </c>
      <c r="S173" s="669" cm="1">
        <f t="array" aca="1" ref="S173" ca="1">_xlfn.IFS(
CONFIG!$B$8="W1",H173-N173,
CONFIG!$B$8="W2",H173-O173,
CONFIG!$B$8="W3",H173-P173,
CONFIG!$B$8="W4",H173-Q173,
CONFIG!$B$8="W5",H173-R173
)</f>
        <v>0</v>
      </c>
      <c r="T173" s="652">
        <f t="shared" ca="1" si="38"/>
        <v>0</v>
      </c>
    </row>
    <row r="174" spans="3:20">
      <c r="C174" s="116" t="str">
        <f>INDEX(KB!C:D,MATCH(D174,KB!D:D,0),1)</f>
        <v>Máy Lọc nước</v>
      </c>
      <c r="D174" s="116" t="s">
        <v>26</v>
      </c>
      <c r="E174" s="321" t="s">
        <v>293</v>
      </c>
      <c r="F174" s="116" t="str">
        <f t="shared" si="43"/>
        <v>Máy Lọc nướcPhạm Văn Thanh - 279935</v>
      </c>
      <c r="G174" s="118" cm="1">
        <f t="array" ref="G174">IFERROR(INDEX(KB!$I$38:$AJ$50,MATCH(XL_DT_TD!E174,KB!$I$38:$I$50,0),MATCH(XL_DT_TD!D174,KB!$J$37:$AJ$37,0)+1),0)</f>
        <v>24.32</v>
      </c>
      <c r="H174" s="118" cm="1">
        <f t="array" ref="H174">IFERROR(INDEX(DATA_TĐ!$B$1:$AZ$19,MATCH(XL_DT_TD!E174,DATA_TĐ!B:B,0),MATCH(XL_DT_TD!C174,DATA_TĐ!$1:$1,0)-1),0)</f>
        <v>7.73</v>
      </c>
      <c r="I174" s="118">
        <f ca="1">H174/DAY(NOW()-1)*'Hieu Qua NV'!$J$1</f>
        <v>38.65</v>
      </c>
      <c r="J174" s="118">
        <f t="shared" si="44"/>
        <v>16.59</v>
      </c>
      <c r="K174" s="118">
        <f ca="1">J174/'Hieu Qua NV'!$J$2</f>
        <v>0.72130434782608699</v>
      </c>
      <c r="L174" s="119">
        <f t="shared" ca="1" si="42"/>
        <v>1.5892269736842104</v>
      </c>
      <c r="M174" s="118">
        <f ca="1">IFERROR(
INDEX(
KB!$I$55:$AJ$68,
MATCH(E174,KB!$I$55:$I$68,0),
MATCH(D174,KB!$I$55:$AJ$55,0)
),
0)</f>
        <v>6</v>
      </c>
      <c r="S174" s="669" cm="1">
        <f t="array" aca="1" ref="S174" ca="1">_xlfn.IFS(
CONFIG!$B$8="W1",H174-N174,
CONFIG!$B$8="W2",H174-O174,
CONFIG!$B$8="W3",H174-P174,
CONFIG!$B$8="W4",H174-Q174,
CONFIG!$B$8="W5",H174-R174
)</f>
        <v>7.73</v>
      </c>
      <c r="T174" s="652">
        <f t="shared" ca="1" si="38"/>
        <v>1.2883333333333333</v>
      </c>
    </row>
    <row r="175" spans="3:20">
      <c r="C175" s="116" t="str">
        <f>INDEX(KB!C:D,MATCH(D175,KB!D:D,0),1)</f>
        <v>Máy Lọc nước</v>
      </c>
      <c r="D175" s="116" t="s">
        <v>26</v>
      </c>
      <c r="E175" s="321" t="s">
        <v>433</v>
      </c>
      <c r="F175" s="116" t="str">
        <f t="shared" si="43"/>
        <v>Máy Lọc nướcNguyễn Thành Đạt - 280855</v>
      </c>
      <c r="G175" s="118" cm="1">
        <f t="array" ref="G175">IFERROR(INDEX(KB!$I$38:$AJ$50,MATCH(XL_DT_TD!E175,KB!$I$38:$I$50,0),MATCH(XL_DT_TD!D175,KB!$J$37:$AJ$37,0)+1),0)</f>
        <v>24.32</v>
      </c>
      <c r="H175" s="118" cm="1">
        <f t="array" ref="H175">IFERROR(INDEX(DATA_TĐ!$B$1:$AZ$19,MATCH(XL_DT_TD!E175,DATA_TĐ!B:B,0),MATCH(XL_DT_TD!C175,DATA_TĐ!$1:$1,0)-1),0)</f>
        <v>0</v>
      </c>
      <c r="I175" s="118">
        <f ca="1">H175/DAY(NOW()-1)*'Hieu Qua NV'!$J$1</f>
        <v>0</v>
      </c>
      <c r="J175" s="118">
        <f t="shared" si="44"/>
        <v>24.32</v>
      </c>
      <c r="K175" s="118">
        <f ca="1">J175/'Hieu Qua NV'!$J$2</f>
        <v>1.057391304347826</v>
      </c>
      <c r="L175" s="119">
        <f t="shared" ca="1" si="42"/>
        <v>0</v>
      </c>
      <c r="M175" s="118">
        <f ca="1">IFERROR(
INDEX(
KB!$I$55:$AJ$68,
MATCH(E175,KB!$I$55:$I$68,0),
MATCH(D175,KB!$I$55:$AJ$55,0)
),
0)</f>
        <v>6</v>
      </c>
      <c r="S175" s="669" cm="1">
        <f t="array" aca="1" ref="S175" ca="1">_xlfn.IFS(
CONFIG!$B$8="W1",H175-N175,
CONFIG!$B$8="W2",H175-O175,
CONFIG!$B$8="W3",H175-P175,
CONFIG!$B$8="W4",H175-Q175,
CONFIG!$B$8="W5",H175-R175
)</f>
        <v>0</v>
      </c>
      <c r="T175" s="652">
        <f t="shared" ca="1" si="38"/>
        <v>0</v>
      </c>
    </row>
    <row r="176" spans="3:20">
      <c r="C176" s="116" t="str">
        <f>INDEX(KB!C:D,MATCH(D176,KB!D:D,0),1)</f>
        <v>Máy Lọc nước</v>
      </c>
      <c r="D176" s="116" t="s">
        <v>26</v>
      </c>
      <c r="E176" s="321" t="s">
        <v>56</v>
      </c>
      <c r="F176" s="116" t="str">
        <f t="shared" si="43"/>
        <v>Máy Lọc nướcĐỗ Văn Duân - 62025</v>
      </c>
      <c r="G176" s="118" cm="1">
        <f t="array" ref="G176">IFERROR(INDEX(KB!$I$38:$AJ$50,MATCH(XL_DT_TD!E176,KB!$I$38:$I$50,0),MATCH(XL_DT_TD!D176,KB!$J$37:$AJ$37,0)+1),0)</f>
        <v>53.503999999999998</v>
      </c>
      <c r="H176" s="118" cm="1">
        <f t="array" ref="H176">IFERROR(INDEX(DATA_TĐ!$B$1:$AZ$19,MATCH(XL_DT_TD!E176,DATA_TĐ!B:B,0),MATCH(XL_DT_TD!C176,DATA_TĐ!$1:$1,0)-1),0)</f>
        <v>4.74</v>
      </c>
      <c r="I176" s="118">
        <f ca="1">H176/DAY(NOW()-1)*'Hieu Qua NV'!$J$1</f>
        <v>23.700000000000003</v>
      </c>
      <c r="J176" s="118">
        <f t="shared" si="44"/>
        <v>48.763999999999996</v>
      </c>
      <c r="K176" s="118">
        <f ca="1">J176/'Hieu Qua NV'!$J$2</f>
        <v>2.120173913043478</v>
      </c>
      <c r="L176" s="119">
        <f t="shared" ca="1" si="42"/>
        <v>0.44295753588516751</v>
      </c>
      <c r="M176" s="118">
        <f ca="1">IFERROR(
INDEX(
KB!$I$55:$AJ$68,
MATCH(E176,KB!$I$55:$I$68,0),
MATCH(D176,KB!$I$55:$AJ$55,0)
),
0)</f>
        <v>13</v>
      </c>
      <c r="S176" s="669" cm="1">
        <f t="array" aca="1" ref="S176" ca="1">_xlfn.IFS(
CONFIG!$B$8="W1",H176-N176,
CONFIG!$B$8="W2",H176-O176,
CONFIG!$B$8="W3",H176-P176,
CONFIG!$B$8="W4",H176-Q176,
CONFIG!$B$8="W5",H176-R176
)</f>
        <v>4.74</v>
      </c>
      <c r="T176" s="652">
        <f t="shared" ca="1" si="38"/>
        <v>0.36461538461538462</v>
      </c>
    </row>
    <row r="177" spans="3:20">
      <c r="C177" s="116" t="str">
        <f>INDEX(KB!C:D,MATCH(D177,KB!D:D,0),1)</f>
        <v>Máy Lọc nước</v>
      </c>
      <c r="D177" s="116" t="s">
        <v>26</v>
      </c>
      <c r="E177" s="321" t="s">
        <v>530</v>
      </c>
      <c r="F177" s="116" t="str">
        <f t="shared" si="43"/>
        <v>Máy Lọc nướcNhân viên Mới 1</v>
      </c>
      <c r="G177" s="118" cm="1">
        <f t="array" ref="G177">IFERROR(INDEX(KB!$I$38:$AJ$50,MATCH(XL_DT_TD!E177,KB!$I$38:$I$50,0),MATCH(XL_DT_TD!D177,KB!$J$37:$AJ$37,0)+1),0)</f>
        <v>0</v>
      </c>
      <c r="H177" s="118" cm="1">
        <f t="array" ref="H177">IFERROR(INDEX(DATA_TĐ!$B$1:$AZ$19,MATCH(XL_DT_TD!E177,DATA_TĐ!B:B,0),MATCH(XL_DT_TD!C177,DATA_TĐ!$1:$1,0)-1),0)</f>
        <v>0</v>
      </c>
      <c r="I177" s="118">
        <f ca="1">H177/DAY(NOW()-1)*'Hieu Qua NV'!$J$1</f>
        <v>0</v>
      </c>
      <c r="J177" s="118">
        <f t="shared" si="44"/>
        <v>0</v>
      </c>
      <c r="K177" s="118">
        <f ca="1">J177/'Hieu Qua NV'!$J$2</f>
        <v>0</v>
      </c>
      <c r="L177" s="119" t="e">
        <f t="shared" ca="1" si="42"/>
        <v>#DIV/0!</v>
      </c>
      <c r="M177" s="118">
        <f ca="1">IFERROR(
INDEX(
KB!$I$55:$AJ$68,
MATCH(E177,KB!$I$55:$I$68,0),
MATCH(D177,KB!$I$55:$AJ$55,0)
),
0)</f>
        <v>0</v>
      </c>
      <c r="S177" s="669" cm="1">
        <f t="array" aca="1" ref="S177" ca="1">_xlfn.IFS(
CONFIG!$B$8="W1",H177-N177,
CONFIG!$B$8="W2",H177-O177,
CONFIG!$B$8="W3",H177-P177,
CONFIG!$B$8="W4",H177-Q177,
CONFIG!$B$8="W5",H177-R177
)</f>
        <v>0</v>
      </c>
      <c r="T177" s="652">
        <f t="shared" ca="1" si="38"/>
        <v>0</v>
      </c>
    </row>
    <row r="178" spans="3:20">
      <c r="C178" s="116" t="str">
        <f>INDEX(KB!C:D,MATCH(D178,KB!D:D,0),1)</f>
        <v>Máy Lọc nước</v>
      </c>
      <c r="D178" s="116" t="s">
        <v>26</v>
      </c>
      <c r="E178" s="321" t="s">
        <v>560</v>
      </c>
      <c r="F178" s="116" t="str">
        <f t="shared" si="43"/>
        <v>Máy Lọc nướcNhân viên Mới 2</v>
      </c>
      <c r="G178" s="118" cm="1">
        <f t="array" ref="G178">IFERROR(INDEX(KB!$I$38:$AJ$50,MATCH(XL_DT_TD!E178,KB!$I$38:$I$50,0),MATCH(XL_DT_TD!D178,KB!$J$37:$AJ$37,0)+1),0)</f>
        <v>0</v>
      </c>
      <c r="H178" s="118" cm="1">
        <f t="array" ref="H178">IFERROR(INDEX(DATA_TĐ!$B$1:$AZ$19,MATCH(XL_DT_TD!E178,DATA_TĐ!B:B,0),MATCH(XL_DT_TD!C178,DATA_TĐ!$1:$1,0)-1),0)</f>
        <v>0</v>
      </c>
      <c r="I178" s="118">
        <f ca="1">H178/DAY(NOW()-1)*'Hieu Qua NV'!$J$1</f>
        <v>0</v>
      </c>
      <c r="J178" s="118">
        <f t="shared" si="44"/>
        <v>0</v>
      </c>
      <c r="K178" s="118">
        <f ca="1">J178/'Hieu Qua NV'!$J$2</f>
        <v>0</v>
      </c>
      <c r="L178" s="119" t="e">
        <f t="shared" ca="1" si="42"/>
        <v>#DIV/0!</v>
      </c>
      <c r="M178" s="118">
        <f ca="1">IFERROR(
INDEX(
KB!$I$55:$AJ$68,
MATCH(E178,KB!$I$55:$I$68,0),
MATCH(D178,KB!$I$55:$AJ$55,0)
),
0)</f>
        <v>0</v>
      </c>
      <c r="S178" s="669" cm="1">
        <f t="array" aca="1" ref="S178" ca="1">_xlfn.IFS(
CONFIG!$B$8="W1",H178-N178,
CONFIG!$B$8="W2",H178-O178,
CONFIG!$B$8="W3",H178-P178,
CONFIG!$B$8="W4",H178-Q178,
CONFIG!$B$8="W5",H178-R178
)</f>
        <v>0</v>
      </c>
      <c r="T178" s="652">
        <f t="shared" ca="1" si="38"/>
        <v>0</v>
      </c>
    </row>
    <row r="179" spans="3:20">
      <c r="C179" s="116" t="str">
        <f>INDEX(KB!C:D,MATCH(D179,KB!D:D,0),1)</f>
        <v>Máy Lọc nước</v>
      </c>
      <c r="D179" s="116" t="s">
        <v>26</v>
      </c>
      <c r="E179" s="117" t="s">
        <v>281</v>
      </c>
      <c r="F179" s="116" t="str">
        <f t="shared" si="43"/>
        <v>Máy Lọc nướcTrần Thị Nhung - 11082</v>
      </c>
      <c r="G179" s="118" cm="1">
        <f t="array" ref="G179">IFERROR(INDEX(KB!$I$38:$AJ$50,MATCH(XL_DT_TD!E179,KB!$I$38:$I$50,0),MATCH(XL_DT_TD!D179,KB!$J$37:$AJ$37,0)+1),0)</f>
        <v>0</v>
      </c>
      <c r="H179" s="118" cm="1">
        <f t="array" ref="H179">IFERROR(
  INDEX(DATA_TĐ!$B$36:$Z$47,
    MATCH(TRUE, INDEX(TRIM(DATA_TĐ!$B$36:$B$45)=TRIM(E179),0),0),
    MATCH(TRUE, INDEX(TRIM(DATA_TĐ!$B$36:$Z$36)=TRIM(C179),0),0)
  ),
0)</f>
        <v>0</v>
      </c>
      <c r="I179" s="118">
        <f ca="1">H179/DAY(NOW()-1)*'Hieu Qua NV'!$J$1</f>
        <v>0</v>
      </c>
      <c r="J179" s="118">
        <f t="shared" si="44"/>
        <v>0</v>
      </c>
      <c r="K179" s="118">
        <f ca="1">J179/'Hieu Qua NV'!$J$2</f>
        <v>0</v>
      </c>
      <c r="L179" s="119" t="e">
        <f t="shared" ca="1" si="42"/>
        <v>#DIV/0!</v>
      </c>
      <c r="M179" s="118">
        <f ca="1">IFERROR(
INDEX(
KB!$I$55:$AJ$68,
MATCH(E179,KB!$I$55:$I$68,0),
MATCH(D179,KB!$I$55:$AJ$55,0)
),
0)</f>
        <v>0</v>
      </c>
      <c r="S179" s="669" cm="1">
        <f t="array" aca="1" ref="S179" ca="1">_xlfn.IFS(
CONFIG!$B$8="W1",H179-N179,
CONFIG!$B$8="W2",H179-O179,
CONFIG!$B$8="W3",H179-P179,
CONFIG!$B$8="W4",H179-Q179,
CONFIG!$B$8="W5",H179-R179
)</f>
        <v>0</v>
      </c>
      <c r="T179" s="652">
        <f t="shared" ca="1" si="38"/>
        <v>0</v>
      </c>
    </row>
    <row r="180" spans="3:20">
      <c r="C180" s="116" t="str">
        <f>INDEX(KB!C:D,MATCH(D180,KB!D:D,0),1)</f>
        <v>Máy Lọc nước</v>
      </c>
      <c r="D180" s="116" t="s">
        <v>26</v>
      </c>
      <c r="E180" s="117" t="s">
        <v>282</v>
      </c>
      <c r="F180" s="116" t="str">
        <f t="shared" si="43"/>
        <v>Máy Lọc nướcNguyễn Thị Phương Oanh - 164808</v>
      </c>
      <c r="G180" s="118" cm="1">
        <f t="array" ref="G180">IFERROR(INDEX(KB!$I$38:$AJ$50,MATCH(XL_DT_TD!E180,KB!$I$38:$I$50,0),MATCH(XL_DT_TD!D180,KB!$J$37:$AJ$37,0)+1),0)</f>
        <v>0</v>
      </c>
      <c r="H180" s="118" cm="1">
        <f t="array" ref="H180">IFERROR(
  INDEX(DATA_TĐ!$B$36:$Z$47,
    MATCH(TRUE, INDEX(TRIM(DATA_TĐ!$B$36:$B$45)=TRIM(E180),0),0),
    MATCH(TRUE, INDEX(TRIM(DATA_TĐ!$B$36:$Z$36)=TRIM(C180),0),0)
  ),
0)</f>
        <v>0</v>
      </c>
      <c r="I180" s="118">
        <f ca="1">H180/DAY(NOW()-1)*'Hieu Qua NV'!$J$1</f>
        <v>0</v>
      </c>
      <c r="J180" s="118">
        <f t="shared" si="44"/>
        <v>0</v>
      </c>
      <c r="K180" s="118">
        <f ca="1">J180/'Hieu Qua NV'!$J$2</f>
        <v>0</v>
      </c>
      <c r="L180" s="119" t="e">
        <f t="shared" ca="1" si="42"/>
        <v>#DIV/0!</v>
      </c>
      <c r="M180" s="118">
        <f ca="1">IFERROR(
INDEX(
KB!$I$55:$AJ$68,
MATCH(E180,KB!$I$55:$I$68,0),
MATCH(D180,KB!$I$55:$AJ$55,0)
),
0)</f>
        <v>0</v>
      </c>
      <c r="S180" s="669" cm="1">
        <f t="array" aca="1" ref="S180" ca="1">_xlfn.IFS(
CONFIG!$B$8="W1",H180-N180,
CONFIG!$B$8="W2",H180-O180,
CONFIG!$B$8="W3",H180-P180,
CONFIG!$B$8="W4",H180-Q180,
CONFIG!$B$8="W5",H180-R180
)</f>
        <v>0</v>
      </c>
      <c r="T180" s="652">
        <f t="shared" ca="1" si="38"/>
        <v>0</v>
      </c>
    </row>
    <row r="181" spans="3:20">
      <c r="C181" s="116" t="str">
        <f>INDEX(KB!C:D,MATCH(D181,KB!D:D,0),1)</f>
        <v>Máy Lọc nước</v>
      </c>
      <c r="D181" s="116" t="s">
        <v>26</v>
      </c>
      <c r="E181" s="117" t="s">
        <v>283</v>
      </c>
      <c r="F181" s="116" t="str">
        <f t="shared" si="43"/>
        <v>Máy Lọc nướcNguyễn Anh Tài - 269055</v>
      </c>
      <c r="G181" s="118" cm="1">
        <f t="array" ref="G181">IFERROR(INDEX(KB!$I$38:$AJ$50,MATCH(XL_DT_TD!E181,KB!$I$38:$I$50,0),MATCH(XL_DT_TD!D181,KB!$J$37:$AJ$37,0)+1),0)</f>
        <v>0</v>
      </c>
      <c r="H181" s="118" cm="1">
        <f t="array" ref="H181">IFERROR(
  INDEX(DATA_TĐ!$B$36:$Z$47,
    MATCH(TRUE, INDEX(TRIM(DATA_TĐ!$B$36:$B$45)=TRIM(E181),0),0),
    MATCH(TRUE, INDEX(TRIM(DATA_TĐ!$B$36:$Z$36)=TRIM(C181),0),0)
  ),
0)</f>
        <v>0</v>
      </c>
      <c r="I181" s="118">
        <f ca="1">H181/DAY(NOW()-1)*'Hieu Qua NV'!$J$1</f>
        <v>0</v>
      </c>
      <c r="J181" s="118">
        <f t="shared" si="44"/>
        <v>0</v>
      </c>
      <c r="K181" s="118">
        <f ca="1">J181/'Hieu Qua NV'!$J$2</f>
        <v>0</v>
      </c>
      <c r="L181" s="119" t="e">
        <f t="shared" ca="1" si="42"/>
        <v>#DIV/0!</v>
      </c>
      <c r="M181" s="118">
        <f ca="1">IFERROR(
INDEX(
KB!$I$55:$AJ$68,
MATCH(E181,KB!$I$55:$I$68,0),
MATCH(D181,KB!$I$55:$AJ$55,0)
),
0)</f>
        <v>0</v>
      </c>
      <c r="S181" s="669" cm="1">
        <f t="array" aca="1" ref="S181" ca="1">_xlfn.IFS(
CONFIG!$B$8="W1",H181-N181,
CONFIG!$B$8="W2",H181-O181,
CONFIG!$B$8="W3",H181-P181,
CONFIG!$B$8="W4",H181-Q181,
CONFIG!$B$8="W5",H181-R181
)</f>
        <v>0</v>
      </c>
      <c r="T181" s="652">
        <f t="shared" ca="1" si="38"/>
        <v>0</v>
      </c>
    </row>
    <row r="182" spans="3:20">
      <c r="C182" s="116" t="str">
        <f>INDEX(KB!C:D,MATCH(D182,KB!D:D,0),1)</f>
        <v>Máy Lọc nước</v>
      </c>
      <c r="D182" s="116" t="s">
        <v>26</v>
      </c>
      <c r="E182" s="117" t="s">
        <v>284</v>
      </c>
      <c r="F182" s="116" t="str">
        <f t="shared" si="43"/>
        <v>Máy Lọc nướcLê Văn Hợp - 279884</v>
      </c>
      <c r="G182" s="118" cm="1">
        <f t="array" ref="G182">IFERROR(INDEX(KB!$I$38:$AJ$50,MATCH(XL_DT_TD!E182,KB!$I$38:$I$50,0),MATCH(XL_DT_TD!D182,KB!$J$37:$AJ$37,0)+1),0)</f>
        <v>0</v>
      </c>
      <c r="H182" s="118" cm="1">
        <f t="array" ref="H182">IFERROR(
  INDEX(DATA_TĐ!$B$36:$Z$47,
    MATCH(TRUE, INDEX(TRIM(DATA_TĐ!$B$36:$B$45)=TRIM(E182),0),0),
    MATCH(TRUE, INDEX(TRIM(DATA_TĐ!$B$36:$Z$36)=TRIM(C182),0),0)
  ),
0)</f>
        <v>0</v>
      </c>
      <c r="I182" s="118">
        <f ca="1">H182/DAY(NOW()-1)*'Hieu Qua NV'!$J$1</f>
        <v>0</v>
      </c>
      <c r="J182" s="118">
        <f t="shared" si="44"/>
        <v>0</v>
      </c>
      <c r="K182" s="118">
        <f ca="1">J182/'Hieu Qua NV'!$J$2</f>
        <v>0</v>
      </c>
      <c r="L182" s="119" t="e">
        <f t="shared" ca="1" si="42"/>
        <v>#DIV/0!</v>
      </c>
      <c r="M182" s="118">
        <f ca="1">IFERROR(
INDEX(
KB!$I$55:$AJ$68,
MATCH(E182,KB!$I$55:$I$68,0),
MATCH(D182,KB!$I$55:$AJ$55,0)
),
0)</f>
        <v>0</v>
      </c>
      <c r="S182" s="669" cm="1">
        <f t="array" aca="1" ref="S182" ca="1">_xlfn.IFS(
CONFIG!$B$8="W1",H182-N182,
CONFIG!$B$8="W2",H182-O182,
CONFIG!$B$8="W3",H182-P182,
CONFIG!$B$8="W4",H182-Q182,
CONFIG!$B$8="W5",H182-R182
)</f>
        <v>0</v>
      </c>
      <c r="T182" s="652">
        <f t="shared" ca="1" si="38"/>
        <v>0</v>
      </c>
    </row>
    <row r="183" spans="3:20">
      <c r="C183" s="120" t="str">
        <f>INDEX(KB!C:D,MATCH(D183,KB!D:D,0),1)</f>
        <v>Máy Lọc nước</v>
      </c>
      <c r="D183" s="120" t="s">
        <v>26</v>
      </c>
      <c r="E183" s="120" t="s">
        <v>20</v>
      </c>
      <c r="F183" s="121" t="str">
        <f t="shared" si="43"/>
        <v>Máy Lọc nướcTổng</v>
      </c>
      <c r="G183" s="122">
        <f t="shared" ref="G183" si="51">SUM(G170:G181)</f>
        <v>262.65599999999995</v>
      </c>
      <c r="H183" s="122">
        <f t="shared" ref="H183:I183" si="52">SUM(H170:H181)</f>
        <v>42.04</v>
      </c>
      <c r="I183" s="122">
        <f t="shared" ca="1" si="52"/>
        <v>210.2</v>
      </c>
      <c r="J183" s="122">
        <f t="shared" si="44"/>
        <v>220.61599999999996</v>
      </c>
      <c r="K183" s="122">
        <f ca="1">J183/'Hieu Qua NV'!$J$2</f>
        <v>9.5919999999999987</v>
      </c>
      <c r="L183" s="119">
        <f t="shared" ca="1" si="42"/>
        <v>0.80028630604288509</v>
      </c>
      <c r="M183" s="122">
        <f t="shared" ref="M183" ca="1" si="53">SUM(M170:M181)</f>
        <v>65</v>
      </c>
      <c r="S183" s="669" cm="1">
        <f t="array" aca="1" ref="S183" ca="1">_xlfn.IFS(
CONFIG!$B$8="W1",H183-N183,
CONFIG!$B$8="W2",H183-O183,
CONFIG!$B$8="W3",H183-P183,
CONFIG!$B$8="W4",H183-Q183,
CONFIG!$B$8="W5",H183-R183
)</f>
        <v>42.04</v>
      </c>
      <c r="T183" s="652">
        <f t="shared" ca="1" si="38"/>
        <v>0.64676923076923076</v>
      </c>
    </row>
    <row r="184" spans="3:20">
      <c r="C184" s="116" t="str">
        <f>INDEX(KB!C:D,MATCH(D184,KB!D:D,0),1)</f>
        <v>Quạt gió</v>
      </c>
      <c r="D184" s="116" t="s">
        <v>229</v>
      </c>
      <c r="E184" s="321" t="s">
        <v>57</v>
      </c>
      <c r="F184" s="116" t="str">
        <f t="shared" si="43"/>
        <v>Quạt gióNguyễn Thị Ngọc - 54026</v>
      </c>
      <c r="G184" s="118" cm="1">
        <f t="array" ref="G184">IFERROR(INDEX(KB!$I$38:$AJ$50,MATCH(XL_DT_TD!E184,KB!$I$38:$I$50,0),MATCH(XL_DT_TD!D184,KB!$J$37:$AJ$37,0)+1),0)</f>
        <v>10.44</v>
      </c>
      <c r="H184" s="118" cm="1">
        <f t="array" ref="H184">IFERROR(INDEX(DATA_TĐ!$B$1:$AZ$19,MATCH(XL_DT_TD!E184,DATA_TĐ!B:B,0),MATCH(XL_DT_TD!C184,DATA_TĐ!$1:$1,0)-1),0)</f>
        <v>1.04</v>
      </c>
      <c r="I184" s="118">
        <f ca="1">H184/DAY(NOW()-1)*'Hieu Qua NV'!$J$1</f>
        <v>5.2</v>
      </c>
      <c r="J184" s="118">
        <f t="shared" si="44"/>
        <v>9.3999999999999986</v>
      </c>
      <c r="K184" s="118">
        <f ca="1">J184/'Hieu Qua NV'!$J$2</f>
        <v>0.40869565217391296</v>
      </c>
      <c r="L184" s="119">
        <f t="shared" ca="1" si="42"/>
        <v>0.4980842911877395</v>
      </c>
      <c r="M184" s="118">
        <f ca="1">IFERROR(
INDEX(
KB!$I$55:$AJ$68,
MATCH(E184,KB!$I$55:$I$68,0),
MATCH(D184,KB!$I$55:$AJ$55,0)
),
0)</f>
        <v>3</v>
      </c>
      <c r="S184" s="669" cm="1">
        <f t="array" aca="1" ref="S184" ca="1">_xlfn.IFS(
CONFIG!$B$8="W1",H184-N184,
CONFIG!$B$8="W2",H184-O184,
CONFIG!$B$8="W3",H184-P184,
CONFIG!$B$8="W4",H184-Q184,
CONFIG!$B$8="W5",H184-R184
)</f>
        <v>1.04</v>
      </c>
      <c r="T184" s="652">
        <f t="shared" ca="1" si="38"/>
        <v>0.34666666666666668</v>
      </c>
    </row>
    <row r="185" spans="3:20">
      <c r="C185" s="116" t="str">
        <f>INDEX(KB!C:D,MATCH(D185,KB!D:D,0),1)</f>
        <v>Quạt gió</v>
      </c>
      <c r="D185" s="116" t="s">
        <v>229</v>
      </c>
      <c r="E185" s="321" t="s">
        <v>60</v>
      </c>
      <c r="F185" s="116" t="str">
        <f t="shared" si="43"/>
        <v>Quạt gióNguyễn Viết Sơn - 94065</v>
      </c>
      <c r="G185" s="118" cm="1">
        <f t="array" ref="G185">IFERROR(INDEX(KB!$I$38:$AJ$50,MATCH(XL_DT_TD!E185,KB!$I$38:$I$50,0),MATCH(XL_DT_TD!D185,KB!$J$37:$AJ$37,0)+1),0)</f>
        <v>15.311999999999999</v>
      </c>
      <c r="H185" s="118" cm="1">
        <f t="array" ref="H185">IFERROR(INDEX(DATA_TĐ!$B$1:$AZ$19,MATCH(XL_DT_TD!E185,DATA_TĐ!B:B,0),MATCH(XL_DT_TD!C185,DATA_TĐ!$1:$1,0)-1),0)</f>
        <v>1.85</v>
      </c>
      <c r="I185" s="118">
        <f ca="1">H185/DAY(NOW()-1)*'Hieu Qua NV'!$J$1</f>
        <v>9.25</v>
      </c>
      <c r="J185" s="118">
        <f t="shared" si="44"/>
        <v>13.462</v>
      </c>
      <c r="K185" s="118">
        <f ca="1">J185/'Hieu Qua NV'!$J$2</f>
        <v>0.58530434782608698</v>
      </c>
      <c r="L185" s="119">
        <f t="shared" ca="1" si="42"/>
        <v>0.60410135841170332</v>
      </c>
      <c r="M185" s="118">
        <f ca="1">IFERROR(
INDEX(
KB!$I$55:$AJ$68,
MATCH(E185,KB!$I$55:$I$68,0),
MATCH(D185,KB!$I$55:$AJ$55,0)
),
0)</f>
        <v>4</v>
      </c>
      <c r="S185" s="669" cm="1">
        <f t="array" aca="1" ref="S185" ca="1">_xlfn.IFS(
CONFIG!$B$8="W1",H185-N185,
CONFIG!$B$8="W2",H185-O185,
CONFIG!$B$8="W3",H185-P185,
CONFIG!$B$8="W4",H185-Q185,
CONFIG!$B$8="W5",H185-R185
)</f>
        <v>1.85</v>
      </c>
      <c r="T185" s="652">
        <f t="shared" ca="1" si="38"/>
        <v>0.46250000000000002</v>
      </c>
    </row>
    <row r="186" spans="3:20">
      <c r="C186" s="116" t="str">
        <f>INDEX(KB!C:D,MATCH(D186,KB!D:D,0),1)</f>
        <v>Quạt gió</v>
      </c>
      <c r="D186" s="116" t="s">
        <v>229</v>
      </c>
      <c r="E186" s="321" t="s">
        <v>15</v>
      </c>
      <c r="F186" s="116" t="str">
        <f t="shared" si="43"/>
        <v>Quạt gióNguyễn Trang Nhung - 25734</v>
      </c>
      <c r="G186" s="118" cm="1">
        <f t="array" ref="G186">IFERROR(INDEX(KB!$I$38:$AJ$50,MATCH(XL_DT_TD!E186,KB!$I$38:$I$50,0),MATCH(XL_DT_TD!D186,KB!$J$37:$AJ$37,0)+1),0)</f>
        <v>12.527999999999999</v>
      </c>
      <c r="H186" s="118" cm="1">
        <f t="array" ref="H186">IFERROR(INDEX(DATA_TĐ!$B$1:$AZ$19,MATCH(XL_DT_TD!E186,DATA_TĐ!B:B,0),MATCH(XL_DT_TD!C186,DATA_TĐ!$1:$1,0)-1),0)</f>
        <v>0</v>
      </c>
      <c r="I186" s="118">
        <f ca="1">H186/DAY(NOW()-1)*'Hieu Qua NV'!$J$1</f>
        <v>0</v>
      </c>
      <c r="J186" s="118">
        <f t="shared" si="44"/>
        <v>12.527999999999999</v>
      </c>
      <c r="K186" s="118">
        <f ca="1">J186/'Hieu Qua NV'!$J$2</f>
        <v>0.54469565217391303</v>
      </c>
      <c r="L186" s="119">
        <f t="shared" ca="1" si="42"/>
        <v>0</v>
      </c>
      <c r="M186" s="118">
        <f ca="1">IFERROR(
INDEX(
KB!$I$55:$AJ$68,
MATCH(E186,KB!$I$55:$I$68,0),
MATCH(D186,KB!$I$55:$AJ$55,0)
),
0)</f>
        <v>3</v>
      </c>
      <c r="S186" s="669" cm="1">
        <f t="array" aca="1" ref="S186" ca="1">_xlfn.IFS(
CONFIG!$B$8="W1",H186-N186,
CONFIG!$B$8="W2",H186-O186,
CONFIG!$B$8="W3",H186-P186,
CONFIG!$B$8="W4",H186-Q186,
CONFIG!$B$8="W5",H186-R186
)</f>
        <v>0</v>
      </c>
      <c r="T186" s="652">
        <f t="shared" ca="1" si="38"/>
        <v>0</v>
      </c>
    </row>
    <row r="187" spans="3:20">
      <c r="C187" s="116" t="str">
        <f>INDEX(KB!C:D,MATCH(D187,KB!D:D,0),1)</f>
        <v>Quạt gió</v>
      </c>
      <c r="D187" s="116" t="s">
        <v>229</v>
      </c>
      <c r="E187" s="321" t="s">
        <v>151</v>
      </c>
      <c r="F187" s="116" t="str">
        <f t="shared" si="43"/>
        <v>Quạt gióTrần Huy Hoàn - 270828</v>
      </c>
      <c r="G187" s="118" cm="1">
        <f t="array" ref="G187">IFERROR(INDEX(KB!$I$38:$AJ$50,MATCH(XL_DT_TD!E187,KB!$I$38:$I$50,0),MATCH(XL_DT_TD!D187,KB!$J$37:$AJ$37,0)+1),0)</f>
        <v>10.44</v>
      </c>
      <c r="H187" s="118" cm="1">
        <f t="array" ref="H187">IFERROR(INDEX(DATA_TĐ!$B$1:$AZ$19,MATCH(XL_DT_TD!E187,DATA_TĐ!B:B,0),MATCH(XL_DT_TD!C187,DATA_TĐ!$1:$1,0)-1),0)</f>
        <v>1.1599999999999999</v>
      </c>
      <c r="I187" s="118">
        <f ca="1">H187/DAY(NOW()-1)*'Hieu Qua NV'!$J$1</f>
        <v>5.8</v>
      </c>
      <c r="J187" s="118">
        <f t="shared" si="44"/>
        <v>9.2799999999999994</v>
      </c>
      <c r="K187" s="118">
        <f ca="1">J187/'Hieu Qua NV'!$J$2</f>
        <v>0.40347826086956518</v>
      </c>
      <c r="L187" s="119">
        <f t="shared" ca="1" si="42"/>
        <v>0.55555555555555558</v>
      </c>
      <c r="M187" s="118">
        <f ca="1">IFERROR(
INDEX(
KB!$I$55:$AJ$68,
MATCH(E187,KB!$I$55:$I$68,0),
MATCH(D187,KB!$I$55:$AJ$55,0)
),
0)</f>
        <v>3</v>
      </c>
      <c r="S187" s="669" cm="1">
        <f t="array" aca="1" ref="S187" ca="1">_xlfn.IFS(
CONFIG!$B$8="W1",H187-N187,
CONFIG!$B$8="W2",H187-O187,
CONFIG!$B$8="W3",H187-P187,
CONFIG!$B$8="W4",H187-Q187,
CONFIG!$B$8="W5",H187-R187
)</f>
        <v>1.1599999999999999</v>
      </c>
      <c r="T187" s="652">
        <f t="shared" ca="1" si="38"/>
        <v>0.38666666666666666</v>
      </c>
    </row>
    <row r="188" spans="3:20">
      <c r="C188" s="116" t="str">
        <f>INDEX(KB!C:D,MATCH(D188,KB!D:D,0),1)</f>
        <v>Quạt gió</v>
      </c>
      <c r="D188" s="116" t="s">
        <v>229</v>
      </c>
      <c r="E188" s="321" t="s">
        <v>293</v>
      </c>
      <c r="F188" s="116" t="str">
        <f t="shared" si="43"/>
        <v>Quạt gióPhạm Văn Thanh - 279935</v>
      </c>
      <c r="G188" s="118" cm="1">
        <f t="array" ref="G188">IFERROR(INDEX(KB!$I$38:$AJ$50,MATCH(XL_DT_TD!E188,KB!$I$38:$I$50,0),MATCH(XL_DT_TD!D188,KB!$J$37:$AJ$37,0)+1),0)</f>
        <v>6.96</v>
      </c>
      <c r="H188" s="118" cm="1">
        <f t="array" ref="H188">IFERROR(INDEX(DATA_TĐ!$B$1:$AZ$19,MATCH(XL_DT_TD!E188,DATA_TĐ!B:B,0),MATCH(XL_DT_TD!C188,DATA_TĐ!$1:$1,0)-1),0)</f>
        <v>0.18</v>
      </c>
      <c r="I188" s="118">
        <f ca="1">H188/DAY(NOW()-1)*'Hieu Qua NV'!$J$1</f>
        <v>0.89999999999999991</v>
      </c>
      <c r="J188" s="118">
        <f t="shared" si="44"/>
        <v>6.78</v>
      </c>
      <c r="K188" s="118">
        <f ca="1">J188/'Hieu Qua NV'!$J$2</f>
        <v>0.2947826086956522</v>
      </c>
      <c r="L188" s="119">
        <f t="shared" ca="1" si="42"/>
        <v>0.12931034482758619</v>
      </c>
      <c r="M188" s="118">
        <f ca="1">IFERROR(
INDEX(
KB!$I$55:$AJ$68,
MATCH(E188,KB!$I$55:$I$68,0),
MATCH(D188,KB!$I$55:$AJ$55,0)
),
0)</f>
        <v>2</v>
      </c>
      <c r="S188" s="669" cm="1">
        <f t="array" aca="1" ref="S188" ca="1">_xlfn.IFS(
CONFIG!$B$8="W1",H188-N188,
CONFIG!$B$8="W2",H188-O188,
CONFIG!$B$8="W3",H188-P188,
CONFIG!$B$8="W4",H188-Q188,
CONFIG!$B$8="W5",H188-R188
)</f>
        <v>0.18</v>
      </c>
      <c r="T188" s="652">
        <f t="shared" ca="1" si="38"/>
        <v>0.09</v>
      </c>
    </row>
    <row r="189" spans="3:20">
      <c r="C189" s="116" t="str">
        <f>INDEX(KB!C:D,MATCH(D189,KB!D:D,0),1)</f>
        <v>Quạt gió</v>
      </c>
      <c r="D189" s="116" t="s">
        <v>229</v>
      </c>
      <c r="E189" s="321" t="s">
        <v>433</v>
      </c>
      <c r="F189" s="116" t="str">
        <f t="shared" si="43"/>
        <v>Quạt gióNguyễn Thành Đạt - 280855</v>
      </c>
      <c r="G189" s="118" cm="1">
        <f t="array" ref="G189">IFERROR(INDEX(KB!$I$38:$AJ$50,MATCH(XL_DT_TD!E189,KB!$I$38:$I$50,0),MATCH(XL_DT_TD!D189,KB!$J$37:$AJ$37,0)+1),0)</f>
        <v>6.96</v>
      </c>
      <c r="H189" s="118" cm="1">
        <f t="array" ref="H189">IFERROR(INDEX(DATA_TĐ!$B$1:$AZ$19,MATCH(XL_DT_TD!E189,DATA_TĐ!B:B,0),MATCH(XL_DT_TD!C189,DATA_TĐ!$1:$1,0)-1),0)</f>
        <v>1.28</v>
      </c>
      <c r="I189" s="118">
        <f ca="1">H189/DAY(NOW()-1)*'Hieu Qua NV'!$J$1</f>
        <v>6.4</v>
      </c>
      <c r="J189" s="118">
        <f t="shared" si="44"/>
        <v>5.68</v>
      </c>
      <c r="K189" s="118">
        <f ca="1">J189/'Hieu Qua NV'!$J$2</f>
        <v>0.24695652173913044</v>
      </c>
      <c r="L189" s="119">
        <f t="shared" ca="1" si="42"/>
        <v>0.91954022988505757</v>
      </c>
      <c r="M189" s="118">
        <f ca="1">IFERROR(
INDEX(
KB!$I$55:$AJ$68,
MATCH(E189,KB!$I$55:$I$68,0),
MATCH(D189,KB!$I$55:$AJ$55,0)
),
0)</f>
        <v>2</v>
      </c>
      <c r="S189" s="669" cm="1">
        <f t="array" aca="1" ref="S189" ca="1">_xlfn.IFS(
CONFIG!$B$8="W1",H189-N189,
CONFIG!$B$8="W2",H189-O189,
CONFIG!$B$8="W3",H189-P189,
CONFIG!$B$8="W4",H189-Q189,
CONFIG!$B$8="W5",H189-R189
)</f>
        <v>1.28</v>
      </c>
      <c r="T189" s="652">
        <f t="shared" ca="1" si="38"/>
        <v>0.64</v>
      </c>
    </row>
    <row r="190" spans="3:20">
      <c r="C190" s="116" t="str">
        <f>INDEX(KB!C:D,MATCH(D190,KB!D:D,0),1)</f>
        <v>Quạt gió</v>
      </c>
      <c r="D190" s="116" t="s">
        <v>229</v>
      </c>
      <c r="E190" s="321" t="s">
        <v>56</v>
      </c>
      <c r="F190" s="116" t="str">
        <f t="shared" si="43"/>
        <v>Quạt gióĐỗ Văn Duân - 62025</v>
      </c>
      <c r="G190" s="118" cm="1">
        <f t="array" ref="G190">IFERROR(INDEX(KB!$I$38:$AJ$50,MATCH(XL_DT_TD!E190,KB!$I$38:$I$50,0),MATCH(XL_DT_TD!D190,KB!$J$37:$AJ$37,0)+1),0)</f>
        <v>15.311999999999999</v>
      </c>
      <c r="H190" s="118" cm="1">
        <f t="array" ref="H190">IFERROR(INDEX(DATA_TĐ!$B$1:$AZ$19,MATCH(XL_DT_TD!E190,DATA_TĐ!B:B,0),MATCH(XL_DT_TD!C190,DATA_TĐ!$1:$1,0)-1),0)</f>
        <v>0</v>
      </c>
      <c r="I190" s="118">
        <f ca="1">H190/DAY(NOW()-1)*'Hieu Qua NV'!$J$1</f>
        <v>0</v>
      </c>
      <c r="J190" s="118">
        <f t="shared" si="44"/>
        <v>15.311999999999999</v>
      </c>
      <c r="K190" s="118">
        <f ca="1">J190/'Hieu Qua NV'!$J$2</f>
        <v>0.66573913043478261</v>
      </c>
      <c r="L190" s="119">
        <f t="shared" ca="1" si="42"/>
        <v>0</v>
      </c>
      <c r="M190" s="118">
        <f ca="1">IFERROR(
INDEX(
KB!$I$55:$AJ$68,
MATCH(E190,KB!$I$55:$I$68,0),
MATCH(D190,KB!$I$55:$AJ$55,0)
),
0)</f>
        <v>4</v>
      </c>
      <c r="S190" s="669" cm="1">
        <f t="array" aca="1" ref="S190" ca="1">_xlfn.IFS(
CONFIG!$B$8="W1",H190-N190,
CONFIG!$B$8="W2",H190-O190,
CONFIG!$B$8="W3",H190-P190,
CONFIG!$B$8="W4",H190-Q190,
CONFIG!$B$8="W5",H190-R190
)</f>
        <v>0</v>
      </c>
      <c r="T190" s="652">
        <f t="shared" ca="1" si="38"/>
        <v>0</v>
      </c>
    </row>
    <row r="191" spans="3:20">
      <c r="C191" s="116" t="str">
        <f>INDEX(KB!C:D,MATCH(D191,KB!D:D,0),1)</f>
        <v>Quạt gió</v>
      </c>
      <c r="D191" s="116" t="s">
        <v>229</v>
      </c>
      <c r="E191" s="321" t="s">
        <v>530</v>
      </c>
      <c r="F191" s="116" t="str">
        <f t="shared" si="43"/>
        <v>Quạt gióNhân viên Mới 1</v>
      </c>
      <c r="G191" s="118" cm="1">
        <f t="array" ref="G191">IFERROR(INDEX(KB!$I$38:$AJ$50,MATCH(XL_DT_TD!E191,KB!$I$38:$I$50,0),MATCH(XL_DT_TD!D191,KB!$J$37:$AJ$37,0)+1),0)</f>
        <v>0</v>
      </c>
      <c r="H191" s="118" cm="1">
        <f t="array" ref="H191">IFERROR(INDEX(DATA_TĐ!$B$1:$AZ$19,MATCH(XL_DT_TD!E191,DATA_TĐ!B:B,0),MATCH(XL_DT_TD!C191,DATA_TĐ!$1:$1,0)-1),0)</f>
        <v>0</v>
      </c>
      <c r="I191" s="118">
        <f ca="1">H191/DAY(NOW()-1)*'Hieu Qua NV'!$J$1</f>
        <v>0</v>
      </c>
      <c r="J191" s="118">
        <f t="shared" si="44"/>
        <v>0</v>
      </c>
      <c r="K191" s="118">
        <f ca="1">J191/'Hieu Qua NV'!$J$2</f>
        <v>0</v>
      </c>
      <c r="L191" s="119" t="e">
        <f t="shared" ca="1" si="42"/>
        <v>#DIV/0!</v>
      </c>
      <c r="M191" s="118">
        <f ca="1">IFERROR(
INDEX(
KB!$I$55:$AJ$68,
MATCH(E191,KB!$I$55:$I$68,0),
MATCH(D191,KB!$I$55:$AJ$55,0)
),
0)</f>
        <v>0</v>
      </c>
      <c r="S191" s="669" cm="1">
        <f t="array" aca="1" ref="S191" ca="1">_xlfn.IFS(
CONFIG!$B$8="W1",H191-N191,
CONFIG!$B$8="W2",H191-O191,
CONFIG!$B$8="W3",H191-P191,
CONFIG!$B$8="W4",H191-Q191,
CONFIG!$B$8="W5",H191-R191
)</f>
        <v>0</v>
      </c>
      <c r="T191" s="652">
        <f t="shared" ca="1" si="38"/>
        <v>0</v>
      </c>
    </row>
    <row r="192" spans="3:20">
      <c r="C192" s="116" t="str">
        <f>INDEX(KB!C:D,MATCH(D192,KB!D:D,0),1)</f>
        <v>Quạt gió</v>
      </c>
      <c r="D192" s="116" t="s">
        <v>229</v>
      </c>
      <c r="E192" s="321" t="s">
        <v>560</v>
      </c>
      <c r="F192" s="116" t="str">
        <f t="shared" si="43"/>
        <v>Quạt gióNhân viên Mới 2</v>
      </c>
      <c r="G192" s="118" cm="1">
        <f t="array" ref="G192">IFERROR(INDEX(KB!$I$38:$AJ$50,MATCH(XL_DT_TD!E192,KB!$I$38:$I$50,0),MATCH(XL_DT_TD!D192,KB!$J$37:$AJ$37,0)+1),0)</f>
        <v>0</v>
      </c>
      <c r="H192" s="118" cm="1">
        <f t="array" ref="H192">IFERROR(INDEX(DATA_TĐ!$B$1:$AZ$19,MATCH(XL_DT_TD!E192,DATA_TĐ!B:B,0),MATCH(XL_DT_TD!C192,DATA_TĐ!$1:$1,0)-1),0)</f>
        <v>0</v>
      </c>
      <c r="I192" s="118">
        <f ca="1">H192/DAY(NOW()-1)*'Hieu Qua NV'!$J$1</f>
        <v>0</v>
      </c>
      <c r="J192" s="118">
        <f t="shared" si="44"/>
        <v>0</v>
      </c>
      <c r="K192" s="118">
        <f ca="1">J192/'Hieu Qua NV'!$J$2</f>
        <v>0</v>
      </c>
      <c r="L192" s="119" t="e">
        <f t="shared" ca="1" si="42"/>
        <v>#DIV/0!</v>
      </c>
      <c r="M192" s="118">
        <f ca="1">IFERROR(
INDEX(
KB!$I$55:$AJ$68,
MATCH(E192,KB!$I$55:$I$68,0),
MATCH(D192,KB!$I$55:$AJ$55,0)
),
0)</f>
        <v>0</v>
      </c>
      <c r="S192" s="669" cm="1">
        <f t="array" aca="1" ref="S192" ca="1">_xlfn.IFS(
CONFIG!$B$8="W1",H192-N192,
CONFIG!$B$8="W2",H192-O192,
CONFIG!$B$8="W3",H192-P192,
CONFIG!$B$8="W4",H192-Q192,
CONFIG!$B$8="W5",H192-R192
)</f>
        <v>0</v>
      </c>
      <c r="T192" s="652">
        <f t="shared" ca="1" si="38"/>
        <v>0</v>
      </c>
    </row>
    <row r="193" spans="3:20">
      <c r="C193" s="116" t="str">
        <f>INDEX(KB!C:D,MATCH(D193,KB!D:D,0),1)</f>
        <v>Quạt gió</v>
      </c>
      <c r="D193" s="116" t="s">
        <v>229</v>
      </c>
      <c r="E193" s="117" t="s">
        <v>281</v>
      </c>
      <c r="F193" s="116" t="str">
        <f t="shared" si="43"/>
        <v>Quạt gióTrần Thị Nhung - 11082</v>
      </c>
      <c r="G193" s="118" cm="1">
        <f t="array" ref="G193">IFERROR(INDEX(KB!$I$38:$AJ$50,MATCH(XL_DT_TD!E193,KB!$I$38:$I$50,0),MATCH(XL_DT_TD!D193,KB!$J$37:$AJ$37,0)+1),0)</f>
        <v>0</v>
      </c>
      <c r="H193" s="118" cm="1">
        <f t="array" ref="H193">IFERROR(
  INDEX(DATA_TĐ!$B$36:$Z$47,
    MATCH(TRUE, INDEX(TRIM(DATA_TĐ!$B$36:$B$45)=TRIM(E193),0),0),
    MATCH(TRUE, INDEX(TRIM(DATA_TĐ!$B$36:$Z$36)=TRIM(C193),0),0)
  ),
0)</f>
        <v>0</v>
      </c>
      <c r="I193" s="118">
        <f ca="1">H193/DAY(NOW()-1)*'Hieu Qua NV'!$J$1</f>
        <v>0</v>
      </c>
      <c r="J193" s="118">
        <f t="shared" si="44"/>
        <v>0</v>
      </c>
      <c r="K193" s="118">
        <f ca="1">J193/'Hieu Qua NV'!$J$2</f>
        <v>0</v>
      </c>
      <c r="L193" s="119" t="e">
        <f t="shared" ca="1" si="42"/>
        <v>#DIV/0!</v>
      </c>
      <c r="M193" s="118">
        <f ca="1">IFERROR(
INDEX(
KB!$I$55:$AJ$68,
MATCH(E193,KB!$I$55:$I$68,0),
MATCH(D193,KB!$I$55:$AJ$55,0)
),
0)</f>
        <v>0</v>
      </c>
      <c r="S193" s="669" cm="1">
        <f t="array" aca="1" ref="S193" ca="1">_xlfn.IFS(
CONFIG!$B$8="W1",H193-N193,
CONFIG!$B$8="W2",H193-O193,
CONFIG!$B$8="W3",H193-P193,
CONFIG!$B$8="W4",H193-Q193,
CONFIG!$B$8="W5",H193-R193
)</f>
        <v>0</v>
      </c>
      <c r="T193" s="652">
        <f t="shared" ca="1" si="38"/>
        <v>0</v>
      </c>
    </row>
    <row r="194" spans="3:20">
      <c r="C194" s="116" t="str">
        <f>INDEX(KB!C:D,MATCH(D194,KB!D:D,0),1)</f>
        <v>Quạt gió</v>
      </c>
      <c r="D194" s="116" t="s">
        <v>229</v>
      </c>
      <c r="E194" s="117" t="s">
        <v>282</v>
      </c>
      <c r="F194" s="116" t="str">
        <f t="shared" si="43"/>
        <v>Quạt gióNguyễn Thị Phương Oanh - 164808</v>
      </c>
      <c r="G194" s="118" cm="1">
        <f t="array" ref="G194">IFERROR(INDEX(KB!$I$38:$AJ$50,MATCH(XL_DT_TD!E194,KB!$I$38:$I$50,0),MATCH(XL_DT_TD!D194,KB!$J$37:$AJ$37,0)+1),0)</f>
        <v>0</v>
      </c>
      <c r="H194" s="118" cm="1">
        <f t="array" ref="H194">IFERROR(
  INDEX(DATA_TĐ!$B$36:$Z$47,
    MATCH(TRUE, INDEX(TRIM(DATA_TĐ!$B$36:$B$45)=TRIM(E194),0),0),
    MATCH(TRUE, INDEX(TRIM(DATA_TĐ!$B$36:$Z$36)=TRIM(C194),0),0)
  ),
0)</f>
        <v>0</v>
      </c>
      <c r="I194" s="118">
        <f ca="1">H194/DAY(NOW()-1)*'Hieu Qua NV'!$J$1</f>
        <v>0</v>
      </c>
      <c r="J194" s="118">
        <f t="shared" si="44"/>
        <v>0</v>
      </c>
      <c r="K194" s="118">
        <f ca="1">J194/'Hieu Qua NV'!$J$2</f>
        <v>0</v>
      </c>
      <c r="L194" s="119" t="e">
        <f t="shared" ca="1" si="42"/>
        <v>#DIV/0!</v>
      </c>
      <c r="M194" s="118">
        <f ca="1">IFERROR(
INDEX(
KB!$I$55:$AJ$68,
MATCH(E194,KB!$I$55:$I$68,0),
MATCH(D194,KB!$I$55:$AJ$55,0)
),
0)</f>
        <v>0</v>
      </c>
      <c r="S194" s="669" cm="1">
        <f t="array" aca="1" ref="S194" ca="1">_xlfn.IFS(
CONFIG!$B$8="W1",H194-N194,
CONFIG!$B$8="W2",H194-O194,
CONFIG!$B$8="W3",H194-P194,
CONFIG!$B$8="W4",H194-Q194,
CONFIG!$B$8="W5",H194-R194
)</f>
        <v>0</v>
      </c>
      <c r="T194" s="652">
        <f t="shared" ca="1" si="38"/>
        <v>0</v>
      </c>
    </row>
    <row r="195" spans="3:20">
      <c r="C195" s="116" t="str">
        <f>INDEX(KB!C:D,MATCH(D195,KB!D:D,0),1)</f>
        <v>Quạt gió</v>
      </c>
      <c r="D195" s="116" t="s">
        <v>229</v>
      </c>
      <c r="E195" s="117" t="s">
        <v>283</v>
      </c>
      <c r="F195" s="116" t="str">
        <f t="shared" si="43"/>
        <v>Quạt gióNguyễn Anh Tài - 269055</v>
      </c>
      <c r="G195" s="118" cm="1">
        <f t="array" ref="G195">IFERROR(INDEX(KB!$I$38:$AJ$50,MATCH(XL_DT_TD!E195,KB!$I$38:$I$50,0),MATCH(XL_DT_TD!D195,KB!$J$37:$AJ$37,0)+1),0)</f>
        <v>0</v>
      </c>
      <c r="H195" s="118" cm="1">
        <f t="array" ref="H195">IFERROR(
  INDEX(DATA_TĐ!$B$36:$Z$47,
    MATCH(TRUE, INDEX(TRIM(DATA_TĐ!$B$36:$B$45)=TRIM(E195),0),0),
    MATCH(TRUE, INDEX(TRIM(DATA_TĐ!$B$36:$Z$36)=TRIM(C195),0),0)
  ),
0)</f>
        <v>0</v>
      </c>
      <c r="I195" s="118">
        <f ca="1">H195/DAY(NOW()-1)*'Hieu Qua NV'!$J$1</f>
        <v>0</v>
      </c>
      <c r="J195" s="118">
        <f t="shared" si="44"/>
        <v>0</v>
      </c>
      <c r="K195" s="118">
        <f ca="1">J195/'Hieu Qua NV'!$J$2</f>
        <v>0</v>
      </c>
      <c r="L195" s="119" t="e">
        <f t="shared" ca="1" si="42"/>
        <v>#DIV/0!</v>
      </c>
      <c r="M195" s="118">
        <f ca="1">IFERROR(
INDEX(
KB!$I$55:$AJ$68,
MATCH(E195,KB!$I$55:$I$68,0),
MATCH(D195,KB!$I$55:$AJ$55,0)
),
0)</f>
        <v>0</v>
      </c>
      <c r="S195" s="669" cm="1">
        <f t="array" aca="1" ref="S195" ca="1">_xlfn.IFS(
CONFIG!$B$8="W1",H195-N195,
CONFIG!$B$8="W2",H195-O195,
CONFIG!$B$8="W3",H195-P195,
CONFIG!$B$8="W4",H195-Q195,
CONFIG!$B$8="W5",H195-R195
)</f>
        <v>0</v>
      </c>
      <c r="T195" s="652">
        <f t="shared" ref="T195:T258" ca="1" si="54">IF(M195=0,0,S195/M195)</f>
        <v>0</v>
      </c>
    </row>
    <row r="196" spans="3:20">
      <c r="C196" s="116" t="str">
        <f>INDEX(KB!C:D,MATCH(D196,KB!D:D,0),1)</f>
        <v>Quạt gió</v>
      </c>
      <c r="D196" s="116" t="s">
        <v>229</v>
      </c>
      <c r="E196" s="117" t="s">
        <v>284</v>
      </c>
      <c r="F196" s="116" t="str">
        <f t="shared" si="43"/>
        <v>Quạt gióLê Văn Hợp - 279884</v>
      </c>
      <c r="G196" s="118" cm="1">
        <f t="array" ref="G196">IFERROR(INDEX(KB!$I$38:$AJ$50,MATCH(XL_DT_TD!E196,KB!$I$38:$I$50,0),MATCH(XL_DT_TD!D196,KB!$J$37:$AJ$37,0)+1),0)</f>
        <v>0</v>
      </c>
      <c r="H196" s="118" cm="1">
        <f t="array" ref="H196">IFERROR(
  INDEX(DATA_TĐ!$B$36:$Z$47,
    MATCH(TRUE, INDEX(TRIM(DATA_TĐ!$B$36:$B$45)=TRIM(E196),0),0),
    MATCH(TRUE, INDEX(TRIM(DATA_TĐ!$B$36:$Z$36)=TRIM(C196),0),0)
  ),
0)</f>
        <v>0</v>
      </c>
      <c r="I196" s="118">
        <f ca="1">H196/DAY(NOW()-1)*'Hieu Qua NV'!$J$1</f>
        <v>0</v>
      </c>
      <c r="J196" s="118">
        <f t="shared" si="44"/>
        <v>0</v>
      </c>
      <c r="K196" s="118">
        <f ca="1">J196/'Hieu Qua NV'!$J$2</f>
        <v>0</v>
      </c>
      <c r="L196" s="119" t="e">
        <f t="shared" ca="1" si="42"/>
        <v>#DIV/0!</v>
      </c>
      <c r="M196" s="118">
        <f ca="1">IFERROR(
INDEX(
KB!$I$55:$AJ$68,
MATCH(E196,KB!$I$55:$I$68,0),
MATCH(D196,KB!$I$55:$AJ$55,0)
),
0)</f>
        <v>0</v>
      </c>
      <c r="S196" s="669" cm="1">
        <f t="array" aca="1" ref="S196" ca="1">_xlfn.IFS(
CONFIG!$B$8="W1",H196-N196,
CONFIG!$B$8="W2",H196-O196,
CONFIG!$B$8="W3",H196-P196,
CONFIG!$B$8="W4",H196-Q196,
CONFIG!$B$8="W5",H196-R196
)</f>
        <v>0</v>
      </c>
      <c r="T196" s="652">
        <f t="shared" ca="1" si="54"/>
        <v>0</v>
      </c>
    </row>
    <row r="197" spans="3:20">
      <c r="C197" s="120" t="str">
        <f>INDEX(KB!C:D,MATCH(D197,KB!D:D,0),1)</f>
        <v>Quạt gió</v>
      </c>
      <c r="D197" s="120" t="s">
        <v>229</v>
      </c>
      <c r="E197" s="120" t="s">
        <v>20</v>
      </c>
      <c r="F197" s="121" t="str">
        <f t="shared" si="43"/>
        <v>Quạt gióTổng</v>
      </c>
      <c r="G197" s="122">
        <f t="shared" ref="G197" si="55">SUM(G184:G195)</f>
        <v>77.951999999999998</v>
      </c>
      <c r="H197" s="122">
        <f t="shared" ref="H197:I197" si="56">SUM(H184:H195)</f>
        <v>5.51</v>
      </c>
      <c r="I197" s="122">
        <f t="shared" ca="1" si="56"/>
        <v>27.549999999999997</v>
      </c>
      <c r="J197" s="122">
        <f t="shared" si="44"/>
        <v>72.441999999999993</v>
      </c>
      <c r="K197" s="122">
        <f ca="1">J197/'Hieu Qua NV'!$J$2</f>
        <v>3.1496521739130432</v>
      </c>
      <c r="L197" s="119">
        <f t="shared" ca="1" si="42"/>
        <v>0.35342261904761901</v>
      </c>
      <c r="M197" s="122">
        <f t="shared" ref="M197" ca="1" si="57">SUM(M184:M195)</f>
        <v>21</v>
      </c>
      <c r="S197" s="669" cm="1">
        <f t="array" aca="1" ref="S197" ca="1">_xlfn.IFS(
CONFIG!$B$8="W1",H197-N197,
CONFIG!$B$8="W2",H197-O197,
CONFIG!$B$8="W3",H197-P197,
CONFIG!$B$8="W4",H197-Q197,
CONFIG!$B$8="W5",H197-R197
)</f>
        <v>5.51</v>
      </c>
      <c r="T197" s="652">
        <f t="shared" ca="1" si="54"/>
        <v>0.26238095238095238</v>
      </c>
    </row>
    <row r="198" spans="3:20">
      <c r="C198" s="116" t="str">
        <f>INDEX(KB!C:D,MATCH(D198,KB!D:D,0),1)</f>
        <v>Camera</v>
      </c>
      <c r="D198" s="116" t="s">
        <v>25</v>
      </c>
      <c r="E198" s="321" t="s">
        <v>57</v>
      </c>
      <c r="F198" s="116" t="str">
        <f t="shared" si="43"/>
        <v>CameraNguyễn Thị Ngọc - 54026</v>
      </c>
      <c r="G198" s="118" cm="1">
        <f t="array" ref="G198">IFERROR(INDEX(KB!$I$38:$AJ$50,MATCH(XL_DT_TD!E198,KB!$I$38:$I$50,0),MATCH(XL_DT_TD!D198,KB!$J$37:$AJ$37,0)+1),0)</f>
        <v>9.5399999999999991</v>
      </c>
      <c r="H198" s="118" cm="1">
        <f t="array" ref="H198">IFERROR(INDEX(DATA_TĐ!$B$1:$AZ$19,MATCH(XL_DT_TD!E198,DATA_TĐ!B:B,0),MATCH(XL_DT_TD!C198,DATA_TĐ!$1:$1,0)-1),0)</f>
        <v>1</v>
      </c>
      <c r="I198" s="118">
        <f ca="1">H198/DAY(NOW()-1)*'Hieu Qua NV'!$J$1</f>
        <v>5</v>
      </c>
      <c r="J198" s="118">
        <f t="shared" si="44"/>
        <v>8.5399999999999991</v>
      </c>
      <c r="K198" s="118">
        <f ca="1">J198/'Hieu Qua NV'!$J$2</f>
        <v>0.3713043478260869</v>
      </c>
      <c r="L198" s="119">
        <f t="shared" ca="1" si="42"/>
        <v>0.52410901467505244</v>
      </c>
      <c r="M198" s="118">
        <f ca="1">IFERROR(
INDEX(
KB!$I$55:$AJ$68,
MATCH(E198,KB!$I$55:$I$68,0),
MATCH(D198,KB!$I$55:$AJ$55,0)
),
0)</f>
        <v>2</v>
      </c>
      <c r="S198" s="669" cm="1">
        <f t="array" aca="1" ref="S198" ca="1">_xlfn.IFS(
CONFIG!$B$8="W1",H198-N198,
CONFIG!$B$8="W2",H198-O198,
CONFIG!$B$8="W3",H198-P198,
CONFIG!$B$8="W4",H198-Q198,
CONFIG!$B$8="W5",H198-R198
)</f>
        <v>1</v>
      </c>
      <c r="T198" s="652">
        <f t="shared" ca="1" si="54"/>
        <v>0.5</v>
      </c>
    </row>
    <row r="199" spans="3:20">
      <c r="C199" s="116" t="str">
        <f>INDEX(KB!C:D,MATCH(D199,KB!D:D,0),1)</f>
        <v>Camera</v>
      </c>
      <c r="D199" s="116" t="s">
        <v>25</v>
      </c>
      <c r="E199" s="321" t="s">
        <v>60</v>
      </c>
      <c r="F199" s="116" t="str">
        <f t="shared" si="43"/>
        <v>CameraNguyễn Viết Sơn - 94065</v>
      </c>
      <c r="G199" s="118" cm="1">
        <f t="array" ref="G199">IFERROR(INDEX(KB!$I$38:$AJ$50,MATCH(XL_DT_TD!E199,KB!$I$38:$I$50,0),MATCH(XL_DT_TD!D199,KB!$J$37:$AJ$37,0)+1),0)</f>
        <v>11.66</v>
      </c>
      <c r="H199" s="118" cm="1">
        <f t="array" ref="H199">IFERROR(INDEX(DATA_TĐ!$B$1:$AZ$19,MATCH(XL_DT_TD!E199,DATA_TĐ!B:B,0),MATCH(XL_DT_TD!C199,DATA_TĐ!$1:$1,0)-1),0)</f>
        <v>0</v>
      </c>
      <c r="I199" s="118">
        <f ca="1">H199/DAY(NOW()-1)*'Hieu Qua NV'!$J$1</f>
        <v>0</v>
      </c>
      <c r="J199" s="118">
        <f t="shared" si="44"/>
        <v>11.66</v>
      </c>
      <c r="K199" s="118">
        <f ca="1">J199/'Hieu Qua NV'!$J$2</f>
        <v>0.50695652173913042</v>
      </c>
      <c r="L199" s="119">
        <f t="shared" ca="1" si="42"/>
        <v>0</v>
      </c>
      <c r="M199" s="118">
        <f ca="1">IFERROR(
INDEX(
KB!$I$55:$AJ$68,
MATCH(E199,KB!$I$55:$I$68,0),
MATCH(D199,KB!$I$55:$AJ$55,0)
),
0)</f>
        <v>3</v>
      </c>
      <c r="S199" s="669" cm="1">
        <f t="array" aca="1" ref="S199" ca="1">_xlfn.IFS(
CONFIG!$B$8="W1",H199-N199,
CONFIG!$B$8="W2",H199-O199,
CONFIG!$B$8="W3",H199-P199,
CONFIG!$B$8="W4",H199-Q199,
CONFIG!$B$8="W5",H199-R199
)</f>
        <v>0</v>
      </c>
      <c r="T199" s="652">
        <f t="shared" ca="1" si="54"/>
        <v>0</v>
      </c>
    </row>
    <row r="200" spans="3:20">
      <c r="C200" s="116" t="str">
        <f>INDEX(KB!C:D,MATCH(D200,KB!D:D,0),1)</f>
        <v>Camera</v>
      </c>
      <c r="D200" s="116" t="s">
        <v>25</v>
      </c>
      <c r="E200" s="321" t="s">
        <v>15</v>
      </c>
      <c r="F200" s="116" t="str">
        <f t="shared" si="43"/>
        <v>CameraNguyễn Trang Nhung - 25734</v>
      </c>
      <c r="G200" s="118" cm="1">
        <f t="array" ref="G200">IFERROR(INDEX(KB!$I$38:$AJ$50,MATCH(XL_DT_TD!E200,KB!$I$38:$I$50,0),MATCH(XL_DT_TD!D200,KB!$J$37:$AJ$37,0)+1),0)</f>
        <v>11.66</v>
      </c>
      <c r="H200" s="118" cm="1">
        <f t="array" ref="H200">IFERROR(INDEX(DATA_TĐ!$B$1:$AZ$19,MATCH(XL_DT_TD!E200,DATA_TĐ!B:B,0),MATCH(XL_DT_TD!C200,DATA_TĐ!$1:$1,0)-1),0)</f>
        <v>3</v>
      </c>
      <c r="I200" s="118">
        <f ca="1">H200/DAY(NOW()-1)*'Hieu Qua NV'!$J$1</f>
        <v>15</v>
      </c>
      <c r="J200" s="118">
        <f t="shared" si="44"/>
        <v>8.66</v>
      </c>
      <c r="K200" s="118">
        <f ca="1">J200/'Hieu Qua NV'!$J$2</f>
        <v>0.3765217391304348</v>
      </c>
      <c r="L200" s="119">
        <f t="shared" ca="1" si="42"/>
        <v>1.2864493996569468</v>
      </c>
      <c r="M200" s="118">
        <f ca="1">IFERROR(
INDEX(
KB!$I$55:$AJ$68,
MATCH(E200,KB!$I$55:$I$68,0),
MATCH(D200,KB!$I$55:$AJ$55,0)
),
0)</f>
        <v>3</v>
      </c>
      <c r="S200" s="669" cm="1">
        <f t="array" aca="1" ref="S200" ca="1">_xlfn.IFS(
CONFIG!$B$8="W1",H200-N200,
CONFIG!$B$8="W2",H200-O200,
CONFIG!$B$8="W3",H200-P200,
CONFIG!$B$8="W4",H200-Q200,
CONFIG!$B$8="W5",H200-R200
)</f>
        <v>3</v>
      </c>
      <c r="T200" s="652">
        <f t="shared" ca="1" si="54"/>
        <v>1</v>
      </c>
    </row>
    <row r="201" spans="3:20">
      <c r="C201" s="116" t="str">
        <f>INDEX(KB!C:D,MATCH(D201,KB!D:D,0),1)</f>
        <v>Camera</v>
      </c>
      <c r="D201" s="116" t="s">
        <v>25</v>
      </c>
      <c r="E201" s="321" t="s">
        <v>151</v>
      </c>
      <c r="F201" s="116" t="str">
        <f t="shared" si="43"/>
        <v>CameraTrần Huy Hoàn - 270828</v>
      </c>
      <c r="G201" s="118" cm="1">
        <f t="array" ref="G201">IFERROR(INDEX(KB!$I$38:$AJ$50,MATCH(XL_DT_TD!E201,KB!$I$38:$I$50,0),MATCH(XL_DT_TD!D201,KB!$J$37:$AJ$37,0)+1),0)</f>
        <v>5.3000000000000007</v>
      </c>
      <c r="H201" s="118" cm="1">
        <f t="array" ref="H201">IFERROR(INDEX(DATA_TĐ!$B$1:$AZ$19,MATCH(XL_DT_TD!E201,DATA_TĐ!B:B,0),MATCH(XL_DT_TD!C201,DATA_TĐ!$1:$1,0)-1),0)</f>
        <v>0</v>
      </c>
      <c r="I201" s="118">
        <f ca="1">H201/DAY(NOW()-1)*'Hieu Qua NV'!$J$1</f>
        <v>0</v>
      </c>
      <c r="J201" s="118">
        <f t="shared" si="44"/>
        <v>5.3000000000000007</v>
      </c>
      <c r="K201" s="118">
        <f ca="1">J201/'Hieu Qua NV'!$J$2</f>
        <v>0.23043478260869568</v>
      </c>
      <c r="L201" s="119">
        <f t="shared" ca="1" si="42"/>
        <v>0</v>
      </c>
      <c r="M201" s="118">
        <f ca="1">IFERROR(
INDEX(
KB!$I$55:$AJ$68,
MATCH(E201,KB!$I$55:$I$68,0),
MATCH(D201,KB!$I$55:$AJ$55,0)
),
0)</f>
        <v>1</v>
      </c>
      <c r="S201" s="669" cm="1">
        <f t="array" aca="1" ref="S201" ca="1">_xlfn.IFS(
CONFIG!$B$8="W1",H201-N201,
CONFIG!$B$8="W2",H201-O201,
CONFIG!$B$8="W3",H201-P201,
CONFIG!$B$8="W4",H201-Q201,
CONFIG!$B$8="W5",H201-R201
)</f>
        <v>0</v>
      </c>
      <c r="T201" s="652">
        <f t="shared" ca="1" si="54"/>
        <v>0</v>
      </c>
    </row>
    <row r="202" spans="3:20">
      <c r="C202" s="116" t="str">
        <f>INDEX(KB!C:D,MATCH(D202,KB!D:D,0),1)</f>
        <v>Camera</v>
      </c>
      <c r="D202" s="116" t="s">
        <v>25</v>
      </c>
      <c r="E202" s="321" t="s">
        <v>293</v>
      </c>
      <c r="F202" s="116" t="str">
        <f t="shared" si="43"/>
        <v>CameraPhạm Văn Thanh - 279935</v>
      </c>
      <c r="G202" s="118" cm="1">
        <f t="array" ref="G202">IFERROR(INDEX(KB!$I$38:$AJ$50,MATCH(XL_DT_TD!E202,KB!$I$38:$I$50,0),MATCH(XL_DT_TD!D202,KB!$J$37:$AJ$37,0)+1),0)</f>
        <v>7.9499999999999993</v>
      </c>
      <c r="H202" s="118" cm="1">
        <f t="array" ref="H202">IFERROR(INDEX(DATA_TĐ!$B$1:$AZ$19,MATCH(XL_DT_TD!E202,DATA_TĐ!B:B,0),MATCH(XL_DT_TD!C202,DATA_TĐ!$1:$1,0)-1),0)</f>
        <v>0</v>
      </c>
      <c r="I202" s="118">
        <f ca="1">H202/DAY(NOW()-1)*'Hieu Qua NV'!$J$1</f>
        <v>0</v>
      </c>
      <c r="J202" s="118">
        <f t="shared" si="44"/>
        <v>7.9499999999999993</v>
      </c>
      <c r="K202" s="118">
        <f ca="1">J202/'Hieu Qua NV'!$J$2</f>
        <v>0.34565217391304343</v>
      </c>
      <c r="L202" s="119">
        <f t="shared" ca="1" si="42"/>
        <v>0</v>
      </c>
      <c r="M202" s="118">
        <f ca="1">IFERROR(
INDEX(
KB!$I$55:$AJ$68,
MATCH(E202,KB!$I$55:$I$68,0),
MATCH(D202,KB!$I$55:$AJ$55,0)
),
0)</f>
        <v>2</v>
      </c>
      <c r="S202" s="669" cm="1">
        <f t="array" aca="1" ref="S202" ca="1">_xlfn.IFS(
CONFIG!$B$8="W1",H202-N202,
CONFIG!$B$8="W2",H202-O202,
CONFIG!$B$8="W3",H202-P202,
CONFIG!$B$8="W4",H202-Q202,
CONFIG!$B$8="W5",H202-R202
)</f>
        <v>0</v>
      </c>
      <c r="T202" s="652">
        <f t="shared" ca="1" si="54"/>
        <v>0</v>
      </c>
    </row>
    <row r="203" spans="3:20">
      <c r="C203" s="116" t="str">
        <f>INDEX(KB!C:D,MATCH(D203,KB!D:D,0),1)</f>
        <v>Camera</v>
      </c>
      <c r="D203" s="116" t="s">
        <v>25</v>
      </c>
      <c r="E203" s="321" t="s">
        <v>433</v>
      </c>
      <c r="F203" s="116" t="str">
        <f t="shared" si="43"/>
        <v>CameraNguyễn Thành Đạt - 280855</v>
      </c>
      <c r="G203" s="118" cm="1">
        <f t="array" ref="G203">IFERROR(INDEX(KB!$I$38:$AJ$50,MATCH(XL_DT_TD!E203,KB!$I$38:$I$50,0),MATCH(XL_DT_TD!D203,KB!$J$37:$AJ$37,0)+1),0)</f>
        <v>7.9499999999999993</v>
      </c>
      <c r="H203" s="118" cm="1">
        <f t="array" ref="H203">IFERROR(INDEX(DATA_TĐ!$B$1:$AZ$19,MATCH(XL_DT_TD!E203,DATA_TĐ!B:B,0),MATCH(XL_DT_TD!C203,DATA_TĐ!$1:$1,0)-1),0)</f>
        <v>0</v>
      </c>
      <c r="I203" s="118">
        <f ca="1">H203/DAY(NOW()-1)*'Hieu Qua NV'!$J$1</f>
        <v>0</v>
      </c>
      <c r="J203" s="118">
        <f t="shared" si="44"/>
        <v>7.9499999999999993</v>
      </c>
      <c r="K203" s="118">
        <f ca="1">J203/'Hieu Qua NV'!$J$2</f>
        <v>0.34565217391304343</v>
      </c>
      <c r="L203" s="119">
        <f t="shared" ca="1" si="42"/>
        <v>0</v>
      </c>
      <c r="M203" s="118">
        <f ca="1">IFERROR(
INDEX(
KB!$I$55:$AJ$68,
MATCH(E203,KB!$I$55:$I$68,0),
MATCH(D203,KB!$I$55:$AJ$55,0)
),
0)</f>
        <v>2</v>
      </c>
      <c r="S203" s="669" cm="1">
        <f t="array" aca="1" ref="S203" ca="1">_xlfn.IFS(
CONFIG!$B$8="W1",H203-N203,
CONFIG!$B$8="W2",H203-O203,
CONFIG!$B$8="W3",H203-P203,
CONFIG!$B$8="W4",H203-Q203,
CONFIG!$B$8="W5",H203-R203
)</f>
        <v>0</v>
      </c>
      <c r="T203" s="652">
        <f t="shared" ca="1" si="54"/>
        <v>0</v>
      </c>
    </row>
    <row r="204" spans="3:20">
      <c r="C204" s="116" t="str">
        <f>INDEX(KB!C:D,MATCH(D204,KB!D:D,0),1)</f>
        <v>Camera</v>
      </c>
      <c r="D204" s="116" t="s">
        <v>25</v>
      </c>
      <c r="E204" s="321" t="s">
        <v>56</v>
      </c>
      <c r="F204" s="116" t="str">
        <f t="shared" si="43"/>
        <v>CameraĐỗ Văn Duân - 62025</v>
      </c>
      <c r="G204" s="118" cm="1">
        <f t="array" ref="G204">IFERROR(INDEX(KB!$I$38:$AJ$50,MATCH(XL_DT_TD!E204,KB!$I$38:$I$50,0),MATCH(XL_DT_TD!D204,KB!$J$37:$AJ$37,0)+1),0)</f>
        <v>9.5399999999999991</v>
      </c>
      <c r="H204" s="118" cm="1">
        <f t="array" ref="H204">IFERROR(INDEX(DATA_TĐ!$B$1:$AZ$19,MATCH(XL_DT_TD!E204,DATA_TĐ!B:B,0),MATCH(XL_DT_TD!C204,DATA_TĐ!$1:$1,0)-1),0)</f>
        <v>0</v>
      </c>
      <c r="I204" s="118">
        <f ca="1">H204/DAY(NOW()-1)*'Hieu Qua NV'!$J$1</f>
        <v>0</v>
      </c>
      <c r="J204" s="118">
        <f t="shared" si="44"/>
        <v>9.5399999999999991</v>
      </c>
      <c r="K204" s="118">
        <f ca="1">J204/'Hieu Qua NV'!$J$2</f>
        <v>0.41478260869565214</v>
      </c>
      <c r="L204" s="119">
        <f t="shared" ca="1" si="42"/>
        <v>0</v>
      </c>
      <c r="M204" s="118">
        <f ca="1">IFERROR(
INDEX(
KB!$I$55:$AJ$68,
MATCH(E204,KB!$I$55:$I$68,0),
MATCH(D204,KB!$I$55:$AJ$55,0)
),
0)</f>
        <v>2</v>
      </c>
      <c r="S204" s="669" cm="1">
        <f t="array" aca="1" ref="S204" ca="1">_xlfn.IFS(
CONFIG!$B$8="W1",H204-N204,
CONFIG!$B$8="W2",H204-O204,
CONFIG!$B$8="W3",H204-P204,
CONFIG!$B$8="W4",H204-Q204,
CONFIG!$B$8="W5",H204-R204
)</f>
        <v>0</v>
      </c>
      <c r="T204" s="652">
        <f t="shared" ca="1" si="54"/>
        <v>0</v>
      </c>
    </row>
    <row r="205" spans="3:20">
      <c r="C205" s="116" t="str">
        <f>INDEX(KB!C:D,MATCH(D205,KB!D:D,0),1)</f>
        <v>Camera</v>
      </c>
      <c r="D205" s="116" t="s">
        <v>25</v>
      </c>
      <c r="E205" s="321" t="s">
        <v>530</v>
      </c>
      <c r="F205" s="116" t="str">
        <f t="shared" si="43"/>
        <v>CameraNhân viên Mới 1</v>
      </c>
      <c r="G205" s="118" cm="1">
        <f t="array" ref="G205">IFERROR(INDEX(KB!$I$38:$AJ$50,MATCH(XL_DT_TD!E205,KB!$I$38:$I$50,0),MATCH(XL_DT_TD!D205,KB!$J$37:$AJ$37,0)+1),0)</f>
        <v>0</v>
      </c>
      <c r="H205" s="118" cm="1">
        <f t="array" ref="H205">IFERROR(INDEX(DATA_TĐ!$B$1:$AZ$19,MATCH(XL_DT_TD!E205,DATA_TĐ!B:B,0),MATCH(XL_DT_TD!C205,DATA_TĐ!$1:$1,0)-1),0)</f>
        <v>0</v>
      </c>
      <c r="I205" s="118">
        <f ca="1">H205/DAY(NOW()-1)*'Hieu Qua NV'!$J$1</f>
        <v>0</v>
      </c>
      <c r="J205" s="118">
        <f t="shared" si="44"/>
        <v>0</v>
      </c>
      <c r="K205" s="118">
        <f ca="1">J205/'Hieu Qua NV'!$J$2</f>
        <v>0</v>
      </c>
      <c r="L205" s="119" t="e">
        <f t="shared" ca="1" si="42"/>
        <v>#DIV/0!</v>
      </c>
      <c r="M205" s="118">
        <f ca="1">IFERROR(
INDEX(
KB!$I$55:$AJ$68,
MATCH(E205,KB!$I$55:$I$68,0),
MATCH(D205,KB!$I$55:$AJ$55,0)
),
0)</f>
        <v>0</v>
      </c>
      <c r="S205" s="669" cm="1">
        <f t="array" aca="1" ref="S205" ca="1">_xlfn.IFS(
CONFIG!$B$8="W1",H205-N205,
CONFIG!$B$8="W2",H205-O205,
CONFIG!$B$8="W3",H205-P205,
CONFIG!$B$8="W4",H205-Q205,
CONFIG!$B$8="W5",H205-R205
)</f>
        <v>0</v>
      </c>
      <c r="T205" s="652">
        <f t="shared" ca="1" si="54"/>
        <v>0</v>
      </c>
    </row>
    <row r="206" spans="3:20">
      <c r="C206" s="116" t="str">
        <f>INDEX(KB!C:D,MATCH(D206,KB!D:D,0),1)</f>
        <v>Camera</v>
      </c>
      <c r="D206" s="116" t="s">
        <v>25</v>
      </c>
      <c r="E206" s="321" t="s">
        <v>560</v>
      </c>
      <c r="F206" s="116" t="str">
        <f t="shared" si="43"/>
        <v>CameraNhân viên Mới 2</v>
      </c>
      <c r="G206" s="118" cm="1">
        <f t="array" ref="G206">IFERROR(INDEX(KB!$I$38:$AJ$50,MATCH(XL_DT_TD!E206,KB!$I$38:$I$50,0),MATCH(XL_DT_TD!D206,KB!$J$37:$AJ$37,0)+1),0)</f>
        <v>0</v>
      </c>
      <c r="H206" s="118" cm="1">
        <f t="array" ref="H206">IFERROR(INDEX(DATA_TĐ!$B$1:$AZ$19,MATCH(XL_DT_TD!E206,DATA_TĐ!B:B,0),MATCH(XL_DT_TD!C206,DATA_TĐ!$1:$1,0)-1),0)</f>
        <v>0</v>
      </c>
      <c r="I206" s="118">
        <f ca="1">H206/DAY(NOW()-1)*'Hieu Qua NV'!$J$1</f>
        <v>0</v>
      </c>
      <c r="J206" s="118">
        <f t="shared" si="44"/>
        <v>0</v>
      </c>
      <c r="K206" s="118">
        <f ca="1">J206/'Hieu Qua NV'!$J$2</f>
        <v>0</v>
      </c>
      <c r="L206" s="119" t="e">
        <f t="shared" ca="1" si="42"/>
        <v>#DIV/0!</v>
      </c>
      <c r="M206" s="118">
        <f ca="1">IFERROR(
INDEX(
KB!$I$55:$AJ$68,
MATCH(E206,KB!$I$55:$I$68,0),
MATCH(D206,KB!$I$55:$AJ$55,0)
),
0)</f>
        <v>0</v>
      </c>
      <c r="S206" s="669" cm="1">
        <f t="array" aca="1" ref="S206" ca="1">_xlfn.IFS(
CONFIG!$B$8="W1",H206-N206,
CONFIG!$B$8="W2",H206-O206,
CONFIG!$B$8="W3",H206-P206,
CONFIG!$B$8="W4",H206-Q206,
CONFIG!$B$8="W5",H206-R206
)</f>
        <v>0</v>
      </c>
      <c r="T206" s="652">
        <f t="shared" ca="1" si="54"/>
        <v>0</v>
      </c>
    </row>
    <row r="207" spans="3:20">
      <c r="C207" s="116" t="str">
        <f>INDEX(KB!C:D,MATCH(D207,KB!D:D,0),1)</f>
        <v>Camera</v>
      </c>
      <c r="D207" s="116" t="s">
        <v>25</v>
      </c>
      <c r="E207" s="117" t="s">
        <v>281</v>
      </c>
      <c r="F207" s="116" t="str">
        <f t="shared" si="43"/>
        <v>CameraTrần Thị Nhung - 11082</v>
      </c>
      <c r="G207" s="118" cm="1">
        <f t="array" ref="G207">IFERROR(INDEX(KB!$I$38:$AJ$50,MATCH(XL_DT_TD!E207,KB!$I$38:$I$50,0),MATCH(XL_DT_TD!D207,KB!$J$37:$AJ$37,0)+1),0)</f>
        <v>12.95</v>
      </c>
      <c r="H207" s="118" cm="1">
        <f t="array" ref="H207">IFERROR(
  INDEX(DATA_TĐ!$B$36:$Z$47,
    MATCH(TRUE, INDEX(TRIM(DATA_TĐ!$B$36:$B$45)=TRIM(E207),0),0),
    MATCH(TRUE, INDEX(TRIM(DATA_TĐ!$B$36:$Z$36)=TRIM(C207),0),0)
  ),
0)</f>
        <v>0</v>
      </c>
      <c r="I207" s="118">
        <f ca="1">H207/DAY(NOW()-1)*'Hieu Qua NV'!$J$1</f>
        <v>0</v>
      </c>
      <c r="J207" s="118">
        <f t="shared" si="44"/>
        <v>12.95</v>
      </c>
      <c r="K207" s="118">
        <f ca="1">J207/'Hieu Qua NV'!$J$2</f>
        <v>0.56304347826086953</v>
      </c>
      <c r="L207" s="119">
        <f t="shared" ca="1" si="42"/>
        <v>0</v>
      </c>
      <c r="M207" s="118">
        <f ca="1">IFERROR(
INDEX(
KB!$I$55:$AJ$68,
MATCH(E207,KB!$I$55:$I$68,0),
MATCH(D207,KB!$I$55:$AJ$55,0)
),
0)</f>
        <v>3</v>
      </c>
      <c r="S207" s="669" cm="1">
        <f t="array" aca="1" ref="S207" ca="1">_xlfn.IFS(
CONFIG!$B$8="W1",H207-N207,
CONFIG!$B$8="W2",H207-O207,
CONFIG!$B$8="W3",H207-P207,
CONFIG!$B$8="W4",H207-Q207,
CONFIG!$B$8="W5",H207-R207
)</f>
        <v>0</v>
      </c>
      <c r="T207" s="652">
        <f t="shared" ca="1" si="54"/>
        <v>0</v>
      </c>
    </row>
    <row r="208" spans="3:20">
      <c r="C208" s="116" t="str">
        <f>INDEX(KB!C:D,MATCH(D208,KB!D:D,0),1)</f>
        <v>Camera</v>
      </c>
      <c r="D208" s="116" t="s">
        <v>25</v>
      </c>
      <c r="E208" s="117" t="s">
        <v>282</v>
      </c>
      <c r="F208" s="116" t="str">
        <f t="shared" si="43"/>
        <v>CameraNguyễn Thị Phương Oanh - 164808</v>
      </c>
      <c r="G208" s="118" cm="1">
        <f t="array" ref="G208">IFERROR(INDEX(KB!$I$38:$AJ$50,MATCH(XL_DT_TD!E208,KB!$I$38:$I$50,0),MATCH(XL_DT_TD!D208,KB!$J$37:$AJ$37,0)+1),0)</f>
        <v>9.25</v>
      </c>
      <c r="H208" s="118" cm="1">
        <f t="array" ref="H208">IFERROR(
  INDEX(DATA_TĐ!$B$36:$Z$47,
    MATCH(TRUE, INDEX(TRIM(DATA_TĐ!$B$36:$B$45)=TRIM(E208),0),0),
    MATCH(TRUE, INDEX(TRIM(DATA_TĐ!$B$36:$Z$36)=TRIM(C208),0),0)
  ),
0)</f>
        <v>1</v>
      </c>
      <c r="I208" s="118">
        <f ca="1">H208/DAY(NOW()-1)*'Hieu Qua NV'!$J$1</f>
        <v>5</v>
      </c>
      <c r="J208" s="118">
        <f t="shared" si="44"/>
        <v>8.25</v>
      </c>
      <c r="K208" s="118">
        <f ca="1">J208/'Hieu Qua NV'!$J$2</f>
        <v>0.35869565217391303</v>
      </c>
      <c r="L208" s="119">
        <f t="shared" ref="L208:L271" ca="1" si="58">I208/G208</f>
        <v>0.54054054054054057</v>
      </c>
      <c r="M208" s="118">
        <f ca="1">IFERROR(
INDEX(
KB!$I$55:$AJ$68,
MATCH(E208,KB!$I$55:$I$68,0),
MATCH(D208,KB!$I$55:$AJ$55,0)
),
0)</f>
        <v>2</v>
      </c>
      <c r="S208" s="669" cm="1">
        <f t="array" aca="1" ref="S208" ca="1">_xlfn.IFS(
CONFIG!$B$8="W1",H208-N208,
CONFIG!$B$8="W2",H208-O208,
CONFIG!$B$8="W3",H208-P208,
CONFIG!$B$8="W4",H208-Q208,
CONFIG!$B$8="W5",H208-R208
)</f>
        <v>1</v>
      </c>
      <c r="T208" s="652">
        <f t="shared" ca="1" si="54"/>
        <v>0.5</v>
      </c>
    </row>
    <row r="209" spans="3:20">
      <c r="C209" s="116" t="str">
        <f>INDEX(KB!C:D,MATCH(D209,KB!D:D,0),1)</f>
        <v>Camera</v>
      </c>
      <c r="D209" s="116" t="s">
        <v>25</v>
      </c>
      <c r="E209" s="117" t="s">
        <v>283</v>
      </c>
      <c r="F209" s="116" t="str">
        <f t="shared" ref="F209:F272" si="59">C209&amp;E209</f>
        <v>CameraNguyễn Anh Tài - 269055</v>
      </c>
      <c r="G209" s="118" cm="1">
        <f t="array" ref="G209">IFERROR(INDEX(KB!$I$38:$AJ$50,MATCH(XL_DT_TD!E209,KB!$I$38:$I$50,0),MATCH(XL_DT_TD!D209,KB!$J$37:$AJ$37,0)+1),0)</f>
        <v>11.1</v>
      </c>
      <c r="H209" s="118" cm="1">
        <f t="array" ref="H209">IFERROR(
  INDEX(DATA_TĐ!$B$36:$Z$47,
    MATCH(TRUE, INDEX(TRIM(DATA_TĐ!$B$36:$B$45)=TRIM(E209),0),0),
    MATCH(TRUE, INDEX(TRIM(DATA_TĐ!$B$36:$Z$36)=TRIM(C209),0),0)
  ),
0)</f>
        <v>0</v>
      </c>
      <c r="I209" s="118">
        <f ca="1">H209/DAY(NOW()-1)*'Hieu Qua NV'!$J$1</f>
        <v>0</v>
      </c>
      <c r="J209" s="118">
        <f t="shared" ref="J209:J272" si="60">G209-H209</f>
        <v>11.1</v>
      </c>
      <c r="K209" s="118">
        <f ca="1">J209/'Hieu Qua NV'!$J$2</f>
        <v>0.4826086956521739</v>
      </c>
      <c r="L209" s="119">
        <f t="shared" ca="1" si="58"/>
        <v>0</v>
      </c>
      <c r="M209" s="118">
        <f ca="1">IFERROR(
INDEX(
KB!$I$55:$AJ$68,
MATCH(E209,KB!$I$55:$I$68,0),
MATCH(D209,KB!$I$55:$AJ$55,0)
),
0)</f>
        <v>3</v>
      </c>
      <c r="S209" s="669" cm="1">
        <f t="array" aca="1" ref="S209" ca="1">_xlfn.IFS(
CONFIG!$B$8="W1",H209-N209,
CONFIG!$B$8="W2",H209-O209,
CONFIG!$B$8="W3",H209-P209,
CONFIG!$B$8="W4",H209-Q209,
CONFIG!$B$8="W5",H209-R209
)</f>
        <v>0</v>
      </c>
      <c r="T209" s="652">
        <f t="shared" ca="1" si="54"/>
        <v>0</v>
      </c>
    </row>
    <row r="210" spans="3:20">
      <c r="C210" s="116" t="str">
        <f>INDEX(KB!C:D,MATCH(D210,KB!D:D,0),1)</f>
        <v>Camera</v>
      </c>
      <c r="D210" s="116" t="s">
        <v>25</v>
      </c>
      <c r="E210" s="117" t="s">
        <v>284</v>
      </c>
      <c r="F210" s="116" t="str">
        <f t="shared" si="59"/>
        <v>CameraLê Văn Hợp - 279884</v>
      </c>
      <c r="G210" s="118" cm="1">
        <f t="array" ref="G210">IFERROR(INDEX(KB!$I$38:$AJ$50,MATCH(XL_DT_TD!E210,KB!$I$38:$I$50,0),MATCH(XL_DT_TD!D210,KB!$J$37:$AJ$37,0)+1),0)</f>
        <v>11.1</v>
      </c>
      <c r="H210" s="118" cm="1">
        <f t="array" ref="H210">IFERROR(
  INDEX(DATA_TĐ!$B$36:$Z$47,
    MATCH(TRUE, INDEX(TRIM(DATA_TĐ!$B$36:$B$45)=TRIM(E210),0),0),
    MATCH(TRUE, INDEX(TRIM(DATA_TĐ!$B$36:$Z$36)=TRIM(C210),0),0)
  ),
0)</f>
        <v>0</v>
      </c>
      <c r="I210" s="118">
        <f ca="1">H210/DAY(NOW()-1)*'Hieu Qua NV'!$J$1</f>
        <v>0</v>
      </c>
      <c r="J210" s="118">
        <f t="shared" si="60"/>
        <v>11.1</v>
      </c>
      <c r="K210" s="118">
        <f ca="1">J210/'Hieu Qua NV'!$J$2</f>
        <v>0.4826086956521739</v>
      </c>
      <c r="L210" s="119">
        <f t="shared" ca="1" si="58"/>
        <v>0</v>
      </c>
      <c r="M210" s="118">
        <f ca="1">IFERROR(
INDEX(
KB!$I$55:$AJ$68,
MATCH(E210,KB!$I$55:$I$68,0),
MATCH(D210,KB!$I$55:$AJ$55,0)
),
0)</f>
        <v>3</v>
      </c>
      <c r="S210" s="669" cm="1">
        <f t="array" aca="1" ref="S210" ca="1">_xlfn.IFS(
CONFIG!$B$8="W1",H210-N210,
CONFIG!$B$8="W2",H210-O210,
CONFIG!$B$8="W3",H210-P210,
CONFIG!$B$8="W4",H210-Q210,
CONFIG!$B$8="W5",H210-R210
)</f>
        <v>0</v>
      </c>
      <c r="T210" s="652">
        <f t="shared" ca="1" si="54"/>
        <v>0</v>
      </c>
    </row>
    <row r="211" spans="3:20">
      <c r="C211" s="120" t="str">
        <f>INDEX(KB!C:D,MATCH(D211,KB!D:D,0),1)</f>
        <v>Camera</v>
      </c>
      <c r="D211" s="120" t="s">
        <v>25</v>
      </c>
      <c r="E211" s="120" t="s">
        <v>20</v>
      </c>
      <c r="F211" s="121" t="str">
        <f t="shared" si="59"/>
        <v>CameraTổng</v>
      </c>
      <c r="G211" s="122">
        <f t="shared" ref="G211" si="61">SUM(G198:G209)</f>
        <v>96.899999999999991</v>
      </c>
      <c r="H211" s="122">
        <f t="shared" ref="H211:I211" si="62">SUM(H198:H209)</f>
        <v>5</v>
      </c>
      <c r="I211" s="122">
        <f t="shared" ca="1" si="62"/>
        <v>25</v>
      </c>
      <c r="J211" s="122">
        <f t="shared" si="60"/>
        <v>91.899999999999991</v>
      </c>
      <c r="K211" s="122">
        <f ca="1">J211/'Hieu Qua NV'!$J$2</f>
        <v>3.9956521739130433</v>
      </c>
      <c r="L211" s="119">
        <f t="shared" ca="1" si="58"/>
        <v>0.25799793601651189</v>
      </c>
      <c r="M211" s="122">
        <f t="shared" ref="M211" ca="1" si="63">SUM(M198:M209)</f>
        <v>23</v>
      </c>
      <c r="S211" s="669" cm="1">
        <f t="array" aca="1" ref="S211" ca="1">_xlfn.IFS(
CONFIG!$B$8="W1",H211-N211,
CONFIG!$B$8="W2",H211-O211,
CONFIG!$B$8="W3",H211-P211,
CONFIG!$B$8="W4",H211-Q211,
CONFIG!$B$8="W5",H211-R211
)</f>
        <v>5</v>
      </c>
      <c r="T211" s="652">
        <f t="shared" ca="1" si="54"/>
        <v>0.21739130434782608</v>
      </c>
    </row>
    <row r="212" spans="3:20">
      <c r="C212" s="116" t="str">
        <f>INDEX(KB!C:D,MATCH(D212,KB!D:D,0),1)</f>
        <v>Máy giặt, Máy sấy, Máy rửa chén T5 &amp; T6/2026</v>
      </c>
      <c r="D212" s="116" t="s">
        <v>70</v>
      </c>
      <c r="E212" s="321" t="s">
        <v>57</v>
      </c>
      <c r="F212" s="116" t="str">
        <f t="shared" si="59"/>
        <v>Máy giặt, Máy sấy, Máy rửa chén T5 &amp; T6/2026Nguyễn Thị Ngọc - 54026</v>
      </c>
      <c r="G212" s="118" cm="1">
        <f t="array" ref="G212">IFERROR(INDEX(KB!$I$38:$AJ$50,MATCH(XL_DT_TD!E212,KB!$I$38:$I$50,0),MATCH(XL_DT_TD!D212,KB!$J$37:$AJ$37,0)+1),0)</f>
        <v>172.00480000000002</v>
      </c>
      <c r="H212" s="118" cm="1">
        <f t="array" ref="H212">IFERROR(INDEX(DATA_TĐ!$B$1:$AZ$19,MATCH(XL_DT_TD!E212,DATA_TĐ!B:B,0),MATCH(XL_DT_TD!C212,DATA_TĐ!$1:$1,0)-1),0)</f>
        <v>46.3</v>
      </c>
      <c r="I212" s="118">
        <f ca="1">H212/DAY(NOW()-1)*'Hieu Qua NV'!$J$1</f>
        <v>231.49999999999997</v>
      </c>
      <c r="J212" s="118">
        <f t="shared" si="60"/>
        <v>125.70480000000002</v>
      </c>
      <c r="K212" s="118">
        <f ca="1">J212/'Hieu Qua NV'!$J$2</f>
        <v>5.4654260869565228</v>
      </c>
      <c r="L212" s="119">
        <f t="shared" ca="1" si="58"/>
        <v>1.3458926727626204</v>
      </c>
      <c r="M212" s="118">
        <f ca="1">IFERROR(
INDEX(
KB!$I$55:$AJ$68,
MATCH(E212,KB!$I$55:$I$68,0),
MATCH(D212,KB!$I$55:$AJ$55,0)
),
0)</f>
        <v>43</v>
      </c>
      <c r="S212" s="669" cm="1">
        <f t="array" aca="1" ref="S212" ca="1">_xlfn.IFS(
CONFIG!$B$8="W1",H212-N212,
CONFIG!$B$8="W2",H212-O212,
CONFIG!$B$8="W3",H212-P212,
CONFIG!$B$8="W4",H212-Q212,
CONFIG!$B$8="W5",H212-R212
)</f>
        <v>46.3</v>
      </c>
      <c r="T212" s="652">
        <f t="shared" ca="1" si="54"/>
        <v>1.0767441860465115</v>
      </c>
    </row>
    <row r="213" spans="3:20">
      <c r="C213" s="116" t="str">
        <f>INDEX(KB!C:D,MATCH(D213,KB!D:D,0),1)</f>
        <v>Máy giặt, Máy sấy, Máy rửa chén T5 &amp; T6/2026</v>
      </c>
      <c r="D213" s="116" t="s">
        <v>70</v>
      </c>
      <c r="E213" s="321" t="s">
        <v>60</v>
      </c>
      <c r="F213" s="116" t="str">
        <f t="shared" si="59"/>
        <v>Máy giặt, Máy sấy, Máy rửa chén T5 &amp; T6/2026Nguyễn Viết Sơn - 94065</v>
      </c>
      <c r="G213" s="118" cm="1">
        <f t="array" ref="G213">IFERROR(INDEX(KB!$I$38:$AJ$50,MATCH(XL_DT_TD!E213,KB!$I$38:$I$50,0),MATCH(XL_DT_TD!D213,KB!$J$37:$AJ$37,0)+1),0)</f>
        <v>140.7312</v>
      </c>
      <c r="H213" s="118" cm="1">
        <f t="array" ref="H213">IFERROR(INDEX(DATA_TĐ!$B$1:$AZ$19,MATCH(XL_DT_TD!E213,DATA_TĐ!B:B,0),MATCH(XL_DT_TD!C213,DATA_TĐ!$1:$1,0)-1),0)</f>
        <v>102.32</v>
      </c>
      <c r="I213" s="118">
        <f ca="1">H213/DAY(NOW()-1)*'Hieu Qua NV'!$J$1</f>
        <v>511.59999999999991</v>
      </c>
      <c r="J213" s="118">
        <f t="shared" si="60"/>
        <v>38.411200000000008</v>
      </c>
      <c r="K213" s="118">
        <f ca="1">J213/'Hieu Qua NV'!$J$2</f>
        <v>1.6700521739130438</v>
      </c>
      <c r="L213" s="119">
        <f t="shared" ca="1" si="58"/>
        <v>3.6352990665893556</v>
      </c>
      <c r="M213" s="118">
        <f ca="1">IFERROR(
INDEX(
KB!$I$55:$AJ$68,
MATCH(E213,KB!$I$55:$I$68,0),
MATCH(D213,KB!$I$55:$AJ$55,0)
),
0)</f>
        <v>35</v>
      </c>
      <c r="S213" s="669" cm="1">
        <f t="array" aca="1" ref="S213" ca="1">_xlfn.IFS(
CONFIG!$B$8="W1",H213-N213,
CONFIG!$B$8="W2",H213-O213,
CONFIG!$B$8="W3",H213-P213,
CONFIG!$B$8="W4",H213-Q213,
CONFIG!$B$8="W5",H213-R213
)</f>
        <v>102.32</v>
      </c>
      <c r="T213" s="652">
        <f t="shared" ca="1" si="54"/>
        <v>2.923428571428571</v>
      </c>
    </row>
    <row r="214" spans="3:20">
      <c r="C214" s="116" t="str">
        <f>INDEX(KB!C:D,MATCH(D214,KB!D:D,0),1)</f>
        <v>Máy giặt, Máy sấy, Máy rửa chén T5 &amp; T6/2026</v>
      </c>
      <c r="D214" s="116" t="s">
        <v>70</v>
      </c>
      <c r="E214" s="321" t="s">
        <v>15</v>
      </c>
      <c r="F214" s="116" t="str">
        <f t="shared" si="59"/>
        <v>Máy giặt, Máy sấy, Máy rửa chén T5 &amp; T6/2026Nguyễn Trang Nhung - 25734</v>
      </c>
      <c r="G214" s="118" cm="1">
        <f t="array" ref="G214">IFERROR(INDEX(KB!$I$38:$AJ$50,MATCH(XL_DT_TD!E214,KB!$I$38:$I$50,0),MATCH(XL_DT_TD!D214,KB!$J$37:$AJ$37,0)+1),0)</f>
        <v>172.00480000000002</v>
      </c>
      <c r="H214" s="118" cm="1">
        <f t="array" ref="H214">IFERROR(INDEX(DATA_TĐ!$B$1:$AZ$19,MATCH(XL_DT_TD!E214,DATA_TĐ!B:B,0),MATCH(XL_DT_TD!C214,DATA_TĐ!$1:$1,0)-1),0)</f>
        <v>9.24</v>
      </c>
      <c r="I214" s="118">
        <f ca="1">H214/DAY(NOW()-1)*'Hieu Qua NV'!$J$1</f>
        <v>46.2</v>
      </c>
      <c r="J214" s="118">
        <f t="shared" si="60"/>
        <v>162.76480000000001</v>
      </c>
      <c r="K214" s="118">
        <f ca="1">J214/'Hieu Qua NV'!$J$2</f>
        <v>7.0767304347826094</v>
      </c>
      <c r="L214" s="119">
        <f t="shared" ca="1" si="58"/>
        <v>0.2685971554282206</v>
      </c>
      <c r="M214" s="118">
        <f ca="1">IFERROR(
INDEX(
KB!$I$55:$AJ$68,
MATCH(E214,KB!$I$55:$I$68,0),
MATCH(D214,KB!$I$55:$AJ$55,0)
),
0)</f>
        <v>43</v>
      </c>
      <c r="S214" s="669" cm="1">
        <f t="array" aca="1" ref="S214" ca="1">_xlfn.IFS(
CONFIG!$B$8="W1",H214-N214,
CONFIG!$B$8="W2",H214-O214,
CONFIG!$B$8="W3",H214-P214,
CONFIG!$B$8="W4",H214-Q214,
CONFIG!$B$8="W5",H214-R214
)</f>
        <v>9.24</v>
      </c>
      <c r="T214" s="652">
        <f t="shared" ca="1" si="54"/>
        <v>0.21488372093023256</v>
      </c>
    </row>
    <row r="215" spans="3:20">
      <c r="C215" s="116" t="str">
        <f>INDEX(KB!C:D,MATCH(D215,KB!D:D,0),1)</f>
        <v>Máy giặt, Máy sấy, Máy rửa chén T5 &amp; T6/2026</v>
      </c>
      <c r="D215" s="116" t="s">
        <v>70</v>
      </c>
      <c r="E215" s="321" t="s">
        <v>151</v>
      </c>
      <c r="F215" s="116" t="str">
        <f t="shared" si="59"/>
        <v>Máy giặt, Máy sấy, Máy rửa chén T5 &amp; T6/2026Trần Huy Hoàn - 270828</v>
      </c>
      <c r="G215" s="118" cm="1">
        <f t="array" ref="G215">IFERROR(INDEX(KB!$I$38:$AJ$50,MATCH(XL_DT_TD!E215,KB!$I$38:$I$50,0),MATCH(XL_DT_TD!D215,KB!$J$37:$AJ$37,0)+1),0)</f>
        <v>140.7312</v>
      </c>
      <c r="H215" s="118" cm="1">
        <f t="array" ref="H215">IFERROR(INDEX(DATA_TĐ!$B$1:$AZ$19,MATCH(XL_DT_TD!E215,DATA_TĐ!B:B,0),MATCH(XL_DT_TD!C215,DATA_TĐ!$1:$1,0)-1),0)</f>
        <v>29.56</v>
      </c>
      <c r="I215" s="118">
        <f ca="1">H215/DAY(NOW()-1)*'Hieu Qua NV'!$J$1</f>
        <v>147.80000000000001</v>
      </c>
      <c r="J215" s="118">
        <f t="shared" si="60"/>
        <v>111.1712</v>
      </c>
      <c r="K215" s="118">
        <f ca="1">J215/'Hieu Qua NV'!$J$2</f>
        <v>4.8335304347826087</v>
      </c>
      <c r="L215" s="119">
        <f t="shared" ca="1" si="58"/>
        <v>1.0502290892140478</v>
      </c>
      <c r="M215" s="118">
        <f ca="1">IFERROR(
INDEX(
KB!$I$55:$AJ$68,
MATCH(E215,KB!$I$55:$I$68,0),
MATCH(D215,KB!$I$55:$AJ$55,0)
),
0)</f>
        <v>35</v>
      </c>
      <c r="S215" s="669" cm="1">
        <f t="array" aca="1" ref="S215" ca="1">_xlfn.IFS(
CONFIG!$B$8="W1",H215-N215,
CONFIG!$B$8="W2",H215-O215,
CONFIG!$B$8="W3",H215-P215,
CONFIG!$B$8="W4",H215-Q215,
CONFIG!$B$8="W5",H215-R215
)</f>
        <v>29.56</v>
      </c>
      <c r="T215" s="652">
        <f t="shared" ca="1" si="54"/>
        <v>0.84457142857142853</v>
      </c>
    </row>
    <row r="216" spans="3:20">
      <c r="C216" s="116" t="str">
        <f>INDEX(KB!C:D,MATCH(D216,KB!D:D,0),1)</f>
        <v>Máy giặt, Máy sấy, Máy rửa chén T5 &amp; T6/2026</v>
      </c>
      <c r="D216" s="116" t="s">
        <v>70</v>
      </c>
      <c r="E216" s="321" t="s">
        <v>293</v>
      </c>
      <c r="F216" s="116" t="str">
        <f t="shared" si="59"/>
        <v>Máy giặt, Máy sấy, Máy rửa chén T5 &amp; T6/2026Phạm Văn Thanh - 279935</v>
      </c>
      <c r="G216" s="118" cm="1">
        <f t="array" ref="G216">IFERROR(INDEX(KB!$I$38:$AJ$50,MATCH(XL_DT_TD!E216,KB!$I$38:$I$50,0),MATCH(XL_DT_TD!D216,KB!$J$37:$AJ$37,0)+1),0)</f>
        <v>117.276</v>
      </c>
      <c r="H216" s="118" cm="1">
        <f t="array" ref="H216">IFERROR(INDEX(DATA_TĐ!$B$1:$AZ$19,MATCH(XL_DT_TD!E216,DATA_TĐ!B:B,0),MATCH(XL_DT_TD!C216,DATA_TĐ!$1:$1,0)-1),0)</f>
        <v>47.38</v>
      </c>
      <c r="I216" s="118">
        <f ca="1">H216/DAY(NOW()-1)*'Hieu Qua NV'!$J$1</f>
        <v>236.90000000000003</v>
      </c>
      <c r="J216" s="118">
        <f t="shared" si="60"/>
        <v>69.895999999999987</v>
      </c>
      <c r="K216" s="118">
        <f ca="1">J216/'Hieu Qua NV'!$J$2</f>
        <v>3.0389565217391299</v>
      </c>
      <c r="L216" s="119">
        <f t="shared" ca="1" si="58"/>
        <v>2.0200211466966818</v>
      </c>
      <c r="M216" s="118">
        <f ca="1">IFERROR(
INDEX(
KB!$I$55:$AJ$68,
MATCH(E216,KB!$I$55:$I$68,0),
MATCH(D216,KB!$I$55:$AJ$55,0)
),
0)</f>
        <v>29</v>
      </c>
      <c r="S216" s="669" cm="1">
        <f t="array" aca="1" ref="S216" ca="1">_xlfn.IFS(
CONFIG!$B$8="W1",H216-N216,
CONFIG!$B$8="W2",H216-O216,
CONFIG!$B$8="W3",H216-P216,
CONFIG!$B$8="W4",H216-Q216,
CONFIG!$B$8="W5",H216-R216
)</f>
        <v>47.38</v>
      </c>
      <c r="T216" s="652">
        <f t="shared" ca="1" si="54"/>
        <v>1.633793103448276</v>
      </c>
    </row>
    <row r="217" spans="3:20">
      <c r="C217" s="116" t="str">
        <f>INDEX(KB!C:D,MATCH(D217,KB!D:D,0),1)</f>
        <v>Máy giặt, Máy sấy, Máy rửa chén T5 &amp; T6/2026</v>
      </c>
      <c r="D217" s="116" t="s">
        <v>70</v>
      </c>
      <c r="E217" s="321" t="s">
        <v>433</v>
      </c>
      <c r="F217" s="116" t="str">
        <f t="shared" si="59"/>
        <v>Máy giặt, Máy sấy, Máy rửa chén T5 &amp; T6/2026Nguyễn Thành Đạt - 280855</v>
      </c>
      <c r="G217" s="118" cm="1">
        <f t="array" ref="G217">IFERROR(INDEX(KB!$I$38:$AJ$50,MATCH(XL_DT_TD!E217,KB!$I$38:$I$50,0),MATCH(XL_DT_TD!D217,KB!$J$37:$AJ$37,0)+1),0)</f>
        <v>117.276</v>
      </c>
      <c r="H217" s="118" cm="1">
        <f t="array" ref="H217">IFERROR(INDEX(DATA_TĐ!$B$1:$AZ$19,MATCH(XL_DT_TD!E217,DATA_TĐ!B:B,0),MATCH(XL_DT_TD!C217,DATA_TĐ!$1:$1,0)-1),0)</f>
        <v>26.37</v>
      </c>
      <c r="I217" s="118">
        <f ca="1">H217/DAY(NOW()-1)*'Hieu Qua NV'!$J$1</f>
        <v>131.85000000000002</v>
      </c>
      <c r="J217" s="118">
        <f t="shared" si="60"/>
        <v>90.905999999999992</v>
      </c>
      <c r="K217" s="118">
        <f ca="1">J217/'Hieu Qua NV'!$J$2</f>
        <v>3.9524347826086954</v>
      </c>
      <c r="L217" s="119">
        <f t="shared" ca="1" si="58"/>
        <v>1.1242709505781237</v>
      </c>
      <c r="M217" s="118">
        <f ca="1">IFERROR(
INDEX(
KB!$I$55:$AJ$68,
MATCH(E217,KB!$I$55:$I$68,0),
MATCH(D217,KB!$I$55:$AJ$55,0)
),
0)</f>
        <v>29</v>
      </c>
      <c r="S217" s="669" cm="1">
        <f t="array" aca="1" ref="S217" ca="1">_xlfn.IFS(
CONFIG!$B$8="W1",H217-N217,
CONFIG!$B$8="W2",H217-O217,
CONFIG!$B$8="W3",H217-P217,
CONFIG!$B$8="W4",H217-Q217,
CONFIG!$B$8="W5",H217-R217
)</f>
        <v>26.37</v>
      </c>
      <c r="T217" s="652">
        <f t="shared" ca="1" si="54"/>
        <v>0.90931034482758621</v>
      </c>
    </row>
    <row r="218" spans="3:20">
      <c r="C218" s="116" t="str">
        <f>INDEX(KB!C:D,MATCH(D218,KB!D:D,0),1)</f>
        <v>Máy giặt, Máy sấy, Máy rửa chén T5 &amp; T6/2026</v>
      </c>
      <c r="D218" s="116" t="s">
        <v>70</v>
      </c>
      <c r="E218" s="321" t="s">
        <v>56</v>
      </c>
      <c r="F218" s="116" t="str">
        <f t="shared" si="59"/>
        <v>Máy giặt, Máy sấy, Máy rửa chén T5 &amp; T6/2026Đỗ Văn Duân - 62025</v>
      </c>
      <c r="G218" s="118" cm="1">
        <f t="array" ref="G218">IFERROR(INDEX(KB!$I$38:$AJ$50,MATCH(XL_DT_TD!E218,KB!$I$38:$I$50,0),MATCH(XL_DT_TD!D218,KB!$J$37:$AJ$37,0)+1),0)</f>
        <v>172.00480000000002</v>
      </c>
      <c r="H218" s="118" cm="1">
        <f t="array" ref="H218">IFERROR(INDEX(DATA_TĐ!$B$1:$AZ$19,MATCH(XL_DT_TD!E218,DATA_TĐ!B:B,0),MATCH(XL_DT_TD!C218,DATA_TĐ!$1:$1,0)-1),0)</f>
        <v>82.29</v>
      </c>
      <c r="I218" s="118">
        <f ca="1">H218/DAY(NOW()-1)*'Hieu Qua NV'!$J$1</f>
        <v>411.45000000000005</v>
      </c>
      <c r="J218" s="118">
        <f t="shared" si="60"/>
        <v>89.714800000000011</v>
      </c>
      <c r="K218" s="118">
        <f ca="1">J218/'Hieu Qua NV'!$J$2</f>
        <v>3.9006434782608701</v>
      </c>
      <c r="L218" s="119">
        <f t="shared" ca="1" si="58"/>
        <v>2.392084406946783</v>
      </c>
      <c r="M218" s="118">
        <f ca="1">IFERROR(
INDEX(
KB!$I$55:$AJ$68,
MATCH(E218,KB!$I$55:$I$68,0),
MATCH(D218,KB!$I$55:$AJ$55,0)
),
0)</f>
        <v>43</v>
      </c>
      <c r="S218" s="669" cm="1">
        <f t="array" aca="1" ref="S218" ca="1">_xlfn.IFS(
CONFIG!$B$8="W1",H218-N218,
CONFIG!$B$8="W2",H218-O218,
CONFIG!$B$8="W3",H218-P218,
CONFIG!$B$8="W4",H218-Q218,
CONFIG!$B$8="W5",H218-R218
)</f>
        <v>82.29</v>
      </c>
      <c r="T218" s="652">
        <f t="shared" ca="1" si="54"/>
        <v>1.9137209302325582</v>
      </c>
    </row>
    <row r="219" spans="3:20">
      <c r="C219" s="116" t="str">
        <f>INDEX(KB!C:D,MATCH(D219,KB!D:D,0),1)</f>
        <v>Máy giặt, Máy sấy, Máy rửa chén T5 &amp; T6/2026</v>
      </c>
      <c r="D219" s="116" t="s">
        <v>70</v>
      </c>
      <c r="E219" s="321" t="s">
        <v>530</v>
      </c>
      <c r="F219" s="116" t="str">
        <f t="shared" si="59"/>
        <v>Máy giặt, Máy sấy, Máy rửa chén T5 &amp; T6/2026Nhân viên Mới 1</v>
      </c>
      <c r="G219" s="118" cm="1">
        <f t="array" ref="G219">IFERROR(INDEX(KB!$I$38:$AJ$50,MATCH(XL_DT_TD!E219,KB!$I$38:$I$50,0),MATCH(XL_DT_TD!D219,KB!$J$37:$AJ$37,0)+1),0)</f>
        <v>0</v>
      </c>
      <c r="H219" s="118" cm="1">
        <f t="array" ref="H219">IFERROR(INDEX(DATA_TĐ!$B$1:$AZ$19,MATCH(XL_DT_TD!E219,DATA_TĐ!B:B,0),MATCH(XL_DT_TD!C219,DATA_TĐ!$1:$1,0)-1),0)</f>
        <v>0</v>
      </c>
      <c r="I219" s="118">
        <f ca="1">H219/DAY(NOW()-1)*'Hieu Qua NV'!$J$1</f>
        <v>0</v>
      </c>
      <c r="J219" s="118">
        <f t="shared" si="60"/>
        <v>0</v>
      </c>
      <c r="K219" s="118">
        <f ca="1">J219/'Hieu Qua NV'!$J$2</f>
        <v>0</v>
      </c>
      <c r="L219" s="119" t="e">
        <f t="shared" ca="1" si="58"/>
        <v>#DIV/0!</v>
      </c>
      <c r="M219" s="118">
        <f ca="1">IFERROR(
INDEX(
KB!$I$55:$AJ$68,
MATCH(E219,KB!$I$55:$I$68,0),
MATCH(D219,KB!$I$55:$AJ$55,0)
),
0)</f>
        <v>0</v>
      </c>
      <c r="S219" s="669" cm="1">
        <f t="array" aca="1" ref="S219" ca="1">_xlfn.IFS(
CONFIG!$B$8="W1",H219-N219,
CONFIG!$B$8="W2",H219-O219,
CONFIG!$B$8="W3",H219-P219,
CONFIG!$B$8="W4",H219-Q219,
CONFIG!$B$8="W5",H219-R219
)</f>
        <v>0</v>
      </c>
      <c r="T219" s="652">
        <f t="shared" ca="1" si="54"/>
        <v>0</v>
      </c>
    </row>
    <row r="220" spans="3:20">
      <c r="C220" s="116" t="str">
        <f>INDEX(KB!C:D,MATCH(D220,KB!D:D,0),1)</f>
        <v>Máy giặt, Máy sấy, Máy rửa chén T5 &amp; T6/2026</v>
      </c>
      <c r="D220" s="116" t="s">
        <v>70</v>
      </c>
      <c r="E220" s="321" t="s">
        <v>560</v>
      </c>
      <c r="F220" s="116" t="str">
        <f t="shared" si="59"/>
        <v>Máy giặt, Máy sấy, Máy rửa chén T5 &amp; T6/2026Nhân viên Mới 2</v>
      </c>
      <c r="G220" s="118" cm="1">
        <f t="array" ref="G220">IFERROR(INDEX(KB!$I$38:$AJ$50,MATCH(XL_DT_TD!E220,KB!$I$38:$I$50,0),MATCH(XL_DT_TD!D220,KB!$J$37:$AJ$37,0)+1),0)</f>
        <v>0</v>
      </c>
      <c r="H220" s="118" cm="1">
        <f t="array" ref="H220">IFERROR(INDEX(DATA_TĐ!$B$1:$AZ$19,MATCH(XL_DT_TD!E220,DATA_TĐ!B:B,0),MATCH(XL_DT_TD!C220,DATA_TĐ!$1:$1,0)-1),0)</f>
        <v>0</v>
      </c>
      <c r="I220" s="118">
        <f ca="1">H220/DAY(NOW()-1)*'Hieu Qua NV'!$J$1</f>
        <v>0</v>
      </c>
      <c r="J220" s="118">
        <f t="shared" si="60"/>
        <v>0</v>
      </c>
      <c r="K220" s="118">
        <f ca="1">J220/'Hieu Qua NV'!$J$2</f>
        <v>0</v>
      </c>
      <c r="L220" s="119" t="e">
        <f t="shared" ca="1" si="58"/>
        <v>#DIV/0!</v>
      </c>
      <c r="M220" s="118">
        <f ca="1">IFERROR(
INDEX(
KB!$I$55:$AJ$68,
MATCH(E220,KB!$I$55:$I$68,0),
MATCH(D220,KB!$I$55:$AJ$55,0)
),
0)</f>
        <v>0</v>
      </c>
      <c r="S220" s="669" cm="1">
        <f t="array" aca="1" ref="S220" ca="1">_xlfn.IFS(
CONFIG!$B$8="W1",H220-N220,
CONFIG!$B$8="W2",H220-O220,
CONFIG!$B$8="W3",H220-P220,
CONFIG!$B$8="W4",H220-Q220,
CONFIG!$B$8="W5",H220-R220
)</f>
        <v>0</v>
      </c>
      <c r="T220" s="652">
        <f t="shared" ca="1" si="54"/>
        <v>0</v>
      </c>
    </row>
    <row r="221" spans="3:20">
      <c r="C221" s="116" t="str">
        <f>INDEX(KB!C:D,MATCH(D221,KB!D:D,0),1)</f>
        <v>Máy giặt, Máy sấy, Máy rửa chén T5 &amp; T6/2026</v>
      </c>
      <c r="D221" s="116" t="s">
        <v>70</v>
      </c>
      <c r="E221" s="117" t="s">
        <v>281</v>
      </c>
      <c r="F221" s="116" t="str">
        <f t="shared" si="59"/>
        <v>Máy giặt, Máy sấy, Máy rửa chén T5 &amp; T6/2026Trần Thị Nhung - 11082</v>
      </c>
      <c r="G221" s="118" cm="1">
        <f t="array" ref="G221">IFERROR(INDEX(KB!$I$38:$AJ$50,MATCH(XL_DT_TD!E221,KB!$I$38:$I$50,0),MATCH(XL_DT_TD!D221,KB!$J$37:$AJ$37,0)+1),0)</f>
        <v>0</v>
      </c>
      <c r="H221" s="118" cm="1">
        <f t="array" ref="H221">IFERROR(
  INDEX(DATA_TĐ!$B$36:$Z$47,
    MATCH(TRUE, INDEX(TRIM(DATA_TĐ!$B$36:$B$45)=TRIM(E221),0),0),
    MATCH(TRUE, INDEX(TRIM(DATA_TĐ!$B$36:$Z$36)=TRIM(C221),0),0)
  ),
0)</f>
        <v>0</v>
      </c>
      <c r="I221" s="118">
        <f ca="1">H221/DAY(NOW()-1)*'Hieu Qua NV'!$J$1</f>
        <v>0</v>
      </c>
      <c r="J221" s="118">
        <f t="shared" si="60"/>
        <v>0</v>
      </c>
      <c r="K221" s="118">
        <f ca="1">J221/'Hieu Qua NV'!$J$2</f>
        <v>0</v>
      </c>
      <c r="L221" s="119" t="e">
        <f t="shared" ca="1" si="58"/>
        <v>#DIV/0!</v>
      </c>
      <c r="M221" s="118">
        <f ca="1">IFERROR(
INDEX(
KB!$I$55:$AJ$68,
MATCH(E221,KB!$I$55:$I$68,0),
MATCH(D221,KB!$I$55:$AJ$55,0)
),
0)</f>
        <v>0</v>
      </c>
      <c r="S221" s="669" cm="1">
        <f t="array" aca="1" ref="S221" ca="1">_xlfn.IFS(
CONFIG!$B$8="W1",H221-N221,
CONFIG!$B$8="W2",H221-O221,
CONFIG!$B$8="W3",H221-P221,
CONFIG!$B$8="W4",H221-Q221,
CONFIG!$B$8="W5",H221-R221
)</f>
        <v>0</v>
      </c>
      <c r="T221" s="652">
        <f t="shared" ca="1" si="54"/>
        <v>0</v>
      </c>
    </row>
    <row r="222" spans="3:20">
      <c r="C222" s="116" t="str">
        <f>INDEX(KB!C:D,MATCH(D222,KB!D:D,0),1)</f>
        <v>Máy giặt, Máy sấy, Máy rửa chén T5 &amp; T6/2026</v>
      </c>
      <c r="D222" s="116" t="s">
        <v>70</v>
      </c>
      <c r="E222" s="117" t="s">
        <v>282</v>
      </c>
      <c r="F222" s="116" t="str">
        <f t="shared" si="59"/>
        <v>Máy giặt, Máy sấy, Máy rửa chén T5 &amp; T6/2026Nguyễn Thị Phương Oanh - 164808</v>
      </c>
      <c r="G222" s="118" cm="1">
        <f t="array" ref="G222">IFERROR(INDEX(KB!$I$38:$AJ$50,MATCH(XL_DT_TD!E222,KB!$I$38:$I$50,0),MATCH(XL_DT_TD!D222,KB!$J$37:$AJ$37,0)+1),0)</f>
        <v>0</v>
      </c>
      <c r="H222" s="118" cm="1">
        <f t="array" ref="H222">IFERROR(
  INDEX(DATA_TĐ!$B$36:$Z$47,
    MATCH(TRUE, INDEX(TRIM(DATA_TĐ!$B$36:$B$45)=TRIM(E222),0),0),
    MATCH(TRUE, INDEX(TRIM(DATA_TĐ!$B$36:$Z$36)=TRIM(C222),0),0)
  ),
0)</f>
        <v>0</v>
      </c>
      <c r="I222" s="118">
        <f ca="1">H222/DAY(NOW()-1)*'Hieu Qua NV'!$J$1</f>
        <v>0</v>
      </c>
      <c r="J222" s="118">
        <f t="shared" si="60"/>
        <v>0</v>
      </c>
      <c r="K222" s="118">
        <f ca="1">J222/'Hieu Qua NV'!$J$2</f>
        <v>0</v>
      </c>
      <c r="L222" s="119" t="e">
        <f t="shared" ca="1" si="58"/>
        <v>#DIV/0!</v>
      </c>
      <c r="M222" s="118">
        <f ca="1">IFERROR(
INDEX(
KB!$I$55:$AJ$68,
MATCH(E222,KB!$I$55:$I$68,0),
MATCH(D222,KB!$I$55:$AJ$55,0)
),
0)</f>
        <v>0</v>
      </c>
      <c r="S222" s="669" cm="1">
        <f t="array" aca="1" ref="S222" ca="1">_xlfn.IFS(
CONFIG!$B$8="W1",H222-N222,
CONFIG!$B$8="W2",H222-O222,
CONFIG!$B$8="W3",H222-P222,
CONFIG!$B$8="W4",H222-Q222,
CONFIG!$B$8="W5",H222-R222
)</f>
        <v>0</v>
      </c>
      <c r="T222" s="652">
        <f t="shared" ca="1" si="54"/>
        <v>0</v>
      </c>
    </row>
    <row r="223" spans="3:20">
      <c r="C223" s="116" t="str">
        <f>INDEX(KB!C:D,MATCH(D223,KB!D:D,0),1)</f>
        <v>Máy giặt, Máy sấy, Máy rửa chén T5 &amp; T6/2026</v>
      </c>
      <c r="D223" s="116" t="s">
        <v>70</v>
      </c>
      <c r="E223" s="117" t="s">
        <v>283</v>
      </c>
      <c r="F223" s="116" t="str">
        <f t="shared" si="59"/>
        <v>Máy giặt, Máy sấy, Máy rửa chén T5 &amp; T6/2026Nguyễn Anh Tài - 269055</v>
      </c>
      <c r="G223" s="118" cm="1">
        <f t="array" ref="G223">IFERROR(INDEX(KB!$I$38:$AJ$50,MATCH(XL_DT_TD!E223,KB!$I$38:$I$50,0),MATCH(XL_DT_TD!D223,KB!$J$37:$AJ$37,0)+1),0)</f>
        <v>0</v>
      </c>
      <c r="H223" s="118" cm="1">
        <f t="array" ref="H223">IFERROR(
  INDEX(DATA_TĐ!$B$36:$Z$47,
    MATCH(TRUE, INDEX(TRIM(DATA_TĐ!$B$36:$B$45)=TRIM(E223),0),0),
    MATCH(TRUE, INDEX(TRIM(DATA_TĐ!$B$36:$Z$36)=TRIM(C223),0),0)
  ),
0)</f>
        <v>0</v>
      </c>
      <c r="I223" s="118">
        <f ca="1">H223/DAY(NOW()-1)*'Hieu Qua NV'!$J$1</f>
        <v>0</v>
      </c>
      <c r="J223" s="118">
        <f t="shared" si="60"/>
        <v>0</v>
      </c>
      <c r="K223" s="118">
        <f ca="1">J223/'Hieu Qua NV'!$J$2</f>
        <v>0</v>
      </c>
      <c r="L223" s="119" t="e">
        <f t="shared" ca="1" si="58"/>
        <v>#DIV/0!</v>
      </c>
      <c r="M223" s="118">
        <f ca="1">IFERROR(
INDEX(
KB!$I$55:$AJ$68,
MATCH(E223,KB!$I$55:$I$68,0),
MATCH(D223,KB!$I$55:$AJ$55,0)
),
0)</f>
        <v>0</v>
      </c>
      <c r="S223" s="669" cm="1">
        <f t="array" aca="1" ref="S223" ca="1">_xlfn.IFS(
CONFIG!$B$8="W1",H223-N223,
CONFIG!$B$8="W2",H223-O223,
CONFIG!$B$8="W3",H223-P223,
CONFIG!$B$8="W4",H223-Q223,
CONFIG!$B$8="W5",H223-R223
)</f>
        <v>0</v>
      </c>
      <c r="T223" s="652">
        <f t="shared" ca="1" si="54"/>
        <v>0</v>
      </c>
    </row>
    <row r="224" spans="3:20">
      <c r="C224" s="116" t="str">
        <f>INDEX(KB!C:D,MATCH(D224,KB!D:D,0),1)</f>
        <v>Máy giặt, Máy sấy, Máy rửa chén T5 &amp; T6/2026</v>
      </c>
      <c r="D224" s="116" t="s">
        <v>70</v>
      </c>
      <c r="E224" s="117" t="s">
        <v>284</v>
      </c>
      <c r="F224" s="116" t="str">
        <f t="shared" si="59"/>
        <v>Máy giặt, Máy sấy, Máy rửa chén T5 &amp; T6/2026Lê Văn Hợp - 279884</v>
      </c>
      <c r="G224" s="118" cm="1">
        <f t="array" ref="G224">IFERROR(INDEX(KB!$I$38:$AJ$50,MATCH(XL_DT_TD!E224,KB!$I$38:$I$50,0),MATCH(XL_DT_TD!D224,KB!$J$37:$AJ$37,0)+1),0)</f>
        <v>0</v>
      </c>
      <c r="H224" s="118" cm="1">
        <f t="array" ref="H224">IFERROR(
  INDEX(DATA_TĐ!$B$36:$Z$47,
    MATCH(TRUE, INDEX(TRIM(DATA_TĐ!$B$36:$B$45)=TRIM(E224),0),0),
    MATCH(TRUE, INDEX(TRIM(DATA_TĐ!$B$36:$Z$36)=TRIM(C224),0),0)
  ),
0)</f>
        <v>0</v>
      </c>
      <c r="I224" s="118">
        <f ca="1">H224/DAY(NOW()-1)*'Hieu Qua NV'!$J$1</f>
        <v>0</v>
      </c>
      <c r="J224" s="118">
        <f t="shared" si="60"/>
        <v>0</v>
      </c>
      <c r="K224" s="118">
        <f ca="1">J224/'Hieu Qua NV'!$J$2</f>
        <v>0</v>
      </c>
      <c r="L224" s="119" t="e">
        <f t="shared" ca="1" si="58"/>
        <v>#DIV/0!</v>
      </c>
      <c r="M224" s="118">
        <f ca="1">IFERROR(
INDEX(
KB!$I$55:$AJ$68,
MATCH(E224,KB!$I$55:$I$68,0),
MATCH(D224,KB!$I$55:$AJ$55,0)
),
0)</f>
        <v>0</v>
      </c>
      <c r="S224" s="669" cm="1">
        <f t="array" aca="1" ref="S224" ca="1">_xlfn.IFS(
CONFIG!$B$8="W1",H224-N224,
CONFIG!$B$8="W2",H224-O224,
CONFIG!$B$8="W3",H224-P224,
CONFIG!$B$8="W4",H224-Q224,
CONFIG!$B$8="W5",H224-R224
)</f>
        <v>0</v>
      </c>
      <c r="T224" s="652">
        <f t="shared" ca="1" si="54"/>
        <v>0</v>
      </c>
    </row>
    <row r="225" spans="3:20">
      <c r="C225" s="120" t="str">
        <f>INDEX(KB!C:D,MATCH(D225,KB!D:D,0),1)</f>
        <v>Máy giặt, Máy sấy, Máy rửa chén T5 &amp; T6/2026</v>
      </c>
      <c r="D225" s="120" t="s">
        <v>70</v>
      </c>
      <c r="E225" s="120" t="s">
        <v>20</v>
      </c>
      <c r="F225" s="121" t="str">
        <f t="shared" si="59"/>
        <v>Máy giặt, Máy sấy, Máy rửa chén T5 &amp; T6/2026Tổng</v>
      </c>
      <c r="G225" s="122">
        <f t="shared" ref="G225" si="64">SUM(G212:G223)</f>
        <v>1032.0287999999998</v>
      </c>
      <c r="H225" s="122">
        <f t="shared" ref="H225:I225" si="65">SUM(H212:H223)</f>
        <v>343.46000000000004</v>
      </c>
      <c r="I225" s="122">
        <f t="shared" ca="1" si="65"/>
        <v>1717.3</v>
      </c>
      <c r="J225" s="122">
        <f t="shared" si="60"/>
        <v>688.56879999999978</v>
      </c>
      <c r="K225" s="122">
        <f ca="1">J225/'Hieu Qua NV'!$J$2</f>
        <v>29.937773913043468</v>
      </c>
      <c r="L225" s="119">
        <f t="shared" ca="1" si="58"/>
        <v>1.6640039502773569</v>
      </c>
      <c r="M225" s="122">
        <f t="shared" ref="M225" ca="1" si="66">SUM(M212:M223)</f>
        <v>257</v>
      </c>
      <c r="S225" s="669" cm="1">
        <f t="array" aca="1" ref="S225" ca="1">_xlfn.IFS(
CONFIG!$B$8="W1",H225-N225,
CONFIG!$B$8="W2",H225-O225,
CONFIG!$B$8="W3",H225-P225,
CONFIG!$B$8="W4",H225-Q225,
CONFIG!$B$8="W5",H225-R225
)</f>
        <v>343.46000000000004</v>
      </c>
      <c r="T225" s="652">
        <f t="shared" ca="1" si="54"/>
        <v>1.3364202334630351</v>
      </c>
    </row>
    <row r="226" spans="3:20">
      <c r="C226" s="116" t="e">
        <f>INDEX(KB!C:D,MATCH(D226,KB!D:D,0),1)</f>
        <v>#N/A</v>
      </c>
      <c r="D226" s="116"/>
      <c r="E226" s="321" t="s">
        <v>57</v>
      </c>
      <c r="F226" s="116" t="e">
        <f t="shared" si="59"/>
        <v>#N/A</v>
      </c>
      <c r="G226" s="118" cm="1">
        <f t="array" ref="G226">IFERROR(INDEX(KB!$I$38:$AJ$50,MATCH(XL_DT_TD!E226,KB!$I$38:$I$50,0),MATCH(XL_DT_TD!D226,KB!$J$37:$AJ$37,0)+1),0)</f>
        <v>0</v>
      </c>
      <c r="H226" s="118" cm="1">
        <f t="array" ref="H226">IFERROR(INDEX(DATA_TĐ!$B$1:$AZ$19,MATCH(XL_DT_TD!E226,DATA_TĐ!B:B,0),MATCH(XL_DT_TD!C226,DATA_TĐ!$1:$1,0)-1),0)</f>
        <v>0</v>
      </c>
      <c r="I226" s="118">
        <f ca="1">H226/DAY(NOW()-1)*'Hieu Qua NV'!$J$1</f>
        <v>0</v>
      </c>
      <c r="J226" s="118">
        <f t="shared" si="60"/>
        <v>0</v>
      </c>
      <c r="K226" s="118">
        <f ca="1">J226/'Hieu Qua NV'!$J$2</f>
        <v>0</v>
      </c>
      <c r="L226" s="119" t="e">
        <f t="shared" ca="1" si="58"/>
        <v>#DIV/0!</v>
      </c>
      <c r="M226" s="118">
        <f ca="1">IFERROR(
INDEX(
KB!$I$55:$AJ$68,
MATCH(E226,KB!$I$55:$I$68,0),
MATCH(D226,KB!$I$55:$AJ$55,0)
),
0)</f>
        <v>0</v>
      </c>
      <c r="S226" s="669" cm="1">
        <f t="array" aca="1" ref="S226" ca="1">_xlfn.IFS(
CONFIG!$B$8="W1",H226-N226,
CONFIG!$B$8="W2",H226-O226,
CONFIG!$B$8="W3",H226-P226,
CONFIG!$B$8="W4",H226-Q226,
CONFIG!$B$8="W5",H226-R226
)</f>
        <v>0</v>
      </c>
      <c r="T226" s="652">
        <f t="shared" ca="1" si="54"/>
        <v>0</v>
      </c>
    </row>
    <row r="227" spans="3:20">
      <c r="C227" s="116" t="e">
        <f>INDEX(KB!C:D,MATCH(D227,KB!D:D,0),1)</f>
        <v>#N/A</v>
      </c>
      <c r="D227" s="116"/>
      <c r="E227" s="321" t="s">
        <v>60</v>
      </c>
      <c r="F227" s="116" t="e">
        <f t="shared" si="59"/>
        <v>#N/A</v>
      </c>
      <c r="G227" s="118" cm="1">
        <f t="array" ref="G227">IFERROR(INDEX(KB!$I$38:$AJ$50,MATCH(XL_DT_TD!E227,KB!$I$38:$I$50,0),MATCH(XL_DT_TD!D227,KB!$J$37:$AJ$37,0)+1),0)</f>
        <v>0</v>
      </c>
      <c r="H227" s="118" cm="1">
        <f t="array" ref="H227">IFERROR(INDEX(DATA_TĐ!$B$1:$AZ$19,MATCH(XL_DT_TD!E227,DATA_TĐ!B:B,0),MATCH(XL_DT_TD!C227,DATA_TĐ!$1:$1,0)-1),0)</f>
        <v>0</v>
      </c>
      <c r="I227" s="118">
        <f ca="1">H227/DAY(NOW()-1)*'Hieu Qua NV'!$J$1</f>
        <v>0</v>
      </c>
      <c r="J227" s="118">
        <f t="shared" si="60"/>
        <v>0</v>
      </c>
      <c r="K227" s="118">
        <f ca="1">J227/'Hieu Qua NV'!$J$2</f>
        <v>0</v>
      </c>
      <c r="L227" s="119" t="e">
        <f t="shared" ca="1" si="58"/>
        <v>#DIV/0!</v>
      </c>
      <c r="M227" s="118">
        <f ca="1">IFERROR(
INDEX(
KB!$I$55:$AJ$68,
MATCH(E227,KB!$I$55:$I$68,0),
MATCH(D227,KB!$I$55:$AJ$55,0)
),
0)</f>
        <v>0</v>
      </c>
      <c r="S227" s="669" cm="1">
        <f t="array" aca="1" ref="S227" ca="1">_xlfn.IFS(
CONFIG!$B$8="W1",H227-N227,
CONFIG!$B$8="W2",H227-O227,
CONFIG!$B$8="W3",H227-P227,
CONFIG!$B$8="W4",H227-Q227,
CONFIG!$B$8="W5",H227-R227
)</f>
        <v>0</v>
      </c>
      <c r="T227" s="652">
        <f t="shared" ca="1" si="54"/>
        <v>0</v>
      </c>
    </row>
    <row r="228" spans="3:20">
      <c r="C228" s="116" t="e">
        <f>INDEX(KB!C:D,MATCH(D228,KB!D:D,0),1)</f>
        <v>#N/A</v>
      </c>
      <c r="D228" s="116"/>
      <c r="E228" s="321" t="s">
        <v>15</v>
      </c>
      <c r="F228" s="116" t="e">
        <f t="shared" si="59"/>
        <v>#N/A</v>
      </c>
      <c r="G228" s="118" cm="1">
        <f t="array" ref="G228">IFERROR(INDEX(KB!$I$38:$AJ$50,MATCH(XL_DT_TD!E228,KB!$I$38:$I$50,0),MATCH(XL_DT_TD!D228,KB!$J$37:$AJ$37,0)+1),0)</f>
        <v>0</v>
      </c>
      <c r="H228" s="118" cm="1">
        <f t="array" ref="H228">IFERROR(INDEX(DATA_TĐ!$B$1:$AZ$19,MATCH(XL_DT_TD!E228,DATA_TĐ!B:B,0),MATCH(XL_DT_TD!C228,DATA_TĐ!$1:$1,0)-1),0)</f>
        <v>0</v>
      </c>
      <c r="I228" s="118">
        <f ca="1">H228/DAY(NOW()-1)*'Hieu Qua NV'!$J$1</f>
        <v>0</v>
      </c>
      <c r="J228" s="118">
        <f t="shared" si="60"/>
        <v>0</v>
      </c>
      <c r="K228" s="118">
        <f ca="1">J228/'Hieu Qua NV'!$J$2</f>
        <v>0</v>
      </c>
      <c r="L228" s="119" t="e">
        <f t="shared" ca="1" si="58"/>
        <v>#DIV/0!</v>
      </c>
      <c r="M228" s="118">
        <f ca="1">IFERROR(
INDEX(
KB!$I$55:$AJ$68,
MATCH(E228,KB!$I$55:$I$68,0),
MATCH(D228,KB!$I$55:$AJ$55,0)
),
0)</f>
        <v>0</v>
      </c>
      <c r="S228" s="669" cm="1">
        <f t="array" aca="1" ref="S228" ca="1">_xlfn.IFS(
CONFIG!$B$8="W1",H228-N228,
CONFIG!$B$8="W2",H228-O228,
CONFIG!$B$8="W3",H228-P228,
CONFIG!$B$8="W4",H228-Q228,
CONFIG!$B$8="W5",H228-R228
)</f>
        <v>0</v>
      </c>
      <c r="T228" s="652">
        <f t="shared" ca="1" si="54"/>
        <v>0</v>
      </c>
    </row>
    <row r="229" spans="3:20">
      <c r="C229" s="116" t="e">
        <f>INDEX(KB!C:D,MATCH(D229,KB!D:D,0),1)</f>
        <v>#N/A</v>
      </c>
      <c r="D229" s="116"/>
      <c r="E229" s="321" t="s">
        <v>151</v>
      </c>
      <c r="F229" s="116" t="e">
        <f t="shared" si="59"/>
        <v>#N/A</v>
      </c>
      <c r="G229" s="118" cm="1">
        <f t="array" ref="G229">IFERROR(INDEX(KB!$I$38:$AJ$50,MATCH(XL_DT_TD!E229,KB!$I$38:$I$50,0),MATCH(XL_DT_TD!D229,KB!$J$37:$AJ$37,0)+1),0)</f>
        <v>0</v>
      </c>
      <c r="H229" s="118" cm="1">
        <f t="array" ref="H229">IFERROR(INDEX(DATA_TĐ!$B$1:$AZ$19,MATCH(XL_DT_TD!E229,DATA_TĐ!B:B,0),MATCH(XL_DT_TD!C229,DATA_TĐ!$1:$1,0)-1),0)</f>
        <v>0</v>
      </c>
      <c r="I229" s="118">
        <f ca="1">H229/DAY(NOW()-1)*'Hieu Qua NV'!$J$1</f>
        <v>0</v>
      </c>
      <c r="J229" s="118">
        <f t="shared" si="60"/>
        <v>0</v>
      </c>
      <c r="K229" s="118">
        <f ca="1">J229/'Hieu Qua NV'!$J$2</f>
        <v>0</v>
      </c>
      <c r="L229" s="119" t="e">
        <f t="shared" ca="1" si="58"/>
        <v>#DIV/0!</v>
      </c>
      <c r="M229" s="118">
        <f ca="1">IFERROR(
INDEX(
KB!$I$55:$AJ$68,
MATCH(E229,KB!$I$55:$I$68,0),
MATCH(D229,KB!$I$55:$AJ$55,0)
),
0)</f>
        <v>0</v>
      </c>
      <c r="S229" s="669" cm="1">
        <f t="array" aca="1" ref="S229" ca="1">_xlfn.IFS(
CONFIG!$B$8="W1",H229-N229,
CONFIG!$B$8="W2",H229-O229,
CONFIG!$B$8="W3",H229-P229,
CONFIG!$B$8="W4",H229-Q229,
CONFIG!$B$8="W5",H229-R229
)</f>
        <v>0</v>
      </c>
      <c r="T229" s="652">
        <f t="shared" ca="1" si="54"/>
        <v>0</v>
      </c>
    </row>
    <row r="230" spans="3:20">
      <c r="C230" s="116" t="e">
        <f>INDEX(KB!C:D,MATCH(D230,KB!D:D,0),1)</f>
        <v>#N/A</v>
      </c>
      <c r="D230" s="116"/>
      <c r="E230" s="321" t="s">
        <v>293</v>
      </c>
      <c r="F230" s="116" t="e">
        <f t="shared" si="59"/>
        <v>#N/A</v>
      </c>
      <c r="G230" s="118" cm="1">
        <f t="array" ref="G230">IFERROR(INDEX(KB!$I$38:$AJ$50,MATCH(XL_DT_TD!E230,KB!$I$38:$I$50,0),MATCH(XL_DT_TD!D230,KB!$J$37:$AJ$37,0)+1),0)</f>
        <v>0</v>
      </c>
      <c r="H230" s="118" cm="1">
        <f t="array" ref="H230">IFERROR(INDEX(DATA_TĐ!$B$1:$AZ$19,MATCH(XL_DT_TD!E230,DATA_TĐ!B:B,0),MATCH(XL_DT_TD!C230,DATA_TĐ!$1:$1,0)-1),0)</f>
        <v>0</v>
      </c>
      <c r="I230" s="118">
        <f ca="1">H230/DAY(NOW()-1)*'Hieu Qua NV'!$J$1</f>
        <v>0</v>
      </c>
      <c r="J230" s="118">
        <f t="shared" si="60"/>
        <v>0</v>
      </c>
      <c r="K230" s="118">
        <f ca="1">J230/'Hieu Qua NV'!$J$2</f>
        <v>0</v>
      </c>
      <c r="L230" s="119" t="e">
        <f t="shared" ca="1" si="58"/>
        <v>#DIV/0!</v>
      </c>
      <c r="M230" s="118">
        <f ca="1">IFERROR(
INDEX(
KB!$I$55:$AJ$68,
MATCH(E230,KB!$I$55:$I$68,0),
MATCH(D230,KB!$I$55:$AJ$55,0)
),
0)</f>
        <v>0</v>
      </c>
      <c r="S230" s="669" cm="1">
        <f t="array" aca="1" ref="S230" ca="1">_xlfn.IFS(
CONFIG!$B$8="W1",H230-N230,
CONFIG!$B$8="W2",H230-O230,
CONFIG!$B$8="W3",H230-P230,
CONFIG!$B$8="W4",H230-Q230,
CONFIG!$B$8="W5",H230-R230
)</f>
        <v>0</v>
      </c>
      <c r="T230" s="652">
        <f t="shared" ca="1" si="54"/>
        <v>0</v>
      </c>
    </row>
    <row r="231" spans="3:20">
      <c r="C231" s="116" t="e">
        <f>INDEX(KB!C:D,MATCH(D231,KB!D:D,0),1)</f>
        <v>#N/A</v>
      </c>
      <c r="D231" s="116"/>
      <c r="E231" s="321" t="s">
        <v>433</v>
      </c>
      <c r="F231" s="116" t="e">
        <f t="shared" si="59"/>
        <v>#N/A</v>
      </c>
      <c r="G231" s="118" cm="1">
        <f t="array" ref="G231">IFERROR(INDEX(KB!$I$38:$AJ$50,MATCH(XL_DT_TD!E231,KB!$I$38:$I$50,0),MATCH(XL_DT_TD!D231,KB!$J$37:$AJ$37,0)+1),0)</f>
        <v>0</v>
      </c>
      <c r="H231" s="118" cm="1">
        <f t="array" ref="H231">IFERROR(INDEX(DATA_TĐ!$B$1:$AZ$19,MATCH(XL_DT_TD!E231,DATA_TĐ!B:B,0),MATCH(XL_DT_TD!C231,DATA_TĐ!$1:$1,0)-1),0)</f>
        <v>0</v>
      </c>
      <c r="I231" s="118">
        <f ca="1">H231/DAY(NOW()-1)*'Hieu Qua NV'!$J$1</f>
        <v>0</v>
      </c>
      <c r="J231" s="118">
        <f t="shared" si="60"/>
        <v>0</v>
      </c>
      <c r="K231" s="118">
        <f ca="1">J231/'Hieu Qua NV'!$J$2</f>
        <v>0</v>
      </c>
      <c r="L231" s="119" t="e">
        <f t="shared" ca="1" si="58"/>
        <v>#DIV/0!</v>
      </c>
      <c r="M231" s="118">
        <f ca="1">IFERROR(
INDEX(
KB!$I$55:$AJ$68,
MATCH(E231,KB!$I$55:$I$68,0),
MATCH(D231,KB!$I$55:$AJ$55,0)
),
0)</f>
        <v>0</v>
      </c>
      <c r="S231" s="669" cm="1">
        <f t="array" aca="1" ref="S231" ca="1">_xlfn.IFS(
CONFIG!$B$8="W1",H231-N231,
CONFIG!$B$8="W2",H231-O231,
CONFIG!$B$8="W3",H231-P231,
CONFIG!$B$8="W4",H231-Q231,
CONFIG!$B$8="W5",H231-R231
)</f>
        <v>0</v>
      </c>
      <c r="T231" s="652">
        <f t="shared" ca="1" si="54"/>
        <v>0</v>
      </c>
    </row>
    <row r="232" spans="3:20">
      <c r="C232" s="116" t="e">
        <f>INDEX(KB!C:D,MATCH(D232,KB!D:D,0),1)</f>
        <v>#N/A</v>
      </c>
      <c r="D232" s="116"/>
      <c r="E232" s="321" t="s">
        <v>56</v>
      </c>
      <c r="F232" s="116" t="e">
        <f t="shared" si="59"/>
        <v>#N/A</v>
      </c>
      <c r="G232" s="118" cm="1">
        <f t="array" ref="G232">IFERROR(INDEX(KB!$I$38:$AJ$50,MATCH(XL_DT_TD!E232,KB!$I$38:$I$50,0),MATCH(XL_DT_TD!D232,KB!$J$37:$AJ$37,0)+1),0)</f>
        <v>0</v>
      </c>
      <c r="H232" s="118" cm="1">
        <f t="array" ref="H232">IFERROR(INDEX(DATA_TĐ!$B$1:$AZ$19,MATCH(XL_DT_TD!E232,DATA_TĐ!B:B,0),MATCH(XL_DT_TD!C232,DATA_TĐ!$1:$1,0)-1),0)</f>
        <v>0</v>
      </c>
      <c r="I232" s="118">
        <f ca="1">H232/DAY(NOW()-1)*'Hieu Qua NV'!$J$1</f>
        <v>0</v>
      </c>
      <c r="J232" s="118">
        <f t="shared" si="60"/>
        <v>0</v>
      </c>
      <c r="K232" s="118">
        <f ca="1">J232/'Hieu Qua NV'!$J$2</f>
        <v>0</v>
      </c>
      <c r="L232" s="119" t="e">
        <f t="shared" ca="1" si="58"/>
        <v>#DIV/0!</v>
      </c>
      <c r="M232" s="118">
        <f ca="1">IFERROR(
INDEX(
KB!$I$55:$AJ$68,
MATCH(E232,KB!$I$55:$I$68,0),
MATCH(D232,KB!$I$55:$AJ$55,0)
),
0)</f>
        <v>0</v>
      </c>
      <c r="S232" s="669" cm="1">
        <f t="array" aca="1" ref="S232" ca="1">_xlfn.IFS(
CONFIG!$B$8="W1",H232-N232,
CONFIG!$B$8="W2",H232-O232,
CONFIG!$B$8="W3",H232-P232,
CONFIG!$B$8="W4",H232-Q232,
CONFIG!$B$8="W5",H232-R232
)</f>
        <v>0</v>
      </c>
      <c r="T232" s="652">
        <f t="shared" ca="1" si="54"/>
        <v>0</v>
      </c>
    </row>
    <row r="233" spans="3:20">
      <c r="C233" s="116" t="e">
        <f>INDEX(KB!C:D,MATCH(D233,KB!D:D,0),1)</f>
        <v>#N/A</v>
      </c>
      <c r="D233" s="116"/>
      <c r="E233" s="321" t="s">
        <v>530</v>
      </c>
      <c r="F233" s="116" t="e">
        <f t="shared" si="59"/>
        <v>#N/A</v>
      </c>
      <c r="G233" s="118" cm="1">
        <f t="array" ref="G233">IFERROR(INDEX(KB!$I$38:$AJ$50,MATCH(XL_DT_TD!E233,KB!$I$38:$I$50,0),MATCH(XL_DT_TD!D233,KB!$J$37:$AJ$37,0)+1),0)</f>
        <v>0</v>
      </c>
      <c r="H233" s="118" cm="1">
        <f t="array" ref="H233">IFERROR(INDEX(DATA_TĐ!$B$1:$AZ$19,MATCH(XL_DT_TD!E233,DATA_TĐ!B:B,0),MATCH(XL_DT_TD!C233,DATA_TĐ!$1:$1,0)-1),0)</f>
        <v>0</v>
      </c>
      <c r="I233" s="118">
        <f ca="1">H233/DAY(NOW()-1)*'Hieu Qua NV'!$J$1</f>
        <v>0</v>
      </c>
      <c r="J233" s="118">
        <f t="shared" si="60"/>
        <v>0</v>
      </c>
      <c r="K233" s="118">
        <f ca="1">J233/'Hieu Qua NV'!$J$2</f>
        <v>0</v>
      </c>
      <c r="L233" s="119" t="e">
        <f t="shared" ca="1" si="58"/>
        <v>#DIV/0!</v>
      </c>
      <c r="M233" s="118">
        <f ca="1">IFERROR(
INDEX(
KB!$I$55:$AJ$68,
MATCH(E233,KB!$I$55:$I$68,0),
MATCH(D233,KB!$I$55:$AJ$55,0)
),
0)</f>
        <v>0</v>
      </c>
      <c r="S233" s="669" cm="1">
        <f t="array" aca="1" ref="S233" ca="1">_xlfn.IFS(
CONFIG!$B$8="W1",H233-N233,
CONFIG!$B$8="W2",H233-O233,
CONFIG!$B$8="W3",H233-P233,
CONFIG!$B$8="W4",H233-Q233,
CONFIG!$B$8="W5",H233-R233
)</f>
        <v>0</v>
      </c>
      <c r="T233" s="652">
        <f t="shared" ca="1" si="54"/>
        <v>0</v>
      </c>
    </row>
    <row r="234" spans="3:20">
      <c r="C234" s="116" t="e">
        <f>INDEX(KB!C:D,MATCH(D234,KB!D:D,0),1)</f>
        <v>#N/A</v>
      </c>
      <c r="D234" s="116"/>
      <c r="E234" s="321" t="s">
        <v>560</v>
      </c>
      <c r="F234" s="116" t="e">
        <f t="shared" si="59"/>
        <v>#N/A</v>
      </c>
      <c r="G234" s="118" cm="1">
        <f t="array" ref="G234">IFERROR(INDEX(KB!$I$38:$AJ$50,MATCH(XL_DT_TD!E234,KB!$I$38:$I$50,0),MATCH(XL_DT_TD!D234,KB!$J$37:$AJ$37,0)+1),0)</f>
        <v>0</v>
      </c>
      <c r="H234" s="118" cm="1">
        <f t="array" ref="H234">IFERROR(INDEX(DATA_TĐ!$B$1:$AZ$19,MATCH(XL_DT_TD!E234,DATA_TĐ!B:B,0),MATCH(XL_DT_TD!C234,DATA_TĐ!$1:$1,0)-1),0)</f>
        <v>0</v>
      </c>
      <c r="I234" s="118">
        <f ca="1">H234/DAY(NOW()-1)*'Hieu Qua NV'!$J$1</f>
        <v>0</v>
      </c>
      <c r="J234" s="118">
        <f t="shared" si="60"/>
        <v>0</v>
      </c>
      <c r="K234" s="118">
        <f ca="1">J234/'Hieu Qua NV'!$J$2</f>
        <v>0</v>
      </c>
      <c r="L234" s="119" t="e">
        <f t="shared" ca="1" si="58"/>
        <v>#DIV/0!</v>
      </c>
      <c r="M234" s="118">
        <f ca="1">IFERROR(
INDEX(
KB!$I$55:$AJ$68,
MATCH(E234,KB!$I$55:$I$68,0),
MATCH(D234,KB!$I$55:$AJ$55,0)
),
0)</f>
        <v>0</v>
      </c>
      <c r="S234" s="669" cm="1">
        <f t="array" aca="1" ref="S234" ca="1">_xlfn.IFS(
CONFIG!$B$8="W1",H234-N234,
CONFIG!$B$8="W2",H234-O234,
CONFIG!$B$8="W3",H234-P234,
CONFIG!$B$8="W4",H234-Q234,
CONFIG!$B$8="W5",H234-R234
)</f>
        <v>0</v>
      </c>
      <c r="T234" s="652">
        <f t="shared" ca="1" si="54"/>
        <v>0</v>
      </c>
    </row>
    <row r="235" spans="3:20">
      <c r="C235" s="116" t="e">
        <f>INDEX(KB!C:D,MATCH(D235,KB!D:D,0),1)</f>
        <v>#N/A</v>
      </c>
      <c r="D235" s="116"/>
      <c r="E235" s="117" t="s">
        <v>281</v>
      </c>
      <c r="F235" s="116" t="e">
        <f t="shared" si="59"/>
        <v>#N/A</v>
      </c>
      <c r="G235" s="118" cm="1">
        <f t="array" ref="G235">IFERROR(INDEX(KB!$I$38:$AJ$50,MATCH(XL_DT_TD!E235,KB!$I$38:$I$50,0),MATCH(XL_DT_TD!D235,KB!$J$37:$AJ$37,0)+1),0)</f>
        <v>0</v>
      </c>
      <c r="H235" s="118" cm="1">
        <f t="array" ref="H235">IFERROR(
  INDEX(DATA_TĐ!$B$36:$Z$47,
    MATCH(TRUE, INDEX(TRIM(DATA_TĐ!$B$36:$B$45)=TRIM(E235),0),0),
    MATCH(TRUE, INDEX(TRIM(DATA_TĐ!$B$36:$Z$36)=TRIM(C235),0),0)
  ),
0)</f>
        <v>0</v>
      </c>
      <c r="I235" s="118">
        <f ca="1">H235/DAY(NOW()-1)*'Hieu Qua NV'!$J$1</f>
        <v>0</v>
      </c>
      <c r="J235" s="118">
        <f t="shared" si="60"/>
        <v>0</v>
      </c>
      <c r="K235" s="118">
        <f ca="1">J235/'Hieu Qua NV'!$J$2</f>
        <v>0</v>
      </c>
      <c r="L235" s="119" t="e">
        <f t="shared" ca="1" si="58"/>
        <v>#DIV/0!</v>
      </c>
      <c r="M235" s="118">
        <f ca="1">IFERROR(
INDEX(
KB!$I$55:$AJ$68,
MATCH(E235,KB!$I$55:$I$68,0),
MATCH(D235,KB!$I$55:$AJ$55,0)
),
0)</f>
        <v>0</v>
      </c>
      <c r="S235" s="669" cm="1">
        <f t="array" aca="1" ref="S235" ca="1">_xlfn.IFS(
CONFIG!$B$8="W1",H235-N235,
CONFIG!$B$8="W2",H235-O235,
CONFIG!$B$8="W3",H235-P235,
CONFIG!$B$8="W4",H235-Q235,
CONFIG!$B$8="W5",H235-R235
)</f>
        <v>0</v>
      </c>
      <c r="T235" s="652">
        <f t="shared" ca="1" si="54"/>
        <v>0</v>
      </c>
    </row>
    <row r="236" spans="3:20">
      <c r="C236" s="116" t="e">
        <f>INDEX(KB!C:D,MATCH(D236,KB!D:D,0),1)</f>
        <v>#N/A</v>
      </c>
      <c r="D236" s="116"/>
      <c r="E236" s="117" t="s">
        <v>282</v>
      </c>
      <c r="F236" s="116" t="e">
        <f t="shared" si="59"/>
        <v>#N/A</v>
      </c>
      <c r="G236" s="118" cm="1">
        <f t="array" ref="G236">IFERROR(INDEX(KB!$I$38:$AJ$50,MATCH(XL_DT_TD!E236,KB!$I$38:$I$50,0),MATCH(XL_DT_TD!D236,KB!$J$37:$AJ$37,0)+1),0)</f>
        <v>0</v>
      </c>
      <c r="H236" s="118" cm="1">
        <f t="array" ref="H236">IFERROR(
  INDEX(DATA_TĐ!$B$36:$Z$47,
    MATCH(TRUE, INDEX(TRIM(DATA_TĐ!$B$36:$B$45)=TRIM(E236),0),0),
    MATCH(TRUE, INDEX(TRIM(DATA_TĐ!$B$36:$Z$36)=TRIM(C236),0),0)
  ),
0)</f>
        <v>0</v>
      </c>
      <c r="I236" s="118">
        <f ca="1">H236/DAY(NOW()-1)*'Hieu Qua NV'!$J$1</f>
        <v>0</v>
      </c>
      <c r="J236" s="118">
        <f t="shared" si="60"/>
        <v>0</v>
      </c>
      <c r="K236" s="118">
        <f ca="1">J236/'Hieu Qua NV'!$J$2</f>
        <v>0</v>
      </c>
      <c r="L236" s="119" t="e">
        <f t="shared" ca="1" si="58"/>
        <v>#DIV/0!</v>
      </c>
      <c r="M236" s="118">
        <f ca="1">IFERROR(
INDEX(
KB!$I$55:$AJ$68,
MATCH(E236,KB!$I$55:$I$68,0),
MATCH(D236,KB!$I$55:$AJ$55,0)
),
0)</f>
        <v>0</v>
      </c>
      <c r="S236" s="669" cm="1">
        <f t="array" aca="1" ref="S236" ca="1">_xlfn.IFS(
CONFIG!$B$8="W1",H236-N236,
CONFIG!$B$8="W2",H236-O236,
CONFIG!$B$8="W3",H236-P236,
CONFIG!$B$8="W4",H236-Q236,
CONFIG!$B$8="W5",H236-R236
)</f>
        <v>0</v>
      </c>
      <c r="T236" s="652">
        <f t="shared" ca="1" si="54"/>
        <v>0</v>
      </c>
    </row>
    <row r="237" spans="3:20">
      <c r="C237" s="116" t="e">
        <f>INDEX(KB!C:D,MATCH(D237,KB!D:D,0),1)</f>
        <v>#N/A</v>
      </c>
      <c r="D237" s="116"/>
      <c r="E237" s="117" t="s">
        <v>283</v>
      </c>
      <c r="F237" s="116" t="e">
        <f t="shared" si="59"/>
        <v>#N/A</v>
      </c>
      <c r="G237" s="118" cm="1">
        <f t="array" ref="G237">IFERROR(INDEX(KB!$I$38:$AJ$50,MATCH(XL_DT_TD!E237,KB!$I$38:$I$50,0),MATCH(XL_DT_TD!D237,KB!$J$37:$AJ$37,0)+1),0)</f>
        <v>0</v>
      </c>
      <c r="H237" s="118" cm="1">
        <f t="array" ref="H237">IFERROR(
  INDEX(DATA_TĐ!$B$36:$Z$47,
    MATCH(TRUE, INDEX(TRIM(DATA_TĐ!$B$36:$B$45)=TRIM(E237),0),0),
    MATCH(TRUE, INDEX(TRIM(DATA_TĐ!$B$36:$Z$36)=TRIM(C237),0),0)
  ),
0)</f>
        <v>0</v>
      </c>
      <c r="I237" s="118">
        <f ca="1">H237/DAY(NOW()-1)*'Hieu Qua NV'!$J$1</f>
        <v>0</v>
      </c>
      <c r="J237" s="118">
        <f t="shared" si="60"/>
        <v>0</v>
      </c>
      <c r="K237" s="118">
        <f ca="1">J237/'Hieu Qua NV'!$J$2</f>
        <v>0</v>
      </c>
      <c r="L237" s="119" t="e">
        <f t="shared" ca="1" si="58"/>
        <v>#DIV/0!</v>
      </c>
      <c r="M237" s="118">
        <f ca="1">IFERROR(
INDEX(
KB!$I$55:$AJ$68,
MATCH(E237,KB!$I$55:$I$68,0),
MATCH(D237,KB!$I$55:$AJ$55,0)
),
0)</f>
        <v>0</v>
      </c>
      <c r="S237" s="669" cm="1">
        <f t="array" aca="1" ref="S237" ca="1">_xlfn.IFS(
CONFIG!$B$8="W1",H237-N237,
CONFIG!$B$8="W2",H237-O237,
CONFIG!$B$8="W3",H237-P237,
CONFIG!$B$8="W4",H237-Q237,
CONFIG!$B$8="W5",H237-R237
)</f>
        <v>0</v>
      </c>
      <c r="T237" s="652">
        <f t="shared" ca="1" si="54"/>
        <v>0</v>
      </c>
    </row>
    <row r="238" spans="3:20">
      <c r="C238" s="116" t="e">
        <f>INDEX(KB!C:D,MATCH(D238,KB!D:D,0),1)</f>
        <v>#N/A</v>
      </c>
      <c r="D238" s="116"/>
      <c r="E238" s="117" t="s">
        <v>284</v>
      </c>
      <c r="F238" s="116" t="e">
        <f t="shared" si="59"/>
        <v>#N/A</v>
      </c>
      <c r="G238" s="118" cm="1">
        <f t="array" ref="G238">IFERROR(INDEX(KB!$I$38:$AJ$50,MATCH(XL_DT_TD!E238,KB!$I$38:$I$50,0),MATCH(XL_DT_TD!D238,KB!$J$37:$AJ$37,0)+1),0)</f>
        <v>0</v>
      </c>
      <c r="H238" s="118" cm="1">
        <f t="array" ref="H238">IFERROR(
  INDEX(DATA_TĐ!$B$36:$Z$47,
    MATCH(TRUE, INDEX(TRIM(DATA_TĐ!$B$36:$B$45)=TRIM(E238),0),0),
    MATCH(TRUE, INDEX(TRIM(DATA_TĐ!$B$36:$Z$36)=TRIM(C238),0),0)
  ),
0)</f>
        <v>0</v>
      </c>
      <c r="I238" s="118">
        <f ca="1">H238/DAY(NOW()-1)*'Hieu Qua NV'!$J$1</f>
        <v>0</v>
      </c>
      <c r="J238" s="118">
        <f t="shared" si="60"/>
        <v>0</v>
      </c>
      <c r="K238" s="118">
        <f ca="1">J238/'Hieu Qua NV'!$J$2</f>
        <v>0</v>
      </c>
      <c r="L238" s="119" t="e">
        <f t="shared" ca="1" si="58"/>
        <v>#DIV/0!</v>
      </c>
      <c r="M238" s="118">
        <f ca="1">IFERROR(
INDEX(
KB!$I$55:$AJ$68,
MATCH(E238,KB!$I$55:$I$68,0),
MATCH(D238,KB!$I$55:$AJ$55,0)
),
0)</f>
        <v>0</v>
      </c>
      <c r="S238" s="669" cm="1">
        <f t="array" aca="1" ref="S238" ca="1">_xlfn.IFS(
CONFIG!$B$8="W1",H238-N238,
CONFIG!$B$8="W2",H238-O238,
CONFIG!$B$8="W3",H238-P238,
CONFIG!$B$8="W4",H238-Q238,
CONFIG!$B$8="W5",H238-R238
)</f>
        <v>0</v>
      </c>
      <c r="T238" s="652">
        <f t="shared" ca="1" si="54"/>
        <v>0</v>
      </c>
    </row>
    <row r="239" spans="3:20">
      <c r="C239" s="120" t="e">
        <f>INDEX(KB!C:D,MATCH(D239,KB!D:D,0),1)</f>
        <v>#N/A</v>
      </c>
      <c r="D239" s="120"/>
      <c r="E239" s="120" t="s">
        <v>20</v>
      </c>
      <c r="F239" s="121" t="e">
        <f t="shared" si="59"/>
        <v>#N/A</v>
      </c>
      <c r="G239" s="122">
        <f t="shared" ref="G239" si="67">SUM(G226:G237)</f>
        <v>0</v>
      </c>
      <c r="H239" s="122">
        <f t="shared" ref="H239:I239" si="68">SUM(H226:H237)</f>
        <v>0</v>
      </c>
      <c r="I239" s="122">
        <f t="shared" ca="1" si="68"/>
        <v>0</v>
      </c>
      <c r="J239" s="122">
        <f t="shared" si="60"/>
        <v>0</v>
      </c>
      <c r="K239" s="122">
        <f ca="1">J239/'Hieu Qua NV'!$J$2</f>
        <v>0</v>
      </c>
      <c r="L239" s="119" t="e">
        <f t="shared" ca="1" si="58"/>
        <v>#DIV/0!</v>
      </c>
      <c r="M239" s="122">
        <f t="shared" ref="M239" ca="1" si="69">SUM(M226:M237)</f>
        <v>0</v>
      </c>
      <c r="S239" s="669" cm="1">
        <f t="array" aca="1" ref="S239" ca="1">_xlfn.IFS(
CONFIG!$B$8="W1",H239-N239,
CONFIG!$B$8="W2",H239-O239,
CONFIG!$B$8="W3",H239-P239,
CONFIG!$B$8="W4",H239-Q239,
CONFIG!$B$8="W5",H239-R239
)</f>
        <v>0</v>
      </c>
      <c r="T239" s="652">
        <f t="shared" ca="1" si="54"/>
        <v>0</v>
      </c>
    </row>
    <row r="240" spans="3:20">
      <c r="C240" s="116" t="str">
        <f>INDEX(KB!C:D,MATCH(D240,KB!D:D,0),1)</f>
        <v>ĐỒNG HỒ</v>
      </c>
      <c r="D240" s="116" t="s">
        <v>171</v>
      </c>
      <c r="E240" s="321" t="s">
        <v>57</v>
      </c>
      <c r="F240" s="116" t="str">
        <f t="shared" si="59"/>
        <v>ĐỒNG HỒNguyễn Thị Ngọc - 54026</v>
      </c>
      <c r="G240" s="118" cm="1">
        <f t="array" ref="G240">IFERROR(INDEX(KB!$I$38:$AJ$50,MATCH(XL_DT_TD!E240,KB!$I$38:$I$50,0),MATCH(XL_DT_TD!D240,KB!$J$37:$AJ$37,0)+1),0)</f>
        <v>3.4499999999999997</v>
      </c>
      <c r="H240" s="118" cm="1">
        <f t="array" ref="H240">IFERROR(INDEX(DATA_TĐ!$B$1:$AZ$19,MATCH(XL_DT_TD!E240,DATA_TĐ!B:B,0),MATCH(XL_DT_TD!C240,DATA_TĐ!$1:$1,0)-1),0)</f>
        <v>0</v>
      </c>
      <c r="I240" s="118">
        <f ca="1">H240/DAY(NOW()-1)*'Hieu Qua NV'!$J$1</f>
        <v>0</v>
      </c>
      <c r="J240" s="118">
        <f t="shared" si="60"/>
        <v>3.4499999999999997</v>
      </c>
      <c r="K240" s="118">
        <f ca="1">J240/'Hieu Qua NV'!$J$2</f>
        <v>0.15</v>
      </c>
      <c r="L240" s="119">
        <f t="shared" ca="1" si="58"/>
        <v>0</v>
      </c>
      <c r="M240" s="118">
        <f ca="1">IFERROR(
INDEX(
KB!$I$55:$AJ$68,
MATCH(E240,KB!$I$55:$I$68,0),
MATCH(D240,KB!$I$55:$AJ$55,0)
),
0)</f>
        <v>1</v>
      </c>
      <c r="S240" s="669" cm="1">
        <f t="array" aca="1" ref="S240" ca="1">_xlfn.IFS(
CONFIG!$B$8="W1",H240-N240,
CONFIG!$B$8="W2",H240-O240,
CONFIG!$B$8="W3",H240-P240,
CONFIG!$B$8="W4",H240-Q240,
CONFIG!$B$8="W5",H240-R240
)</f>
        <v>0</v>
      </c>
      <c r="T240" s="652">
        <f t="shared" ca="1" si="54"/>
        <v>0</v>
      </c>
    </row>
    <row r="241" spans="3:20">
      <c r="C241" s="116" t="str">
        <f>INDEX(KB!C:D,MATCH(D241,KB!D:D,0),1)</f>
        <v>ĐỒNG HỒ</v>
      </c>
      <c r="D241" s="116" t="s">
        <v>171</v>
      </c>
      <c r="E241" s="321" t="s">
        <v>60</v>
      </c>
      <c r="F241" s="116" t="str">
        <f t="shared" si="59"/>
        <v>ĐỒNG HỒNguyễn Viết Sơn - 94065</v>
      </c>
      <c r="G241" s="118" cm="1">
        <f t="array" ref="G241">IFERROR(INDEX(KB!$I$38:$AJ$50,MATCH(XL_DT_TD!E241,KB!$I$38:$I$50,0),MATCH(XL_DT_TD!D241,KB!$J$37:$AJ$37,0)+1),0)</f>
        <v>3.4499999999999997</v>
      </c>
      <c r="H241" s="118" cm="1">
        <f t="array" ref="H241">IFERROR(INDEX(DATA_TĐ!$B$1:$AZ$19,MATCH(XL_DT_TD!E241,DATA_TĐ!B:B,0),MATCH(XL_DT_TD!C241,DATA_TĐ!$1:$1,0)-1),0)</f>
        <v>0</v>
      </c>
      <c r="I241" s="118">
        <f ca="1">H241/DAY(NOW()-1)*'Hieu Qua NV'!$J$1</f>
        <v>0</v>
      </c>
      <c r="J241" s="118">
        <f t="shared" si="60"/>
        <v>3.4499999999999997</v>
      </c>
      <c r="K241" s="118">
        <f ca="1">J241/'Hieu Qua NV'!$J$2</f>
        <v>0.15</v>
      </c>
      <c r="L241" s="119">
        <f t="shared" ca="1" si="58"/>
        <v>0</v>
      </c>
      <c r="M241" s="118">
        <f ca="1">IFERROR(
INDEX(
KB!$I$55:$AJ$68,
MATCH(E241,KB!$I$55:$I$68,0),
MATCH(D241,KB!$I$55:$AJ$55,0)
),
0)</f>
        <v>1</v>
      </c>
      <c r="S241" s="669" cm="1">
        <f t="array" aca="1" ref="S241" ca="1">_xlfn.IFS(
CONFIG!$B$8="W1",H241-N241,
CONFIG!$B$8="W2",H241-O241,
CONFIG!$B$8="W3",H241-P241,
CONFIG!$B$8="W4",H241-Q241,
CONFIG!$B$8="W5",H241-R241
)</f>
        <v>0</v>
      </c>
      <c r="T241" s="652">
        <f t="shared" ca="1" si="54"/>
        <v>0</v>
      </c>
    </row>
    <row r="242" spans="3:20">
      <c r="C242" s="116" t="str">
        <f>INDEX(KB!C:D,MATCH(D242,KB!D:D,0),1)</f>
        <v>ĐỒNG HỒ</v>
      </c>
      <c r="D242" s="116" t="s">
        <v>171</v>
      </c>
      <c r="E242" s="321" t="s">
        <v>15</v>
      </c>
      <c r="F242" s="116" t="str">
        <f t="shared" si="59"/>
        <v>ĐỒNG HỒNguyễn Trang Nhung - 25734</v>
      </c>
      <c r="G242" s="118" cm="1">
        <f t="array" ref="G242">IFERROR(INDEX(KB!$I$38:$AJ$50,MATCH(XL_DT_TD!E242,KB!$I$38:$I$50,0),MATCH(XL_DT_TD!D242,KB!$J$37:$AJ$37,0)+1),0)</f>
        <v>5.0599999999999996</v>
      </c>
      <c r="H242" s="118" cm="1">
        <f t="array" ref="H242">IFERROR(INDEX(DATA_TĐ!$B$1:$AZ$19,MATCH(XL_DT_TD!E242,DATA_TĐ!B:B,0),MATCH(XL_DT_TD!C242,DATA_TĐ!$1:$1,0)-1),0)</f>
        <v>1.1000000000000001</v>
      </c>
      <c r="I242" s="118">
        <f ca="1">H242/DAY(NOW()-1)*'Hieu Qua NV'!$J$1</f>
        <v>5.5</v>
      </c>
      <c r="J242" s="118">
        <f t="shared" si="60"/>
        <v>3.9599999999999995</v>
      </c>
      <c r="K242" s="118">
        <f ca="1">J242/'Hieu Qua NV'!$J$2</f>
        <v>0.17217391304347823</v>
      </c>
      <c r="L242" s="119">
        <f t="shared" ca="1" si="58"/>
        <v>1.0869565217391306</v>
      </c>
      <c r="M242" s="118">
        <f ca="1">IFERROR(
INDEX(
KB!$I$55:$AJ$68,
MATCH(E242,KB!$I$55:$I$68,0),
MATCH(D242,KB!$I$55:$AJ$55,0)
),
0)</f>
        <v>1</v>
      </c>
      <c r="S242" s="669" cm="1">
        <f t="array" aca="1" ref="S242" ca="1">_xlfn.IFS(
CONFIG!$B$8="W1",H242-N242,
CONFIG!$B$8="W2",H242-O242,
CONFIG!$B$8="W3",H242-P242,
CONFIG!$B$8="W4",H242-Q242,
CONFIG!$B$8="W5",H242-R242
)</f>
        <v>1.1000000000000001</v>
      </c>
      <c r="T242" s="652">
        <f t="shared" ca="1" si="54"/>
        <v>1.1000000000000001</v>
      </c>
    </row>
    <row r="243" spans="3:20">
      <c r="C243" s="116" t="str">
        <f>INDEX(KB!C:D,MATCH(D243,KB!D:D,0),1)</f>
        <v>ĐỒNG HỒ</v>
      </c>
      <c r="D243" s="116" t="s">
        <v>171</v>
      </c>
      <c r="E243" s="321" t="s">
        <v>151</v>
      </c>
      <c r="F243" s="116" t="str">
        <f t="shared" si="59"/>
        <v>ĐỒNG HỒTrần Huy Hoàn - 270828</v>
      </c>
      <c r="G243" s="118" cm="1">
        <f t="array" ref="G243">IFERROR(INDEX(KB!$I$38:$AJ$50,MATCH(XL_DT_TD!E243,KB!$I$38:$I$50,0),MATCH(XL_DT_TD!D243,KB!$J$37:$AJ$37,0)+1),0)</f>
        <v>4.1399999999999997</v>
      </c>
      <c r="H243" s="118" cm="1">
        <f t="array" ref="H243">IFERROR(INDEX(DATA_TĐ!$B$1:$AZ$19,MATCH(XL_DT_TD!E243,DATA_TĐ!B:B,0),MATCH(XL_DT_TD!C243,DATA_TĐ!$1:$1,0)-1),0)</f>
        <v>0</v>
      </c>
      <c r="I243" s="118">
        <f ca="1">H243/DAY(NOW()-1)*'Hieu Qua NV'!$J$1</f>
        <v>0</v>
      </c>
      <c r="J243" s="118">
        <f t="shared" si="60"/>
        <v>4.1399999999999997</v>
      </c>
      <c r="K243" s="118">
        <f ca="1">J243/'Hieu Qua NV'!$J$2</f>
        <v>0.18</v>
      </c>
      <c r="L243" s="119">
        <f t="shared" ca="1" si="58"/>
        <v>0</v>
      </c>
      <c r="M243" s="118">
        <f ca="1">IFERROR(
INDEX(
KB!$I$55:$AJ$68,
MATCH(E243,KB!$I$55:$I$68,0),
MATCH(D243,KB!$I$55:$AJ$55,0)
),
0)</f>
        <v>1</v>
      </c>
      <c r="S243" s="669" cm="1">
        <f t="array" aca="1" ref="S243" ca="1">_xlfn.IFS(
CONFIG!$B$8="W1",H243-N243,
CONFIG!$B$8="W2",H243-O243,
CONFIG!$B$8="W3",H243-P243,
CONFIG!$B$8="W4",H243-Q243,
CONFIG!$B$8="W5",H243-R243
)</f>
        <v>0</v>
      </c>
      <c r="T243" s="652">
        <f t="shared" ca="1" si="54"/>
        <v>0</v>
      </c>
    </row>
    <row r="244" spans="3:20">
      <c r="C244" s="116" t="str">
        <f>INDEX(KB!C:D,MATCH(D244,KB!D:D,0),1)</f>
        <v>ĐỒNG HỒ</v>
      </c>
      <c r="D244" s="116" t="s">
        <v>171</v>
      </c>
      <c r="E244" s="321" t="s">
        <v>293</v>
      </c>
      <c r="F244" s="116" t="str">
        <f t="shared" si="59"/>
        <v>ĐỒNG HỒPhạm Văn Thanh - 279935</v>
      </c>
      <c r="G244" s="118" cm="1">
        <f t="array" ref="G244">IFERROR(INDEX(KB!$I$38:$AJ$50,MATCH(XL_DT_TD!E244,KB!$I$38:$I$50,0),MATCH(XL_DT_TD!D244,KB!$J$37:$AJ$37,0)+1),0)</f>
        <v>2.3000000000000003</v>
      </c>
      <c r="H244" s="118" cm="1">
        <f t="array" ref="H244">IFERROR(INDEX(DATA_TĐ!$B$1:$AZ$19,MATCH(XL_DT_TD!E244,DATA_TĐ!B:B,0),MATCH(XL_DT_TD!C244,DATA_TĐ!$1:$1,0)-1),0)</f>
        <v>0.11</v>
      </c>
      <c r="I244" s="118">
        <f ca="1">H244/DAY(NOW()-1)*'Hieu Qua NV'!$J$1</f>
        <v>0.55000000000000004</v>
      </c>
      <c r="J244" s="118">
        <f t="shared" si="60"/>
        <v>2.1900000000000004</v>
      </c>
      <c r="K244" s="118">
        <f ca="1">J244/'Hieu Qua NV'!$J$2</f>
        <v>9.5217391304347837E-2</v>
      </c>
      <c r="L244" s="119">
        <f t="shared" ca="1" si="58"/>
        <v>0.23913043478260868</v>
      </c>
      <c r="M244" s="118">
        <f ca="1">IFERROR(
INDEX(
KB!$I$55:$AJ$68,
MATCH(E244,KB!$I$55:$I$68,0),
MATCH(D244,KB!$I$55:$AJ$55,0)
),
0)</f>
        <v>1</v>
      </c>
      <c r="S244" s="669" cm="1">
        <f t="array" aca="1" ref="S244" ca="1">_xlfn.IFS(
CONFIG!$B$8="W1",H244-N244,
CONFIG!$B$8="W2",H244-O244,
CONFIG!$B$8="W3",H244-P244,
CONFIG!$B$8="W4",H244-Q244,
CONFIG!$B$8="W5",H244-R244
)</f>
        <v>0.11</v>
      </c>
      <c r="T244" s="652">
        <f t="shared" ca="1" si="54"/>
        <v>0.11</v>
      </c>
    </row>
    <row r="245" spans="3:20">
      <c r="C245" s="116" t="str">
        <f>INDEX(KB!C:D,MATCH(D245,KB!D:D,0),1)</f>
        <v>ĐỒNG HỒ</v>
      </c>
      <c r="D245" s="116" t="s">
        <v>171</v>
      </c>
      <c r="E245" s="321" t="s">
        <v>433</v>
      </c>
      <c r="F245" s="116" t="str">
        <f t="shared" si="59"/>
        <v>ĐỒNG HỒNguyễn Thành Đạt - 280855</v>
      </c>
      <c r="G245" s="118" cm="1">
        <f t="array" ref="G245">IFERROR(INDEX(KB!$I$38:$AJ$50,MATCH(XL_DT_TD!E245,KB!$I$38:$I$50,0),MATCH(XL_DT_TD!D245,KB!$J$37:$AJ$37,0)+1),0)</f>
        <v>2.3000000000000003</v>
      </c>
      <c r="H245" s="118" cm="1">
        <f t="array" ref="H245">IFERROR(INDEX(DATA_TĐ!$B$1:$AZ$19,MATCH(XL_DT_TD!E245,DATA_TĐ!B:B,0),MATCH(XL_DT_TD!C245,DATA_TĐ!$1:$1,0)-1),0)</f>
        <v>0</v>
      </c>
      <c r="I245" s="118">
        <f ca="1">H245/DAY(NOW()-1)*'Hieu Qua NV'!$J$1</f>
        <v>0</v>
      </c>
      <c r="J245" s="118">
        <f t="shared" si="60"/>
        <v>2.3000000000000003</v>
      </c>
      <c r="K245" s="118">
        <f ca="1">J245/'Hieu Qua NV'!$J$2</f>
        <v>0.1</v>
      </c>
      <c r="L245" s="119">
        <f t="shared" ca="1" si="58"/>
        <v>0</v>
      </c>
      <c r="M245" s="118">
        <f ca="1">IFERROR(
INDEX(
KB!$I$55:$AJ$68,
MATCH(E245,KB!$I$55:$I$68,0),
MATCH(D245,KB!$I$55:$AJ$55,0)
),
0)</f>
        <v>1</v>
      </c>
      <c r="S245" s="669" cm="1">
        <f t="array" aca="1" ref="S245" ca="1">_xlfn.IFS(
CONFIG!$B$8="W1",H245-N245,
CONFIG!$B$8="W2",H245-O245,
CONFIG!$B$8="W3",H245-P245,
CONFIG!$B$8="W4",H245-Q245,
CONFIG!$B$8="W5",H245-R245
)</f>
        <v>0</v>
      </c>
      <c r="T245" s="652">
        <f t="shared" ca="1" si="54"/>
        <v>0</v>
      </c>
    </row>
    <row r="246" spans="3:20">
      <c r="C246" s="116" t="str">
        <f>INDEX(KB!C:D,MATCH(D246,KB!D:D,0),1)</f>
        <v>ĐỒNG HỒ</v>
      </c>
      <c r="D246" s="116" t="s">
        <v>171</v>
      </c>
      <c r="E246" s="321" t="s">
        <v>56</v>
      </c>
      <c r="F246" s="116" t="str">
        <f t="shared" si="59"/>
        <v>ĐỒNG HỒĐỗ Văn Duân - 62025</v>
      </c>
      <c r="G246" s="118" cm="1">
        <f t="array" ref="G246">IFERROR(INDEX(KB!$I$38:$AJ$50,MATCH(XL_DT_TD!E246,KB!$I$38:$I$50,0),MATCH(XL_DT_TD!D246,KB!$J$37:$AJ$37,0)+1),0)</f>
        <v>4.1399999999999997</v>
      </c>
      <c r="H246" s="118" cm="1">
        <f t="array" ref="H246">IFERROR(INDEX(DATA_TĐ!$B$1:$AZ$19,MATCH(XL_DT_TD!E246,DATA_TĐ!B:B,0),MATCH(XL_DT_TD!C246,DATA_TĐ!$1:$1,0)-1),0)</f>
        <v>0</v>
      </c>
      <c r="I246" s="118">
        <f ca="1">H246/DAY(NOW()-1)*'Hieu Qua NV'!$J$1</f>
        <v>0</v>
      </c>
      <c r="J246" s="118">
        <f t="shared" si="60"/>
        <v>4.1399999999999997</v>
      </c>
      <c r="K246" s="118">
        <f ca="1">J246/'Hieu Qua NV'!$J$2</f>
        <v>0.18</v>
      </c>
      <c r="L246" s="119">
        <f t="shared" ca="1" si="58"/>
        <v>0</v>
      </c>
      <c r="M246" s="118">
        <f ca="1">IFERROR(
INDEX(
KB!$I$55:$AJ$68,
MATCH(E246,KB!$I$55:$I$68,0),
MATCH(D246,KB!$I$55:$AJ$55,0)
),
0)</f>
        <v>1</v>
      </c>
      <c r="S246" s="669" cm="1">
        <f t="array" aca="1" ref="S246" ca="1">_xlfn.IFS(
CONFIG!$B$8="W1",H246-N246,
CONFIG!$B$8="W2",H246-O246,
CONFIG!$B$8="W3",H246-P246,
CONFIG!$B$8="W4",H246-Q246,
CONFIG!$B$8="W5",H246-R246
)</f>
        <v>0</v>
      </c>
      <c r="T246" s="652">
        <f t="shared" ca="1" si="54"/>
        <v>0</v>
      </c>
    </row>
    <row r="247" spans="3:20">
      <c r="C247" s="116" t="str">
        <f>INDEX(KB!C:D,MATCH(D247,KB!D:D,0),1)</f>
        <v>ĐỒNG HỒ</v>
      </c>
      <c r="D247" s="116" t="s">
        <v>171</v>
      </c>
      <c r="E247" s="321" t="s">
        <v>530</v>
      </c>
      <c r="F247" s="116" t="str">
        <f t="shared" si="59"/>
        <v>ĐỒNG HỒNhân viên Mới 1</v>
      </c>
      <c r="G247" s="118" cm="1">
        <f t="array" ref="G247">IFERROR(INDEX(KB!$I$38:$AJ$50,MATCH(XL_DT_TD!E247,KB!$I$38:$I$50,0),MATCH(XL_DT_TD!D247,KB!$J$37:$AJ$37,0)+1),0)</f>
        <v>0</v>
      </c>
      <c r="H247" s="118" cm="1">
        <f t="array" ref="H247">IFERROR(INDEX(DATA_TĐ!$B$1:$AZ$19,MATCH(XL_DT_TD!E247,DATA_TĐ!B:B,0),MATCH(XL_DT_TD!C247,DATA_TĐ!$1:$1,0)-1),0)</f>
        <v>0</v>
      </c>
      <c r="I247" s="118">
        <f ca="1">H247/DAY(NOW()-1)*'Hieu Qua NV'!$J$1</f>
        <v>0</v>
      </c>
      <c r="J247" s="118">
        <f t="shared" si="60"/>
        <v>0</v>
      </c>
      <c r="K247" s="118">
        <f ca="1">J247/'Hieu Qua NV'!$J$2</f>
        <v>0</v>
      </c>
      <c r="L247" s="119" t="e">
        <f t="shared" ca="1" si="58"/>
        <v>#DIV/0!</v>
      </c>
      <c r="M247" s="118">
        <f ca="1">IFERROR(
INDEX(
KB!$I$55:$AJ$68,
MATCH(E247,KB!$I$55:$I$68,0),
MATCH(D247,KB!$I$55:$AJ$55,0)
),
0)</f>
        <v>0</v>
      </c>
      <c r="S247" s="669" cm="1">
        <f t="array" aca="1" ref="S247" ca="1">_xlfn.IFS(
CONFIG!$B$8="W1",H247-N247,
CONFIG!$B$8="W2",H247-O247,
CONFIG!$B$8="W3",H247-P247,
CONFIG!$B$8="W4",H247-Q247,
CONFIG!$B$8="W5",H247-R247
)</f>
        <v>0</v>
      </c>
      <c r="T247" s="652">
        <f t="shared" ca="1" si="54"/>
        <v>0</v>
      </c>
    </row>
    <row r="248" spans="3:20">
      <c r="C248" s="116" t="str">
        <f>INDEX(KB!C:D,MATCH(D248,KB!D:D,0),1)</f>
        <v>ĐỒNG HỒ</v>
      </c>
      <c r="D248" s="116" t="s">
        <v>171</v>
      </c>
      <c r="E248" s="321" t="s">
        <v>560</v>
      </c>
      <c r="F248" s="116" t="str">
        <f t="shared" si="59"/>
        <v>ĐỒNG HỒNhân viên Mới 2</v>
      </c>
      <c r="G248" s="118" cm="1">
        <f t="array" ref="G248">IFERROR(INDEX(KB!$I$38:$AJ$50,MATCH(XL_DT_TD!E248,KB!$I$38:$I$50,0),MATCH(XL_DT_TD!D248,KB!$J$37:$AJ$37,0)+1),0)</f>
        <v>0</v>
      </c>
      <c r="H248" s="118" cm="1">
        <f t="array" ref="H248">IFERROR(INDEX(DATA_TĐ!$B$1:$AZ$19,MATCH(XL_DT_TD!E248,DATA_TĐ!B:B,0),MATCH(XL_DT_TD!C248,DATA_TĐ!$1:$1,0)-1),0)</f>
        <v>0</v>
      </c>
      <c r="I248" s="118">
        <f ca="1">H248/DAY(NOW()-1)*'Hieu Qua NV'!$J$1</f>
        <v>0</v>
      </c>
      <c r="J248" s="118">
        <f t="shared" si="60"/>
        <v>0</v>
      </c>
      <c r="K248" s="118">
        <f ca="1">J248/'Hieu Qua NV'!$J$2</f>
        <v>0</v>
      </c>
      <c r="L248" s="119" t="e">
        <f t="shared" ca="1" si="58"/>
        <v>#DIV/0!</v>
      </c>
      <c r="M248" s="118">
        <f ca="1">IFERROR(
INDEX(
KB!$I$55:$AJ$68,
MATCH(E248,KB!$I$55:$I$68,0),
MATCH(D248,KB!$I$55:$AJ$55,0)
),
0)</f>
        <v>0</v>
      </c>
      <c r="S248" s="669" cm="1">
        <f t="array" aca="1" ref="S248" ca="1">_xlfn.IFS(
CONFIG!$B$8="W1",H248-N248,
CONFIG!$B$8="W2",H248-O248,
CONFIG!$B$8="W3",H248-P248,
CONFIG!$B$8="W4",H248-Q248,
CONFIG!$B$8="W5",H248-R248
)</f>
        <v>0</v>
      </c>
      <c r="T248" s="652">
        <f t="shared" ca="1" si="54"/>
        <v>0</v>
      </c>
    </row>
    <row r="249" spans="3:20">
      <c r="C249" s="116" t="str">
        <f>INDEX(KB!C:D,MATCH(D249,KB!D:D,0),1)</f>
        <v>ĐỒNG HỒ</v>
      </c>
      <c r="D249" s="116" t="s">
        <v>171</v>
      </c>
      <c r="E249" s="117" t="s">
        <v>281</v>
      </c>
      <c r="F249" s="116" t="str">
        <f t="shared" si="59"/>
        <v>ĐỒNG HỒTrần Thị Nhung - 11082</v>
      </c>
      <c r="G249" s="118" cm="1">
        <f t="array" ref="G249">IFERROR(INDEX(KB!$I$38:$AJ$50,MATCH(XL_DT_TD!E249,KB!$I$38:$I$50,0),MATCH(XL_DT_TD!D249,KB!$J$37:$AJ$37,0)+1),0)</f>
        <v>30.869999999999997</v>
      </c>
      <c r="H249" s="118" cm="1">
        <f t="array" ref="H249">IFERROR(
  INDEX(DATA_TĐ!$B$36:$Z$47,
    MATCH(TRUE, INDEX(TRIM(DATA_TĐ!$B$36:$B$45)=TRIM(E249),0),0),
    MATCH(TRUE, INDEX(TRIM(DATA_TĐ!$B$36:$Z$36)=TRIM(C249),0),0)
  ),
0)</f>
        <v>0.54</v>
      </c>
      <c r="I249" s="118">
        <f ca="1">H249/DAY(NOW()-1)*'Hieu Qua NV'!$J$1</f>
        <v>2.7</v>
      </c>
      <c r="J249" s="118">
        <f t="shared" si="60"/>
        <v>30.33</v>
      </c>
      <c r="K249" s="118">
        <f ca="1">J249/'Hieu Qua NV'!$J$2</f>
        <v>1.318695652173913</v>
      </c>
      <c r="L249" s="119">
        <f t="shared" ca="1" si="58"/>
        <v>8.7463556851311963E-2</v>
      </c>
      <c r="M249" s="118">
        <f ca="1">IFERROR(
INDEX(
KB!$I$55:$AJ$68,
MATCH(E249,KB!$I$55:$I$68,0),
MATCH(D249,KB!$I$55:$AJ$55,0)
),
0)</f>
        <v>8</v>
      </c>
      <c r="S249" s="669" cm="1">
        <f t="array" aca="1" ref="S249" ca="1">_xlfn.IFS(
CONFIG!$B$8="W1",H249-N249,
CONFIG!$B$8="W2",H249-O249,
CONFIG!$B$8="W3",H249-P249,
CONFIG!$B$8="W4",H249-Q249,
CONFIG!$B$8="W5",H249-R249
)</f>
        <v>0.54</v>
      </c>
      <c r="T249" s="652">
        <f t="shared" ca="1" si="54"/>
        <v>6.7500000000000004E-2</v>
      </c>
    </row>
    <row r="250" spans="3:20">
      <c r="C250" s="116" t="str">
        <f>INDEX(KB!C:D,MATCH(D250,KB!D:D,0),1)</f>
        <v>ĐỒNG HỒ</v>
      </c>
      <c r="D250" s="116" t="s">
        <v>171</v>
      </c>
      <c r="E250" s="117" t="s">
        <v>282</v>
      </c>
      <c r="F250" s="116" t="str">
        <f t="shared" si="59"/>
        <v>ĐỒNG HỒNguyễn Thị Phương Oanh - 164808</v>
      </c>
      <c r="G250" s="118" cm="1">
        <f t="array" ref="G250">IFERROR(INDEX(KB!$I$38:$AJ$50,MATCH(XL_DT_TD!E250,KB!$I$38:$I$50,0),MATCH(XL_DT_TD!D250,KB!$J$37:$AJ$37,0)+1),0)</f>
        <v>22.05</v>
      </c>
      <c r="H250" s="118" cm="1">
        <f t="array" ref="H250">IFERROR(
  INDEX(DATA_TĐ!$B$36:$Z$47,
    MATCH(TRUE, INDEX(TRIM(DATA_TĐ!$B$36:$B$45)=TRIM(E250),0),0),
    MATCH(TRUE, INDEX(TRIM(DATA_TĐ!$B$36:$Z$36)=TRIM(C250),0),0)
  ),
0)</f>
        <v>2.35</v>
      </c>
      <c r="I250" s="118">
        <f ca="1">H250/DAY(NOW()-1)*'Hieu Qua NV'!$J$1</f>
        <v>11.75</v>
      </c>
      <c r="J250" s="118">
        <f t="shared" si="60"/>
        <v>19.7</v>
      </c>
      <c r="K250" s="118">
        <f ca="1">J250/'Hieu Qua NV'!$J$2</f>
        <v>0.85652173913043472</v>
      </c>
      <c r="L250" s="119">
        <f t="shared" ca="1" si="58"/>
        <v>0.53287981859410427</v>
      </c>
      <c r="M250" s="118">
        <f ca="1">IFERROR(
INDEX(
KB!$I$55:$AJ$68,
MATCH(E250,KB!$I$55:$I$68,0),
MATCH(D250,KB!$I$55:$AJ$55,0)
),
0)</f>
        <v>6</v>
      </c>
      <c r="S250" s="669" cm="1">
        <f t="array" aca="1" ref="S250" ca="1">_xlfn.IFS(
CONFIG!$B$8="W1",H250-N250,
CONFIG!$B$8="W2",H250-O250,
CONFIG!$B$8="W3",H250-P250,
CONFIG!$B$8="W4",H250-Q250,
CONFIG!$B$8="W5",H250-R250
)</f>
        <v>2.35</v>
      </c>
      <c r="T250" s="652">
        <f t="shared" ca="1" si="54"/>
        <v>0.39166666666666666</v>
      </c>
    </row>
    <row r="251" spans="3:20">
      <c r="C251" s="116" t="str">
        <f>INDEX(KB!C:D,MATCH(D251,KB!D:D,0),1)</f>
        <v>ĐỒNG HỒ</v>
      </c>
      <c r="D251" s="116" t="s">
        <v>171</v>
      </c>
      <c r="E251" s="117" t="s">
        <v>283</v>
      </c>
      <c r="F251" s="116" t="str">
        <f t="shared" si="59"/>
        <v>ĐỒNG HỒNguyễn Anh Tài - 269055</v>
      </c>
      <c r="G251" s="118" cm="1">
        <f t="array" ref="G251">IFERROR(INDEX(KB!$I$38:$AJ$50,MATCH(XL_DT_TD!E251,KB!$I$38:$I$50,0),MATCH(XL_DT_TD!D251,KB!$J$37:$AJ$37,0)+1),0)</f>
        <v>26.46</v>
      </c>
      <c r="H251" s="118" cm="1">
        <f t="array" ref="H251">IFERROR(
  INDEX(DATA_TĐ!$B$36:$Z$47,
    MATCH(TRUE, INDEX(TRIM(DATA_TĐ!$B$36:$B$45)=TRIM(E251),0),0),
    MATCH(TRUE, INDEX(TRIM(DATA_TĐ!$B$36:$Z$36)=TRIM(C251),0),0)
  ),
0)</f>
        <v>0</v>
      </c>
      <c r="I251" s="118">
        <f ca="1">H251/DAY(NOW()-1)*'Hieu Qua NV'!$J$1</f>
        <v>0</v>
      </c>
      <c r="J251" s="118">
        <f t="shared" si="60"/>
        <v>26.46</v>
      </c>
      <c r="K251" s="118">
        <f ca="1">J251/'Hieu Qua NV'!$J$2</f>
        <v>1.1504347826086956</v>
      </c>
      <c r="L251" s="119">
        <f t="shared" ca="1" si="58"/>
        <v>0</v>
      </c>
      <c r="M251" s="118">
        <f ca="1">IFERROR(
INDEX(
KB!$I$55:$AJ$68,
MATCH(E251,KB!$I$55:$I$68,0),
MATCH(D251,KB!$I$55:$AJ$55,0)
),
0)</f>
        <v>7</v>
      </c>
      <c r="S251" s="669" cm="1">
        <f t="array" aca="1" ref="S251" ca="1">_xlfn.IFS(
CONFIG!$B$8="W1",H251-N251,
CONFIG!$B$8="W2",H251-O251,
CONFIG!$B$8="W3",H251-P251,
CONFIG!$B$8="W4",H251-Q251,
CONFIG!$B$8="W5",H251-R251
)</f>
        <v>0</v>
      </c>
      <c r="T251" s="652">
        <f t="shared" ca="1" si="54"/>
        <v>0</v>
      </c>
    </row>
    <row r="252" spans="3:20">
      <c r="C252" s="116" t="str">
        <f>INDEX(KB!C:D,MATCH(D252,KB!D:D,0),1)</f>
        <v>ĐỒNG HỒ</v>
      </c>
      <c r="D252" s="116" t="s">
        <v>171</v>
      </c>
      <c r="E252" s="117" t="s">
        <v>284</v>
      </c>
      <c r="F252" s="116" t="str">
        <f t="shared" si="59"/>
        <v>ĐỒNG HỒLê Văn Hợp - 279884</v>
      </c>
      <c r="G252" s="118" cm="1">
        <f t="array" ref="G252">IFERROR(INDEX(KB!$I$38:$AJ$50,MATCH(XL_DT_TD!E252,KB!$I$38:$I$50,0),MATCH(XL_DT_TD!D252,KB!$J$37:$AJ$37,0)+1),0)</f>
        <v>8.82</v>
      </c>
      <c r="H252" s="118" cm="1">
        <f t="array" ref="H252">IFERROR(
  INDEX(DATA_TĐ!$B$36:$Z$47,
    MATCH(TRUE, INDEX(TRIM(DATA_TĐ!$B$36:$B$45)=TRIM(E252),0),0),
    MATCH(TRUE, INDEX(TRIM(DATA_TĐ!$B$36:$Z$36)=TRIM(C252),0),0)
  ),
0)</f>
        <v>0</v>
      </c>
      <c r="I252" s="118">
        <f ca="1">H252/DAY(NOW()-1)*'Hieu Qua NV'!$J$1</f>
        <v>0</v>
      </c>
      <c r="J252" s="118">
        <f t="shared" si="60"/>
        <v>8.82</v>
      </c>
      <c r="K252" s="118">
        <f ca="1">J252/'Hieu Qua NV'!$J$2</f>
        <v>0.38347826086956521</v>
      </c>
      <c r="L252" s="119">
        <f t="shared" ca="1" si="58"/>
        <v>0</v>
      </c>
      <c r="M252" s="118">
        <f ca="1">IFERROR(
INDEX(
KB!$I$55:$AJ$68,
MATCH(E252,KB!$I$55:$I$68,0),
MATCH(D252,KB!$I$55:$AJ$55,0)
),
0)</f>
        <v>2</v>
      </c>
      <c r="S252" s="669" cm="1">
        <f t="array" aca="1" ref="S252" ca="1">_xlfn.IFS(
CONFIG!$B$8="W1",H252-N252,
CONFIG!$B$8="W2",H252-O252,
CONFIG!$B$8="W3",H252-P252,
CONFIG!$B$8="W4",H252-Q252,
CONFIG!$B$8="W5",H252-R252
)</f>
        <v>0</v>
      </c>
      <c r="T252" s="652">
        <f t="shared" ca="1" si="54"/>
        <v>0</v>
      </c>
    </row>
    <row r="253" spans="3:20">
      <c r="C253" s="120" t="str">
        <f>INDEX(KB!C:D,MATCH(D253,KB!D:D,0),1)</f>
        <v>ĐỒNG HỒ</v>
      </c>
      <c r="D253" s="120" t="s">
        <v>171</v>
      </c>
      <c r="E253" s="120" t="s">
        <v>20</v>
      </c>
      <c r="F253" s="121" t="str">
        <f t="shared" si="59"/>
        <v>ĐỒNG HỒTổng</v>
      </c>
      <c r="G253" s="122">
        <f t="shared" ref="G253" si="70">SUM(G240:G251)</f>
        <v>104.22</v>
      </c>
      <c r="H253" s="122">
        <f t="shared" ref="H253:I253" si="71">SUM(H240:H251)</f>
        <v>4.1000000000000005</v>
      </c>
      <c r="I253" s="122">
        <f t="shared" ca="1" si="71"/>
        <v>20.5</v>
      </c>
      <c r="J253" s="122">
        <f t="shared" si="60"/>
        <v>100.12</v>
      </c>
      <c r="K253" s="122">
        <f ca="1">J253/'Hieu Qua NV'!$J$2</f>
        <v>4.3530434782608696</v>
      </c>
      <c r="L253" s="119">
        <f t="shared" ca="1" si="58"/>
        <v>0.19669928996353866</v>
      </c>
      <c r="M253" s="122">
        <f t="shared" ref="M253" ca="1" si="72">SUM(M240:M251)</f>
        <v>28</v>
      </c>
      <c r="S253" s="669" cm="1">
        <f t="array" aca="1" ref="S253" ca="1">_xlfn.IFS(
CONFIG!$B$8="W1",H253-N253,
CONFIG!$B$8="W2",H253-O253,
CONFIG!$B$8="W3",H253-P253,
CONFIG!$B$8="W4",H253-Q253,
CONFIG!$B$8="W5",H253-R253
)</f>
        <v>4.1000000000000005</v>
      </c>
      <c r="T253" s="652">
        <f t="shared" ca="1" si="54"/>
        <v>0.14642857142857144</v>
      </c>
    </row>
    <row r="254" spans="3:20">
      <c r="C254" s="116" t="str">
        <f>INDEX(KB!C:D,MATCH(D254,KB!D:D,0),1)</f>
        <v>PIN SẠC DỰ PHÒNG</v>
      </c>
      <c r="D254" s="116" t="s">
        <v>231</v>
      </c>
      <c r="E254" s="321" t="s">
        <v>57</v>
      </c>
      <c r="F254" s="116" t="str">
        <f t="shared" si="59"/>
        <v>PIN SẠC DỰ PHÒNGNguyễn Thị Ngọc - 54026</v>
      </c>
      <c r="G254" s="118" cm="1">
        <f t="array" ref="G254">IFERROR(INDEX(KB!$I$38:$AJ$50,MATCH(XL_DT_TD!E254,KB!$I$38:$I$50,0),MATCH(XL_DT_TD!D254,KB!$J$37:$AJ$37,0)+1),0)</f>
        <v>3.42</v>
      </c>
      <c r="H254" s="118" cm="1">
        <f t="array" ref="H254">IFERROR(INDEX(DATA_TĐ!$B$1:$AZ$19,MATCH(XL_DT_TD!E254,DATA_TĐ!B:B,0),MATCH(XL_DT_TD!C254,DATA_TĐ!$1:$1,0)-1),0)</f>
        <v>0</v>
      </c>
      <c r="I254" s="118">
        <f ca="1">H254/DAY(NOW()-1)*'Hieu Qua NV'!$J$1</f>
        <v>0</v>
      </c>
      <c r="J254" s="118">
        <f t="shared" si="60"/>
        <v>3.42</v>
      </c>
      <c r="K254" s="118">
        <f ca="1">J254/'Hieu Qua NV'!$J$2</f>
        <v>0.14869565217391303</v>
      </c>
      <c r="L254" s="119">
        <f t="shared" ca="1" si="58"/>
        <v>0</v>
      </c>
      <c r="M254" s="118">
        <f ca="1">IFERROR(
INDEX(
KB!$I$55:$AJ$68,
MATCH(E254,KB!$I$55:$I$68,0),
MATCH(D254,KB!$I$55:$AJ$55,0)
),
0)</f>
        <v>1</v>
      </c>
      <c r="S254" s="669" cm="1">
        <f t="array" aca="1" ref="S254" ca="1">_xlfn.IFS(
CONFIG!$B$8="W1",H254-N254,
CONFIG!$B$8="W2",H254-O254,
CONFIG!$B$8="W3",H254-P254,
CONFIG!$B$8="W4",H254-Q254,
CONFIG!$B$8="W5",H254-R254
)</f>
        <v>0</v>
      </c>
      <c r="T254" s="652">
        <f t="shared" ca="1" si="54"/>
        <v>0</v>
      </c>
    </row>
    <row r="255" spans="3:20">
      <c r="C255" s="116" t="str">
        <f>INDEX(KB!C:D,MATCH(D255,KB!D:D,0),1)</f>
        <v>PIN SẠC DỰ PHÒNG</v>
      </c>
      <c r="D255" s="116" t="s">
        <v>231</v>
      </c>
      <c r="E255" s="321" t="s">
        <v>60</v>
      </c>
      <c r="F255" s="116" t="str">
        <f t="shared" si="59"/>
        <v>PIN SẠC DỰ PHÒNGNguyễn Viết Sơn - 94065</v>
      </c>
      <c r="G255" s="118" cm="1">
        <f t="array" ref="G255">IFERROR(INDEX(KB!$I$38:$AJ$50,MATCH(XL_DT_TD!E255,KB!$I$38:$I$50,0),MATCH(XL_DT_TD!D255,KB!$J$37:$AJ$37,0)+1),0)</f>
        <v>4.18</v>
      </c>
      <c r="H255" s="118" cm="1">
        <f t="array" ref="H255">IFERROR(INDEX(DATA_TĐ!$B$1:$AZ$19,MATCH(XL_DT_TD!E255,DATA_TĐ!B:B,0),MATCH(XL_DT_TD!C255,DATA_TĐ!$1:$1,0)-1),0)</f>
        <v>0</v>
      </c>
      <c r="I255" s="118">
        <f ca="1">H255/DAY(NOW()-1)*'Hieu Qua NV'!$J$1</f>
        <v>0</v>
      </c>
      <c r="J255" s="118">
        <f t="shared" si="60"/>
        <v>4.18</v>
      </c>
      <c r="K255" s="118">
        <f ca="1">J255/'Hieu Qua NV'!$J$2</f>
        <v>0.1817391304347826</v>
      </c>
      <c r="L255" s="119">
        <f t="shared" ca="1" si="58"/>
        <v>0</v>
      </c>
      <c r="M255" s="118">
        <f ca="1">IFERROR(
INDEX(
KB!$I$55:$AJ$68,
MATCH(E255,KB!$I$55:$I$68,0),
MATCH(D255,KB!$I$55:$AJ$55,0)
),
0)</f>
        <v>1</v>
      </c>
      <c r="S255" s="669" cm="1">
        <f t="array" aca="1" ref="S255" ca="1">_xlfn.IFS(
CONFIG!$B$8="W1",H255-N255,
CONFIG!$B$8="W2",H255-O255,
CONFIG!$B$8="W3",H255-P255,
CONFIG!$B$8="W4",H255-Q255,
CONFIG!$B$8="W5",H255-R255
)</f>
        <v>0</v>
      </c>
      <c r="T255" s="652">
        <f t="shared" ca="1" si="54"/>
        <v>0</v>
      </c>
    </row>
    <row r="256" spans="3:20">
      <c r="C256" s="116" t="str">
        <f>INDEX(KB!C:D,MATCH(D256,KB!D:D,0),1)</f>
        <v>PIN SẠC DỰ PHÒNG</v>
      </c>
      <c r="D256" s="116" t="s">
        <v>231</v>
      </c>
      <c r="E256" s="321" t="s">
        <v>15</v>
      </c>
      <c r="F256" s="116" t="str">
        <f t="shared" si="59"/>
        <v>PIN SẠC DỰ PHÒNGNguyễn Trang Nhung - 25734</v>
      </c>
      <c r="G256" s="118" cm="1">
        <f t="array" ref="G256">IFERROR(INDEX(KB!$I$38:$AJ$50,MATCH(XL_DT_TD!E256,KB!$I$38:$I$50,0),MATCH(XL_DT_TD!D256,KB!$J$37:$AJ$37,0)+1),0)</f>
        <v>3.42</v>
      </c>
      <c r="H256" s="118" cm="1">
        <f t="array" ref="H256">IFERROR(INDEX(DATA_TĐ!$B$1:$AZ$19,MATCH(XL_DT_TD!E256,DATA_TĐ!B:B,0),MATCH(XL_DT_TD!C256,DATA_TĐ!$1:$1,0)-1),0)</f>
        <v>0</v>
      </c>
      <c r="I256" s="118">
        <f ca="1">H256/DAY(NOW()-1)*'Hieu Qua NV'!$J$1</f>
        <v>0</v>
      </c>
      <c r="J256" s="118">
        <f t="shared" si="60"/>
        <v>3.42</v>
      </c>
      <c r="K256" s="118">
        <f ca="1">J256/'Hieu Qua NV'!$J$2</f>
        <v>0.14869565217391303</v>
      </c>
      <c r="L256" s="119">
        <f t="shared" ca="1" si="58"/>
        <v>0</v>
      </c>
      <c r="M256" s="118">
        <f ca="1">IFERROR(
INDEX(
KB!$I$55:$AJ$68,
MATCH(E256,KB!$I$55:$I$68,0),
MATCH(D256,KB!$I$55:$AJ$55,0)
),
0)</f>
        <v>1</v>
      </c>
      <c r="S256" s="669" cm="1">
        <f t="array" aca="1" ref="S256" ca="1">_xlfn.IFS(
CONFIG!$B$8="W1",H256-N256,
CONFIG!$B$8="W2",H256-O256,
CONFIG!$B$8="W3",H256-P256,
CONFIG!$B$8="W4",H256-Q256,
CONFIG!$B$8="W5",H256-R256
)</f>
        <v>0</v>
      </c>
      <c r="T256" s="652">
        <f t="shared" ca="1" si="54"/>
        <v>0</v>
      </c>
    </row>
    <row r="257" spans="3:20">
      <c r="C257" s="116" t="str">
        <f>INDEX(KB!C:D,MATCH(D257,KB!D:D,0),1)</f>
        <v>PIN SẠC DỰ PHÒNG</v>
      </c>
      <c r="D257" s="116" t="s">
        <v>231</v>
      </c>
      <c r="E257" s="321" t="s">
        <v>151</v>
      </c>
      <c r="F257" s="116" t="str">
        <f t="shared" si="59"/>
        <v>PIN SẠC DỰ PHÒNGTrần Huy Hoàn - 270828</v>
      </c>
      <c r="G257" s="118" cm="1">
        <f t="array" ref="G257">IFERROR(INDEX(KB!$I$38:$AJ$50,MATCH(XL_DT_TD!E257,KB!$I$38:$I$50,0),MATCH(XL_DT_TD!D257,KB!$J$37:$AJ$37,0)+1),0)</f>
        <v>3.42</v>
      </c>
      <c r="H257" s="118" cm="1">
        <f t="array" ref="H257">IFERROR(INDEX(DATA_TĐ!$B$1:$AZ$19,MATCH(XL_DT_TD!E257,DATA_TĐ!B:B,0),MATCH(XL_DT_TD!C257,DATA_TĐ!$1:$1,0)-1),0)</f>
        <v>0</v>
      </c>
      <c r="I257" s="118">
        <f ca="1">H257/DAY(NOW()-1)*'Hieu Qua NV'!$J$1</f>
        <v>0</v>
      </c>
      <c r="J257" s="118">
        <f t="shared" si="60"/>
        <v>3.42</v>
      </c>
      <c r="K257" s="118">
        <f ca="1">J257/'Hieu Qua NV'!$J$2</f>
        <v>0.14869565217391303</v>
      </c>
      <c r="L257" s="119">
        <f t="shared" ca="1" si="58"/>
        <v>0</v>
      </c>
      <c r="M257" s="118">
        <f ca="1">IFERROR(
INDEX(
KB!$I$55:$AJ$68,
MATCH(E257,KB!$I$55:$I$68,0),
MATCH(D257,KB!$I$55:$AJ$55,0)
),
0)</f>
        <v>1</v>
      </c>
      <c r="S257" s="669" cm="1">
        <f t="array" aca="1" ref="S257" ca="1">_xlfn.IFS(
CONFIG!$B$8="W1",H257-N257,
CONFIG!$B$8="W2",H257-O257,
CONFIG!$B$8="W3",H257-P257,
CONFIG!$B$8="W4",H257-Q257,
CONFIG!$B$8="W5",H257-R257
)</f>
        <v>0</v>
      </c>
      <c r="T257" s="652">
        <f t="shared" ca="1" si="54"/>
        <v>0</v>
      </c>
    </row>
    <row r="258" spans="3:20">
      <c r="C258" s="116" t="str">
        <f>INDEX(KB!C:D,MATCH(D258,KB!D:D,0),1)</f>
        <v>PIN SẠC DỰ PHÒNG</v>
      </c>
      <c r="D258" s="116" t="s">
        <v>231</v>
      </c>
      <c r="E258" s="321" t="s">
        <v>293</v>
      </c>
      <c r="F258" s="116" t="str">
        <f t="shared" si="59"/>
        <v>PIN SẠC DỰ PHÒNGPhạm Văn Thanh - 279935</v>
      </c>
      <c r="G258" s="118" cm="1">
        <f t="array" ref="G258">IFERROR(INDEX(KB!$I$38:$AJ$50,MATCH(XL_DT_TD!E258,KB!$I$38:$I$50,0),MATCH(XL_DT_TD!D258,KB!$J$37:$AJ$37,0)+1),0)</f>
        <v>2.85</v>
      </c>
      <c r="H258" s="118" cm="1">
        <f t="array" ref="H258">IFERROR(INDEX(DATA_TĐ!$B$1:$AZ$19,MATCH(XL_DT_TD!E258,DATA_TĐ!B:B,0),MATCH(XL_DT_TD!C258,DATA_TĐ!$1:$1,0)-1),0)</f>
        <v>0</v>
      </c>
      <c r="I258" s="118">
        <f ca="1">H258/DAY(NOW()-1)*'Hieu Qua NV'!$J$1</f>
        <v>0</v>
      </c>
      <c r="J258" s="118">
        <f t="shared" si="60"/>
        <v>2.85</v>
      </c>
      <c r="K258" s="118">
        <f ca="1">J258/'Hieu Qua NV'!$J$2</f>
        <v>0.12391304347826088</v>
      </c>
      <c r="L258" s="119">
        <f t="shared" ca="1" si="58"/>
        <v>0</v>
      </c>
      <c r="M258" s="118">
        <f ca="1">IFERROR(
INDEX(
KB!$I$55:$AJ$68,
MATCH(E258,KB!$I$55:$I$68,0),
MATCH(D258,KB!$I$55:$AJ$55,0)
),
0)</f>
        <v>1</v>
      </c>
      <c r="S258" s="669" cm="1">
        <f t="array" aca="1" ref="S258" ca="1">_xlfn.IFS(
CONFIG!$B$8="W1",H258-N258,
CONFIG!$B$8="W2",H258-O258,
CONFIG!$B$8="W3",H258-P258,
CONFIG!$B$8="W4",H258-Q258,
CONFIG!$B$8="W5",H258-R258
)</f>
        <v>0</v>
      </c>
      <c r="T258" s="652">
        <f t="shared" ca="1" si="54"/>
        <v>0</v>
      </c>
    </row>
    <row r="259" spans="3:20">
      <c r="C259" s="116" t="str">
        <f>INDEX(KB!C:D,MATCH(D259,KB!D:D,0),1)</f>
        <v>PIN SẠC DỰ PHÒNG</v>
      </c>
      <c r="D259" s="116" t="s">
        <v>231</v>
      </c>
      <c r="E259" s="321" t="s">
        <v>433</v>
      </c>
      <c r="F259" s="116" t="str">
        <f t="shared" si="59"/>
        <v>PIN SẠC DỰ PHÒNGNguyễn Thành Đạt - 280855</v>
      </c>
      <c r="G259" s="118" cm="1">
        <f t="array" ref="G259">IFERROR(INDEX(KB!$I$38:$AJ$50,MATCH(XL_DT_TD!E259,KB!$I$38:$I$50,0),MATCH(XL_DT_TD!D259,KB!$J$37:$AJ$37,0)+1),0)</f>
        <v>2.85</v>
      </c>
      <c r="H259" s="118" cm="1">
        <f t="array" ref="H259">IFERROR(INDEX(DATA_TĐ!$B$1:$AZ$19,MATCH(XL_DT_TD!E259,DATA_TĐ!B:B,0),MATCH(XL_DT_TD!C259,DATA_TĐ!$1:$1,0)-1),0)</f>
        <v>0</v>
      </c>
      <c r="I259" s="118">
        <f ca="1">H259/DAY(NOW()-1)*'Hieu Qua NV'!$J$1</f>
        <v>0</v>
      </c>
      <c r="J259" s="118">
        <f t="shared" si="60"/>
        <v>2.85</v>
      </c>
      <c r="K259" s="118">
        <f ca="1">J259/'Hieu Qua NV'!$J$2</f>
        <v>0.12391304347826088</v>
      </c>
      <c r="L259" s="119">
        <f t="shared" ca="1" si="58"/>
        <v>0</v>
      </c>
      <c r="M259" s="118">
        <f ca="1">IFERROR(
INDEX(
KB!$I$55:$AJ$68,
MATCH(E259,KB!$I$55:$I$68,0),
MATCH(D259,KB!$I$55:$AJ$55,0)
),
0)</f>
        <v>1</v>
      </c>
      <c r="S259" s="669" cm="1">
        <f t="array" aca="1" ref="S259" ca="1">_xlfn.IFS(
CONFIG!$B$8="W1",H259-N259,
CONFIG!$B$8="W2",H259-O259,
CONFIG!$B$8="W3",H259-P259,
CONFIG!$B$8="W4",H259-Q259,
CONFIG!$B$8="W5",H259-R259
)</f>
        <v>0</v>
      </c>
      <c r="T259" s="652">
        <f t="shared" ref="T259:T322" ca="1" si="73">IF(M259=0,0,S259/M259)</f>
        <v>0</v>
      </c>
    </row>
    <row r="260" spans="3:20">
      <c r="C260" s="116" t="str">
        <f>INDEX(KB!C:D,MATCH(D260,KB!D:D,0),1)</f>
        <v>PIN SẠC DỰ PHÒNG</v>
      </c>
      <c r="D260" s="116" t="s">
        <v>231</v>
      </c>
      <c r="E260" s="321" t="s">
        <v>56</v>
      </c>
      <c r="F260" s="116" t="str">
        <f t="shared" si="59"/>
        <v>PIN SẠC DỰ PHÒNGĐỗ Văn Duân - 62025</v>
      </c>
      <c r="G260" s="118" cm="1">
        <f t="array" ref="G260">IFERROR(INDEX(KB!$I$38:$AJ$50,MATCH(XL_DT_TD!E260,KB!$I$38:$I$50,0),MATCH(XL_DT_TD!D260,KB!$J$37:$AJ$37,0)+1),0)</f>
        <v>3.42</v>
      </c>
      <c r="H260" s="118" cm="1">
        <f t="array" ref="H260">IFERROR(INDEX(DATA_TĐ!$B$1:$AZ$19,MATCH(XL_DT_TD!E260,DATA_TĐ!B:B,0),MATCH(XL_DT_TD!C260,DATA_TĐ!$1:$1,0)-1),0)</f>
        <v>0</v>
      </c>
      <c r="I260" s="118">
        <f ca="1">H260/DAY(NOW()-1)*'Hieu Qua NV'!$J$1</f>
        <v>0</v>
      </c>
      <c r="J260" s="118">
        <f t="shared" si="60"/>
        <v>3.42</v>
      </c>
      <c r="K260" s="118">
        <f ca="1">J260/'Hieu Qua NV'!$J$2</f>
        <v>0.14869565217391303</v>
      </c>
      <c r="L260" s="119">
        <f t="shared" ca="1" si="58"/>
        <v>0</v>
      </c>
      <c r="M260" s="118">
        <f ca="1">IFERROR(
INDEX(
KB!$I$55:$AJ$68,
MATCH(E260,KB!$I$55:$I$68,0),
MATCH(D260,KB!$I$55:$AJ$55,0)
),
0)</f>
        <v>1</v>
      </c>
      <c r="S260" s="669" cm="1">
        <f t="array" aca="1" ref="S260" ca="1">_xlfn.IFS(
CONFIG!$B$8="W1",H260-N260,
CONFIG!$B$8="W2",H260-O260,
CONFIG!$B$8="W3",H260-P260,
CONFIG!$B$8="W4",H260-Q260,
CONFIG!$B$8="W5",H260-R260
)</f>
        <v>0</v>
      </c>
      <c r="T260" s="652">
        <f t="shared" ca="1" si="73"/>
        <v>0</v>
      </c>
    </row>
    <row r="261" spans="3:20">
      <c r="C261" s="116" t="str">
        <f>INDEX(KB!C:D,MATCH(D261,KB!D:D,0),1)</f>
        <v>PIN SẠC DỰ PHÒNG</v>
      </c>
      <c r="D261" s="116" t="s">
        <v>231</v>
      </c>
      <c r="E261" s="321" t="s">
        <v>530</v>
      </c>
      <c r="F261" s="116" t="str">
        <f t="shared" si="59"/>
        <v>PIN SẠC DỰ PHÒNGNhân viên Mới 1</v>
      </c>
      <c r="G261" s="118" cm="1">
        <f t="array" ref="G261">IFERROR(INDEX(KB!$I$38:$AJ$50,MATCH(XL_DT_TD!E261,KB!$I$38:$I$50,0),MATCH(XL_DT_TD!D261,KB!$J$37:$AJ$37,0)+1),0)</f>
        <v>0</v>
      </c>
      <c r="H261" s="118" cm="1">
        <f t="array" ref="H261">IFERROR(INDEX(DATA_TĐ!$B$1:$AZ$19,MATCH(XL_DT_TD!E261,DATA_TĐ!B:B,0),MATCH(XL_DT_TD!C261,DATA_TĐ!$1:$1,0)-1),0)</f>
        <v>0</v>
      </c>
      <c r="I261" s="118">
        <f ca="1">H261/DAY(NOW()-1)*'Hieu Qua NV'!$J$1</f>
        <v>0</v>
      </c>
      <c r="J261" s="118">
        <f t="shared" si="60"/>
        <v>0</v>
      </c>
      <c r="K261" s="118">
        <f ca="1">J261/'Hieu Qua NV'!$J$2</f>
        <v>0</v>
      </c>
      <c r="L261" s="119" t="e">
        <f t="shared" ca="1" si="58"/>
        <v>#DIV/0!</v>
      </c>
      <c r="M261" s="118">
        <f ca="1">IFERROR(
INDEX(
KB!$I$55:$AJ$68,
MATCH(E261,KB!$I$55:$I$68,0),
MATCH(D261,KB!$I$55:$AJ$55,0)
),
0)</f>
        <v>0</v>
      </c>
      <c r="S261" s="669" cm="1">
        <f t="array" aca="1" ref="S261" ca="1">_xlfn.IFS(
CONFIG!$B$8="W1",H261-N261,
CONFIG!$B$8="W2",H261-O261,
CONFIG!$B$8="W3",H261-P261,
CONFIG!$B$8="W4",H261-Q261,
CONFIG!$B$8="W5",H261-R261
)</f>
        <v>0</v>
      </c>
      <c r="T261" s="652">
        <f t="shared" ca="1" si="73"/>
        <v>0</v>
      </c>
    </row>
    <row r="262" spans="3:20">
      <c r="C262" s="116" t="str">
        <f>INDEX(KB!C:D,MATCH(D262,KB!D:D,0),1)</f>
        <v>PIN SẠC DỰ PHÒNG</v>
      </c>
      <c r="D262" s="116" t="s">
        <v>231</v>
      </c>
      <c r="E262" s="321" t="s">
        <v>560</v>
      </c>
      <c r="F262" s="116" t="str">
        <f t="shared" si="59"/>
        <v>PIN SẠC DỰ PHÒNGNhân viên Mới 2</v>
      </c>
      <c r="G262" s="118" cm="1">
        <f t="array" ref="G262">IFERROR(INDEX(KB!$I$38:$AJ$50,MATCH(XL_DT_TD!E262,KB!$I$38:$I$50,0),MATCH(XL_DT_TD!D262,KB!$J$37:$AJ$37,0)+1),0)</f>
        <v>0</v>
      </c>
      <c r="H262" s="118" cm="1">
        <f t="array" ref="H262">IFERROR(INDEX(DATA_TĐ!$B$1:$AZ$19,MATCH(XL_DT_TD!E262,DATA_TĐ!B:B,0),MATCH(XL_DT_TD!C262,DATA_TĐ!$1:$1,0)-1),0)</f>
        <v>0</v>
      </c>
      <c r="I262" s="118">
        <f ca="1">H262/DAY(NOW()-1)*'Hieu Qua NV'!$J$1</f>
        <v>0</v>
      </c>
      <c r="J262" s="118">
        <f t="shared" si="60"/>
        <v>0</v>
      </c>
      <c r="K262" s="118">
        <f ca="1">J262/'Hieu Qua NV'!$J$2</f>
        <v>0</v>
      </c>
      <c r="L262" s="119" t="e">
        <f t="shared" ca="1" si="58"/>
        <v>#DIV/0!</v>
      </c>
      <c r="M262" s="118">
        <f ca="1">IFERROR(
INDEX(
KB!$I$55:$AJ$68,
MATCH(E262,KB!$I$55:$I$68,0),
MATCH(D262,KB!$I$55:$AJ$55,0)
),
0)</f>
        <v>0</v>
      </c>
      <c r="S262" s="669" cm="1">
        <f t="array" aca="1" ref="S262" ca="1">_xlfn.IFS(
CONFIG!$B$8="W1",H262-N262,
CONFIG!$B$8="W2",H262-O262,
CONFIG!$B$8="W3",H262-P262,
CONFIG!$B$8="W4",H262-Q262,
CONFIG!$B$8="W5",H262-R262
)</f>
        <v>0</v>
      </c>
      <c r="T262" s="652">
        <f t="shared" ca="1" si="73"/>
        <v>0</v>
      </c>
    </row>
    <row r="263" spans="3:20">
      <c r="C263" s="116" t="str">
        <f>INDEX(KB!C:D,MATCH(D263,KB!D:D,0),1)</f>
        <v>PIN SẠC DỰ PHÒNG</v>
      </c>
      <c r="D263" s="116" t="s">
        <v>231</v>
      </c>
      <c r="E263" s="117" t="s">
        <v>281</v>
      </c>
      <c r="F263" s="116" t="str">
        <f t="shared" si="59"/>
        <v>PIN SẠC DỰ PHÒNGTrần Thị Nhung - 11082</v>
      </c>
      <c r="G263" s="118" cm="1">
        <f t="array" ref="G263">IFERROR(INDEX(KB!$I$38:$AJ$50,MATCH(XL_DT_TD!E263,KB!$I$38:$I$50,0),MATCH(XL_DT_TD!D263,KB!$J$37:$AJ$37,0)+1),0)</f>
        <v>9.1</v>
      </c>
      <c r="H263" s="118" cm="1">
        <f t="array" ref="H263">IFERROR(
  INDEX(DATA_TĐ!$B$36:$Z$47,
    MATCH(TRUE, INDEX(TRIM(DATA_TĐ!$B$36:$B$45)=TRIM(E263),0),0),
    MATCH(TRUE, INDEX(TRIM(DATA_TĐ!$B$36:$Z$36)=TRIM(C263),0),0)
  ),
0)</f>
        <v>1</v>
      </c>
      <c r="I263" s="118">
        <f ca="1">H263/DAY(NOW()-1)*'Hieu Qua NV'!$J$1</f>
        <v>5</v>
      </c>
      <c r="J263" s="118">
        <f t="shared" si="60"/>
        <v>8.1</v>
      </c>
      <c r="K263" s="118">
        <f ca="1">J263/'Hieu Qua NV'!$J$2</f>
        <v>0.35217391304347823</v>
      </c>
      <c r="L263" s="119">
        <f t="shared" ca="1" si="58"/>
        <v>0.5494505494505495</v>
      </c>
      <c r="M263" s="118">
        <f ca="1">IFERROR(
INDEX(
KB!$I$55:$AJ$68,
MATCH(E263,KB!$I$55:$I$68,0),
MATCH(D263,KB!$I$55:$AJ$55,0)
),
0)</f>
        <v>2</v>
      </c>
      <c r="S263" s="669" cm="1">
        <f t="array" aca="1" ref="S263" ca="1">_xlfn.IFS(
CONFIG!$B$8="W1",H263-N263,
CONFIG!$B$8="W2",H263-O263,
CONFIG!$B$8="W3",H263-P263,
CONFIG!$B$8="W4",H263-Q263,
CONFIG!$B$8="W5",H263-R263
)</f>
        <v>1</v>
      </c>
      <c r="T263" s="652">
        <f t="shared" ca="1" si="73"/>
        <v>0.5</v>
      </c>
    </row>
    <row r="264" spans="3:20">
      <c r="C264" s="116" t="str">
        <f>INDEX(KB!C:D,MATCH(D264,KB!D:D,0),1)</f>
        <v>PIN SẠC DỰ PHÒNG</v>
      </c>
      <c r="D264" s="116" t="s">
        <v>231</v>
      </c>
      <c r="E264" s="117" t="s">
        <v>282</v>
      </c>
      <c r="F264" s="116" t="str">
        <f t="shared" si="59"/>
        <v>PIN SẠC DỰ PHÒNGNguyễn Thị Phương Oanh - 164808</v>
      </c>
      <c r="G264" s="118" cm="1">
        <f t="array" ref="G264">IFERROR(INDEX(KB!$I$38:$AJ$50,MATCH(XL_DT_TD!E264,KB!$I$38:$I$50,0),MATCH(XL_DT_TD!D264,KB!$J$37:$AJ$37,0)+1),0)</f>
        <v>6.5</v>
      </c>
      <c r="H264" s="118" cm="1">
        <f t="array" ref="H264">IFERROR(
  INDEX(DATA_TĐ!$B$36:$Z$47,
    MATCH(TRUE, INDEX(TRIM(DATA_TĐ!$B$36:$B$45)=TRIM(E264),0),0),
    MATCH(TRUE, INDEX(TRIM(DATA_TĐ!$B$36:$Z$36)=TRIM(C264),0),0)
  ),
0)</f>
        <v>1</v>
      </c>
      <c r="I264" s="118">
        <f ca="1">H264/DAY(NOW()-1)*'Hieu Qua NV'!$J$1</f>
        <v>5</v>
      </c>
      <c r="J264" s="118">
        <f t="shared" si="60"/>
        <v>5.5</v>
      </c>
      <c r="K264" s="118">
        <f ca="1">J264/'Hieu Qua NV'!$J$2</f>
        <v>0.2391304347826087</v>
      </c>
      <c r="L264" s="119">
        <f t="shared" ca="1" si="58"/>
        <v>0.76923076923076927</v>
      </c>
      <c r="M264" s="118">
        <f ca="1">IFERROR(
INDEX(
KB!$I$55:$AJ$68,
MATCH(E264,KB!$I$55:$I$68,0),
MATCH(D264,KB!$I$55:$AJ$55,0)
),
0)</f>
        <v>2</v>
      </c>
      <c r="S264" s="669" cm="1">
        <f t="array" aca="1" ref="S264" ca="1">_xlfn.IFS(
CONFIG!$B$8="W1",H264-N264,
CONFIG!$B$8="W2",H264-O264,
CONFIG!$B$8="W3",H264-P264,
CONFIG!$B$8="W4",H264-Q264,
CONFIG!$B$8="W5",H264-R264
)</f>
        <v>1</v>
      </c>
      <c r="T264" s="652">
        <f t="shared" ca="1" si="73"/>
        <v>0.5</v>
      </c>
    </row>
    <row r="265" spans="3:20">
      <c r="C265" s="116" t="str">
        <f>INDEX(KB!C:D,MATCH(D265,KB!D:D,0),1)</f>
        <v>PIN SẠC DỰ PHÒNG</v>
      </c>
      <c r="D265" s="116" t="s">
        <v>231</v>
      </c>
      <c r="E265" s="117" t="s">
        <v>283</v>
      </c>
      <c r="F265" s="116" t="str">
        <f t="shared" si="59"/>
        <v>PIN SẠC DỰ PHÒNGNguyễn Anh Tài - 269055</v>
      </c>
      <c r="G265" s="118" cm="1">
        <f t="array" ref="G265">IFERROR(INDEX(KB!$I$38:$AJ$50,MATCH(XL_DT_TD!E265,KB!$I$38:$I$50,0),MATCH(XL_DT_TD!D265,KB!$J$37:$AJ$37,0)+1),0)</f>
        <v>6.5</v>
      </c>
      <c r="H265" s="118" cm="1">
        <f t="array" ref="H265">IFERROR(
  INDEX(DATA_TĐ!$B$36:$Z$47,
    MATCH(TRUE, INDEX(TRIM(DATA_TĐ!$B$36:$B$45)=TRIM(E265),0),0),
    MATCH(TRUE, INDEX(TRIM(DATA_TĐ!$B$36:$Z$36)=TRIM(C265),0),0)
  ),
0)</f>
        <v>0</v>
      </c>
      <c r="I265" s="118">
        <f ca="1">H265/DAY(NOW()-1)*'Hieu Qua NV'!$J$1</f>
        <v>0</v>
      </c>
      <c r="J265" s="118">
        <f t="shared" si="60"/>
        <v>6.5</v>
      </c>
      <c r="K265" s="118">
        <f ca="1">J265/'Hieu Qua NV'!$J$2</f>
        <v>0.28260869565217389</v>
      </c>
      <c r="L265" s="119">
        <f t="shared" ca="1" si="58"/>
        <v>0</v>
      </c>
      <c r="M265" s="118">
        <f ca="1">IFERROR(
INDEX(
KB!$I$55:$AJ$68,
MATCH(E265,KB!$I$55:$I$68,0),
MATCH(D265,KB!$I$55:$AJ$55,0)
),
0)</f>
        <v>2</v>
      </c>
      <c r="S265" s="669" cm="1">
        <f t="array" aca="1" ref="S265" ca="1">_xlfn.IFS(
CONFIG!$B$8="W1",H265-N265,
CONFIG!$B$8="W2",H265-O265,
CONFIG!$B$8="W3",H265-P265,
CONFIG!$B$8="W4",H265-Q265,
CONFIG!$B$8="W5",H265-R265
)</f>
        <v>0</v>
      </c>
      <c r="T265" s="652">
        <f t="shared" ca="1" si="73"/>
        <v>0</v>
      </c>
    </row>
    <row r="266" spans="3:20">
      <c r="C266" s="116" t="str">
        <f>INDEX(KB!C:D,MATCH(D266,KB!D:D,0),1)</f>
        <v>PIN SẠC DỰ PHÒNG</v>
      </c>
      <c r="D266" s="116" t="s">
        <v>231</v>
      </c>
      <c r="E266" s="117" t="s">
        <v>284</v>
      </c>
      <c r="F266" s="116" t="str">
        <f t="shared" si="59"/>
        <v>PIN SẠC DỰ PHÒNGLê Văn Hợp - 279884</v>
      </c>
      <c r="G266" s="118" cm="1">
        <f t="array" ref="G266">IFERROR(INDEX(KB!$I$38:$AJ$50,MATCH(XL_DT_TD!E266,KB!$I$38:$I$50,0),MATCH(XL_DT_TD!D266,KB!$J$37:$AJ$37,0)+1),0)</f>
        <v>6.5</v>
      </c>
      <c r="H266" s="118" cm="1">
        <f t="array" ref="H266">IFERROR(
  INDEX(DATA_TĐ!$B$36:$Z$47,
    MATCH(TRUE, INDEX(TRIM(DATA_TĐ!$B$36:$B$45)=TRIM(E266),0),0),
    MATCH(TRUE, INDEX(TRIM(DATA_TĐ!$B$36:$Z$36)=TRIM(C266),0),0)
  ),
0)</f>
        <v>0</v>
      </c>
      <c r="I266" s="118">
        <f ca="1">H266/DAY(NOW()-1)*'Hieu Qua NV'!$J$1</f>
        <v>0</v>
      </c>
      <c r="J266" s="118">
        <f t="shared" si="60"/>
        <v>6.5</v>
      </c>
      <c r="K266" s="118">
        <f ca="1">J266/'Hieu Qua NV'!$J$2</f>
        <v>0.28260869565217389</v>
      </c>
      <c r="L266" s="119">
        <f t="shared" ca="1" si="58"/>
        <v>0</v>
      </c>
      <c r="M266" s="118">
        <f ca="1">IFERROR(
INDEX(
KB!$I$55:$AJ$68,
MATCH(E266,KB!$I$55:$I$68,0),
MATCH(D266,KB!$I$55:$AJ$55,0)
),
0)</f>
        <v>2</v>
      </c>
      <c r="S266" s="669" cm="1">
        <f t="array" aca="1" ref="S266" ca="1">_xlfn.IFS(
CONFIG!$B$8="W1",H266-N266,
CONFIG!$B$8="W2",H266-O266,
CONFIG!$B$8="W3",H266-P266,
CONFIG!$B$8="W4",H266-Q266,
CONFIG!$B$8="W5",H266-R266
)</f>
        <v>0</v>
      </c>
      <c r="T266" s="652">
        <f t="shared" ca="1" si="73"/>
        <v>0</v>
      </c>
    </row>
    <row r="267" spans="3:20">
      <c r="C267" s="120" t="str">
        <f>INDEX(KB!C:D,MATCH(D267,KB!D:D,0),1)</f>
        <v>PIN SẠC DỰ PHÒNG</v>
      </c>
      <c r="D267" s="120" t="s">
        <v>231</v>
      </c>
      <c r="E267" s="120" t="s">
        <v>20</v>
      </c>
      <c r="F267" s="121" t="str">
        <f t="shared" si="59"/>
        <v>PIN SẠC DỰ PHÒNGTổng</v>
      </c>
      <c r="G267" s="122">
        <f t="shared" ref="G267" si="74">SUM(G254:G265)</f>
        <v>45.660000000000004</v>
      </c>
      <c r="H267" s="122">
        <f t="shared" ref="H267:I267" si="75">SUM(H254:H265)</f>
        <v>2</v>
      </c>
      <c r="I267" s="122">
        <f t="shared" ca="1" si="75"/>
        <v>10</v>
      </c>
      <c r="J267" s="122">
        <f t="shared" si="60"/>
        <v>43.660000000000004</v>
      </c>
      <c r="K267" s="122">
        <f ca="1">J267/'Hieu Qua NV'!$J$2</f>
        <v>1.8982608695652174</v>
      </c>
      <c r="L267" s="119">
        <f t="shared" ca="1" si="58"/>
        <v>0.2190100744634253</v>
      </c>
      <c r="M267" s="122">
        <f t="shared" ref="M267" ca="1" si="76">SUM(M254:M265)</f>
        <v>13</v>
      </c>
      <c r="S267" s="669" cm="1">
        <f t="array" aca="1" ref="S267" ca="1">_xlfn.IFS(
CONFIG!$B$8="W1",H267-N267,
CONFIG!$B$8="W2",H267-O267,
CONFIG!$B$8="W3",H267-P267,
CONFIG!$B$8="W4",H267-Q267,
CONFIG!$B$8="W5",H267-R267
)</f>
        <v>2</v>
      </c>
      <c r="T267" s="652">
        <f t="shared" ca="1" si="73"/>
        <v>0.15384615384615385</v>
      </c>
    </row>
    <row r="268" spans="3:20">
      <c r="C268" s="116" t="str">
        <f>INDEX(KB!C:D,MATCH(D268,KB!D:D,0),1)</f>
        <v>VÍ TRẢ SAU</v>
      </c>
      <c r="D268" s="116" t="s">
        <v>128</v>
      </c>
      <c r="E268" s="321" t="s">
        <v>57</v>
      </c>
      <c r="F268" s="116" t="str">
        <f t="shared" si="59"/>
        <v>VÍ TRẢ SAUNguyễn Thị Ngọc - 54026</v>
      </c>
      <c r="G268" s="118" cm="1">
        <f t="array" ref="G268">IFERROR(INDEX(KB!$I$38:$AJ$50,MATCH(XL_DT_TD!E268,KB!$I$38:$I$50,0),MATCH(XL_DT_TD!D268,KB!$J$37:$AJ$37,0)+1),0)</f>
        <v>9.1199999999999992</v>
      </c>
      <c r="H268" s="118" cm="1">
        <f t="array" ref="H268">IFERROR(INDEX(DATA_TĐ!$B$1:$AZ$19,MATCH(XL_DT_TD!E268,DATA_TĐ!B:B,0),MATCH(XL_DT_TD!C268,DATA_TĐ!$1:$1,0)-1),0)</f>
        <v>0</v>
      </c>
      <c r="I268" s="118">
        <f ca="1">H268/DAY(NOW()-1)*'Hieu Qua NV'!$J$1</f>
        <v>0</v>
      </c>
      <c r="J268" s="118">
        <f t="shared" si="60"/>
        <v>9.1199999999999992</v>
      </c>
      <c r="K268" s="118">
        <f ca="1">J268/'Hieu Qua NV'!$J$2</f>
        <v>0.39652173913043476</v>
      </c>
      <c r="L268" s="119">
        <f t="shared" ca="1" si="58"/>
        <v>0</v>
      </c>
      <c r="M268" s="118">
        <f ca="1">IFERROR(
INDEX(
KB!$I$55:$AJ$68,
MATCH(E268,KB!$I$55:$I$68,0),
MATCH(D268,KB!$I$55:$AJ$55,0)
),
0)</f>
        <v>2</v>
      </c>
      <c r="S268" s="669" cm="1">
        <f t="array" aca="1" ref="S268" ca="1">_xlfn.IFS(
CONFIG!$B$8="W1",H268-N268,
CONFIG!$B$8="W2",H268-O268,
CONFIG!$B$8="W3",H268-P268,
CONFIG!$B$8="W4",H268-Q268,
CONFIG!$B$8="W5",H268-R268
)</f>
        <v>0</v>
      </c>
      <c r="T268" s="652">
        <f t="shared" ca="1" si="73"/>
        <v>0</v>
      </c>
    </row>
    <row r="269" spans="3:20">
      <c r="C269" s="116" t="str">
        <f>INDEX(KB!C:D,MATCH(D269,KB!D:D,0),1)</f>
        <v>VÍ TRẢ SAU</v>
      </c>
      <c r="D269" s="116" t="s">
        <v>128</v>
      </c>
      <c r="E269" s="321" t="s">
        <v>60</v>
      </c>
      <c r="F269" s="116" t="str">
        <f t="shared" si="59"/>
        <v>VÍ TRẢ SAUNguyễn Viết Sơn - 94065</v>
      </c>
      <c r="G269" s="118" cm="1">
        <f t="array" ref="G269">IFERROR(INDEX(KB!$I$38:$AJ$50,MATCH(XL_DT_TD!E269,KB!$I$38:$I$50,0),MATCH(XL_DT_TD!D269,KB!$J$37:$AJ$37,0)+1),0)</f>
        <v>9.1199999999999992</v>
      </c>
      <c r="H269" s="118" cm="1">
        <f t="array" ref="H269">IFERROR(INDEX(DATA_TĐ!$B$1:$AZ$19,MATCH(XL_DT_TD!E269,DATA_TĐ!B:B,0),MATCH(XL_DT_TD!C269,DATA_TĐ!$1:$1,0)-1),0)</f>
        <v>0</v>
      </c>
      <c r="I269" s="118">
        <f ca="1">H269/DAY(NOW()-1)*'Hieu Qua NV'!$J$1</f>
        <v>0</v>
      </c>
      <c r="J269" s="118">
        <f t="shared" si="60"/>
        <v>9.1199999999999992</v>
      </c>
      <c r="K269" s="118">
        <f ca="1">J269/'Hieu Qua NV'!$J$2</f>
        <v>0.39652173913043476</v>
      </c>
      <c r="L269" s="119">
        <f t="shared" ca="1" si="58"/>
        <v>0</v>
      </c>
      <c r="M269" s="118">
        <f ca="1">IFERROR(
INDEX(
KB!$I$55:$AJ$68,
MATCH(E269,KB!$I$55:$I$68,0),
MATCH(D269,KB!$I$55:$AJ$55,0)
),
0)</f>
        <v>2</v>
      </c>
      <c r="S269" s="669" cm="1">
        <f t="array" aca="1" ref="S269" ca="1">_xlfn.IFS(
CONFIG!$B$8="W1",H269-N269,
CONFIG!$B$8="W2",H269-O269,
CONFIG!$B$8="W3",H269-P269,
CONFIG!$B$8="W4",H269-Q269,
CONFIG!$B$8="W5",H269-R269
)</f>
        <v>0</v>
      </c>
      <c r="T269" s="652">
        <f t="shared" ca="1" si="73"/>
        <v>0</v>
      </c>
    </row>
    <row r="270" spans="3:20">
      <c r="C270" s="116" t="str">
        <f>INDEX(KB!C:D,MATCH(D270,KB!D:D,0),1)</f>
        <v>VÍ TRẢ SAU</v>
      </c>
      <c r="D270" s="116" t="s">
        <v>128</v>
      </c>
      <c r="E270" s="321" t="s">
        <v>15</v>
      </c>
      <c r="F270" s="116" t="str">
        <f t="shared" si="59"/>
        <v>VÍ TRẢ SAUNguyễn Trang Nhung - 25734</v>
      </c>
      <c r="G270" s="118" cm="1">
        <f t="array" ref="G270">IFERROR(INDEX(KB!$I$38:$AJ$50,MATCH(XL_DT_TD!E270,KB!$I$38:$I$50,0),MATCH(XL_DT_TD!D270,KB!$J$37:$AJ$37,0)+1),0)</f>
        <v>9.1199999999999992</v>
      </c>
      <c r="H270" s="118" cm="1">
        <f t="array" ref="H270">IFERROR(INDEX(DATA_TĐ!$B$1:$AZ$19,MATCH(XL_DT_TD!E270,DATA_TĐ!B:B,0),MATCH(XL_DT_TD!C270,DATA_TĐ!$1:$1,0)-1),0)</f>
        <v>0</v>
      </c>
      <c r="I270" s="118">
        <f ca="1">H270/DAY(NOW()-1)*'Hieu Qua NV'!$J$1</f>
        <v>0</v>
      </c>
      <c r="J270" s="118">
        <f t="shared" si="60"/>
        <v>9.1199999999999992</v>
      </c>
      <c r="K270" s="118">
        <f ca="1">J270/'Hieu Qua NV'!$J$2</f>
        <v>0.39652173913043476</v>
      </c>
      <c r="L270" s="119">
        <f t="shared" ca="1" si="58"/>
        <v>0</v>
      </c>
      <c r="M270" s="118">
        <f ca="1">IFERROR(
INDEX(
KB!$I$55:$AJ$68,
MATCH(E270,KB!$I$55:$I$68,0),
MATCH(D270,KB!$I$55:$AJ$55,0)
),
0)</f>
        <v>2</v>
      </c>
      <c r="S270" s="669" cm="1">
        <f t="array" aca="1" ref="S270" ca="1">_xlfn.IFS(
CONFIG!$B$8="W1",H270-N270,
CONFIG!$B$8="W2",H270-O270,
CONFIG!$B$8="W3",H270-P270,
CONFIG!$B$8="W4",H270-Q270,
CONFIG!$B$8="W5",H270-R270
)</f>
        <v>0</v>
      </c>
      <c r="T270" s="652">
        <f t="shared" ca="1" si="73"/>
        <v>0</v>
      </c>
    </row>
    <row r="271" spans="3:20">
      <c r="C271" s="116" t="str">
        <f>INDEX(KB!C:D,MATCH(D271,KB!D:D,0),1)</f>
        <v>VÍ TRẢ SAU</v>
      </c>
      <c r="D271" s="116" t="s">
        <v>128</v>
      </c>
      <c r="E271" s="321" t="s">
        <v>151</v>
      </c>
      <c r="F271" s="116" t="str">
        <f t="shared" si="59"/>
        <v>VÍ TRẢ SAUTrần Huy Hoàn - 270828</v>
      </c>
      <c r="G271" s="118" cm="1">
        <f t="array" ref="G271">IFERROR(INDEX(KB!$I$38:$AJ$50,MATCH(XL_DT_TD!E271,KB!$I$38:$I$50,0),MATCH(XL_DT_TD!D271,KB!$J$37:$AJ$37,0)+1),0)</f>
        <v>9.1199999999999992</v>
      </c>
      <c r="H271" s="118" cm="1">
        <f t="array" ref="H271">IFERROR(INDEX(DATA_TĐ!$B$1:$AZ$19,MATCH(XL_DT_TD!E271,DATA_TĐ!B:B,0),MATCH(XL_DT_TD!C271,DATA_TĐ!$1:$1,0)-1),0)</f>
        <v>0</v>
      </c>
      <c r="I271" s="118">
        <f ca="1">H271/DAY(NOW()-1)*'Hieu Qua NV'!$J$1</f>
        <v>0</v>
      </c>
      <c r="J271" s="118">
        <f t="shared" si="60"/>
        <v>9.1199999999999992</v>
      </c>
      <c r="K271" s="118">
        <f ca="1">J271/'Hieu Qua NV'!$J$2</f>
        <v>0.39652173913043476</v>
      </c>
      <c r="L271" s="119">
        <f t="shared" ca="1" si="58"/>
        <v>0</v>
      </c>
      <c r="M271" s="118">
        <f ca="1">IFERROR(
INDEX(
KB!$I$55:$AJ$68,
MATCH(E271,KB!$I$55:$I$68,0),
MATCH(D271,KB!$I$55:$AJ$55,0)
),
0)</f>
        <v>2</v>
      </c>
      <c r="S271" s="669" cm="1">
        <f t="array" aca="1" ref="S271" ca="1">_xlfn.IFS(
CONFIG!$B$8="W1",H271-N271,
CONFIG!$B$8="W2",H271-O271,
CONFIG!$B$8="W3",H271-P271,
CONFIG!$B$8="W4",H271-Q271,
CONFIG!$B$8="W5",H271-R271
)</f>
        <v>0</v>
      </c>
      <c r="T271" s="652">
        <f t="shared" ca="1" si="73"/>
        <v>0</v>
      </c>
    </row>
    <row r="272" spans="3:20">
      <c r="C272" s="116" t="str">
        <f>INDEX(KB!C:D,MATCH(D272,KB!D:D,0),1)</f>
        <v>VÍ TRẢ SAU</v>
      </c>
      <c r="D272" s="116" t="s">
        <v>128</v>
      </c>
      <c r="E272" s="321" t="s">
        <v>293</v>
      </c>
      <c r="F272" s="116" t="str">
        <f t="shared" si="59"/>
        <v>VÍ TRẢ SAUPhạm Văn Thanh - 279935</v>
      </c>
      <c r="G272" s="118" cm="1">
        <f t="array" ref="G272">IFERROR(INDEX(KB!$I$38:$AJ$50,MATCH(XL_DT_TD!E272,KB!$I$38:$I$50,0),MATCH(XL_DT_TD!D272,KB!$J$37:$AJ$37,0)+1),0)</f>
        <v>9.1199999999999992</v>
      </c>
      <c r="H272" s="118" cm="1">
        <f t="array" ref="H272">IFERROR(INDEX(DATA_TĐ!$B$1:$AZ$19,MATCH(XL_DT_TD!E272,DATA_TĐ!B:B,0),MATCH(XL_DT_TD!C272,DATA_TĐ!$1:$1,0)-1),0)</f>
        <v>0</v>
      </c>
      <c r="I272" s="118">
        <f ca="1">H272/DAY(NOW()-1)*'Hieu Qua NV'!$J$1</f>
        <v>0</v>
      </c>
      <c r="J272" s="118">
        <f t="shared" si="60"/>
        <v>9.1199999999999992</v>
      </c>
      <c r="K272" s="118">
        <f ca="1">J272/'Hieu Qua NV'!$J$2</f>
        <v>0.39652173913043476</v>
      </c>
      <c r="L272" s="119">
        <f t="shared" ref="L272:L335" ca="1" si="77">I272/G272</f>
        <v>0</v>
      </c>
      <c r="M272" s="118">
        <f ca="1">IFERROR(
INDEX(
KB!$I$55:$AJ$68,
MATCH(E272,KB!$I$55:$I$68,0),
MATCH(D272,KB!$I$55:$AJ$55,0)
),
0)</f>
        <v>2</v>
      </c>
      <c r="S272" s="669" cm="1">
        <f t="array" aca="1" ref="S272" ca="1">_xlfn.IFS(
CONFIG!$B$8="W1",H272-N272,
CONFIG!$B$8="W2",H272-O272,
CONFIG!$B$8="W3",H272-P272,
CONFIG!$B$8="W4",H272-Q272,
CONFIG!$B$8="W5",H272-R272
)</f>
        <v>0</v>
      </c>
      <c r="T272" s="652">
        <f t="shared" ca="1" si="73"/>
        <v>0</v>
      </c>
    </row>
    <row r="273" spans="3:20">
      <c r="C273" s="116" t="str">
        <f>INDEX(KB!C:D,MATCH(D273,KB!D:D,0),1)</f>
        <v>VÍ TRẢ SAU</v>
      </c>
      <c r="D273" s="116" t="s">
        <v>128</v>
      </c>
      <c r="E273" s="321" t="s">
        <v>433</v>
      </c>
      <c r="F273" s="116" t="str">
        <f t="shared" ref="F273:F336" si="78">C273&amp;E273</f>
        <v>VÍ TRẢ SAUNguyễn Thành Đạt - 280855</v>
      </c>
      <c r="G273" s="118" cm="1">
        <f t="array" ref="G273">IFERROR(INDEX(KB!$I$38:$AJ$50,MATCH(XL_DT_TD!E273,KB!$I$38:$I$50,0),MATCH(XL_DT_TD!D273,KB!$J$37:$AJ$37,0)+1),0)</f>
        <v>9.1199999999999992</v>
      </c>
      <c r="H273" s="118" cm="1">
        <f t="array" ref="H273">IFERROR(INDEX(DATA_TĐ!$B$1:$AZ$19,MATCH(XL_DT_TD!E273,DATA_TĐ!B:B,0),MATCH(XL_DT_TD!C273,DATA_TĐ!$1:$1,0)-1),0)</f>
        <v>0</v>
      </c>
      <c r="I273" s="118">
        <f ca="1">H273/DAY(NOW()-1)*'Hieu Qua NV'!$J$1</f>
        <v>0</v>
      </c>
      <c r="J273" s="118">
        <f t="shared" ref="J273:J336" si="79">G273-H273</f>
        <v>9.1199999999999992</v>
      </c>
      <c r="K273" s="118">
        <f ca="1">J273/'Hieu Qua NV'!$J$2</f>
        <v>0.39652173913043476</v>
      </c>
      <c r="L273" s="119">
        <f t="shared" ca="1" si="77"/>
        <v>0</v>
      </c>
      <c r="M273" s="118">
        <f ca="1">IFERROR(
INDEX(
KB!$I$55:$AJ$68,
MATCH(E273,KB!$I$55:$I$68,0),
MATCH(D273,KB!$I$55:$AJ$55,0)
),
0)</f>
        <v>2</v>
      </c>
      <c r="S273" s="669" cm="1">
        <f t="array" aca="1" ref="S273" ca="1">_xlfn.IFS(
CONFIG!$B$8="W1",H273-N273,
CONFIG!$B$8="W2",H273-O273,
CONFIG!$B$8="W3",H273-P273,
CONFIG!$B$8="W4",H273-Q273,
CONFIG!$B$8="W5",H273-R273
)</f>
        <v>0</v>
      </c>
      <c r="T273" s="652">
        <f t="shared" ca="1" si="73"/>
        <v>0</v>
      </c>
    </row>
    <row r="274" spans="3:20">
      <c r="C274" s="116" t="str">
        <f>INDEX(KB!C:D,MATCH(D274,KB!D:D,0),1)</f>
        <v>VÍ TRẢ SAU</v>
      </c>
      <c r="D274" s="116" t="s">
        <v>128</v>
      </c>
      <c r="E274" s="321" t="s">
        <v>56</v>
      </c>
      <c r="F274" s="116" t="str">
        <f t="shared" si="78"/>
        <v>VÍ TRẢ SAUĐỗ Văn Duân - 62025</v>
      </c>
      <c r="G274" s="118" cm="1">
        <f t="array" ref="G274">IFERROR(INDEX(KB!$I$38:$AJ$50,MATCH(XL_DT_TD!E274,KB!$I$38:$I$50,0),MATCH(XL_DT_TD!D274,KB!$J$37:$AJ$37,0)+1),0)</f>
        <v>9.1199999999999992</v>
      </c>
      <c r="H274" s="118" cm="1">
        <f t="array" ref="H274">IFERROR(INDEX(DATA_TĐ!$B$1:$AZ$19,MATCH(XL_DT_TD!E274,DATA_TĐ!B:B,0),MATCH(XL_DT_TD!C274,DATA_TĐ!$1:$1,0)-1),0)</f>
        <v>0</v>
      </c>
      <c r="I274" s="118">
        <f ca="1">H274/DAY(NOW()-1)*'Hieu Qua NV'!$J$1</f>
        <v>0</v>
      </c>
      <c r="J274" s="118">
        <f t="shared" si="79"/>
        <v>9.1199999999999992</v>
      </c>
      <c r="K274" s="118">
        <f ca="1">J274/'Hieu Qua NV'!$J$2</f>
        <v>0.39652173913043476</v>
      </c>
      <c r="L274" s="119">
        <f t="shared" ca="1" si="77"/>
        <v>0</v>
      </c>
      <c r="M274" s="118">
        <f ca="1">IFERROR(
INDEX(
KB!$I$55:$AJ$68,
MATCH(E274,KB!$I$55:$I$68,0),
MATCH(D274,KB!$I$55:$AJ$55,0)
),
0)</f>
        <v>2</v>
      </c>
      <c r="S274" s="669" cm="1">
        <f t="array" aca="1" ref="S274" ca="1">_xlfn.IFS(
CONFIG!$B$8="W1",H274-N274,
CONFIG!$B$8="W2",H274-O274,
CONFIG!$B$8="W3",H274-P274,
CONFIG!$B$8="W4",H274-Q274,
CONFIG!$B$8="W5",H274-R274
)</f>
        <v>0</v>
      </c>
      <c r="T274" s="652">
        <f t="shared" ca="1" si="73"/>
        <v>0</v>
      </c>
    </row>
    <row r="275" spans="3:20">
      <c r="C275" s="116" t="str">
        <f>INDEX(KB!C:D,MATCH(D275,KB!D:D,0),1)</f>
        <v>VÍ TRẢ SAU</v>
      </c>
      <c r="D275" s="116" t="s">
        <v>128</v>
      </c>
      <c r="E275" s="321" t="s">
        <v>530</v>
      </c>
      <c r="F275" s="116" t="str">
        <f t="shared" si="78"/>
        <v>VÍ TRẢ SAUNhân viên Mới 1</v>
      </c>
      <c r="G275" s="118" cm="1">
        <f t="array" ref="G275">IFERROR(INDEX(KB!$I$38:$AJ$50,MATCH(XL_DT_TD!E275,KB!$I$38:$I$50,0),MATCH(XL_DT_TD!D275,KB!$J$37:$AJ$37,0)+1),0)</f>
        <v>0</v>
      </c>
      <c r="H275" s="118" cm="1">
        <f t="array" ref="H275">IFERROR(INDEX(DATA_TĐ!$B$1:$AZ$19,MATCH(XL_DT_TD!E275,DATA_TĐ!B:B,0),MATCH(XL_DT_TD!C275,DATA_TĐ!$1:$1,0)-1),0)</f>
        <v>0</v>
      </c>
      <c r="I275" s="118">
        <f ca="1">H275/DAY(NOW()-1)*'Hieu Qua NV'!$J$1</f>
        <v>0</v>
      </c>
      <c r="J275" s="118">
        <f t="shared" si="79"/>
        <v>0</v>
      </c>
      <c r="K275" s="118">
        <f ca="1">J275/'Hieu Qua NV'!$J$2</f>
        <v>0</v>
      </c>
      <c r="L275" s="119" t="e">
        <f t="shared" ca="1" si="77"/>
        <v>#DIV/0!</v>
      </c>
      <c r="M275" s="118">
        <f ca="1">IFERROR(
INDEX(
KB!$I$55:$AJ$68,
MATCH(E275,KB!$I$55:$I$68,0),
MATCH(D275,KB!$I$55:$AJ$55,0)
),
0)</f>
        <v>0</v>
      </c>
      <c r="S275" s="669" cm="1">
        <f t="array" aca="1" ref="S275" ca="1">_xlfn.IFS(
CONFIG!$B$8="W1",H275-N275,
CONFIG!$B$8="W2",H275-O275,
CONFIG!$B$8="W3",H275-P275,
CONFIG!$B$8="W4",H275-Q275,
CONFIG!$B$8="W5",H275-R275
)</f>
        <v>0</v>
      </c>
      <c r="T275" s="652">
        <f t="shared" ca="1" si="73"/>
        <v>0</v>
      </c>
    </row>
    <row r="276" spans="3:20">
      <c r="C276" s="116" t="str">
        <f>INDEX(KB!C:D,MATCH(D276,KB!D:D,0),1)</f>
        <v>VÍ TRẢ SAU</v>
      </c>
      <c r="D276" s="116" t="s">
        <v>128</v>
      </c>
      <c r="E276" s="321" t="s">
        <v>560</v>
      </c>
      <c r="F276" s="116" t="str">
        <f t="shared" si="78"/>
        <v>VÍ TRẢ SAUNhân viên Mới 2</v>
      </c>
      <c r="G276" s="118" cm="1">
        <f t="array" ref="G276">IFERROR(INDEX(KB!$I$38:$AJ$50,MATCH(XL_DT_TD!E276,KB!$I$38:$I$50,0),MATCH(XL_DT_TD!D276,KB!$J$37:$AJ$37,0)+1),0)</f>
        <v>0</v>
      </c>
      <c r="H276" s="118" cm="1">
        <f t="array" ref="H276">IFERROR(INDEX(DATA_TĐ!$B$1:$AZ$19,MATCH(XL_DT_TD!E276,DATA_TĐ!B:B,0),MATCH(XL_DT_TD!C276,DATA_TĐ!$1:$1,0)-1),0)</f>
        <v>0</v>
      </c>
      <c r="I276" s="118">
        <f ca="1">H276/DAY(NOW()-1)*'Hieu Qua NV'!$J$1</f>
        <v>0</v>
      </c>
      <c r="J276" s="118">
        <f t="shared" si="79"/>
        <v>0</v>
      </c>
      <c r="K276" s="118">
        <f ca="1">J276/'Hieu Qua NV'!$J$2</f>
        <v>0</v>
      </c>
      <c r="L276" s="119" t="e">
        <f t="shared" ca="1" si="77"/>
        <v>#DIV/0!</v>
      </c>
      <c r="M276" s="118">
        <f ca="1">IFERROR(
INDEX(
KB!$I$55:$AJ$68,
MATCH(E276,KB!$I$55:$I$68,0),
MATCH(D276,KB!$I$55:$AJ$55,0)
),
0)</f>
        <v>0</v>
      </c>
      <c r="S276" s="669" cm="1">
        <f t="array" aca="1" ref="S276" ca="1">_xlfn.IFS(
CONFIG!$B$8="W1",H276-N276,
CONFIG!$B$8="W2",H276-O276,
CONFIG!$B$8="W3",H276-P276,
CONFIG!$B$8="W4",H276-Q276,
CONFIG!$B$8="W5",H276-R276
)</f>
        <v>0</v>
      </c>
      <c r="T276" s="652">
        <f t="shared" ca="1" si="73"/>
        <v>0</v>
      </c>
    </row>
    <row r="277" spans="3:20">
      <c r="C277" s="116" t="str">
        <f>INDEX(KB!C:D,MATCH(D277,KB!D:D,0),1)</f>
        <v>VÍ TRẢ SAU</v>
      </c>
      <c r="D277" s="116" t="s">
        <v>128</v>
      </c>
      <c r="E277" s="117" t="s">
        <v>281</v>
      </c>
      <c r="F277" s="116" t="str">
        <f t="shared" si="78"/>
        <v>VÍ TRẢ SAUTrần Thị Nhung - 11082</v>
      </c>
      <c r="G277" s="118" cm="1">
        <f t="array" ref="G277">IFERROR(INDEX(KB!$I$38:$AJ$50,MATCH(XL_DT_TD!E277,KB!$I$38:$I$50,0),MATCH(XL_DT_TD!D277,KB!$J$37:$AJ$37,0)+1),0)</f>
        <v>10.5</v>
      </c>
      <c r="H277" s="118" cm="1">
        <f t="array" ref="H277">IFERROR(
  INDEX(DATA_TĐ!$B$36:$Z$47,
    MATCH(TRUE, INDEX(TRIM(DATA_TĐ!$B$36:$B$45)=TRIM(E277),0),0),
    MATCH(TRUE, INDEX(TRIM(DATA_TĐ!$B$36:$Z$36)=TRIM(C277),0),0)
  ),
0)</f>
        <v>0</v>
      </c>
      <c r="I277" s="118">
        <f ca="1">H277/DAY(NOW()-1)*'Hieu Qua NV'!$J$1</f>
        <v>0</v>
      </c>
      <c r="J277" s="118">
        <f t="shared" si="79"/>
        <v>10.5</v>
      </c>
      <c r="K277" s="118">
        <f ca="1">J277/'Hieu Qua NV'!$J$2</f>
        <v>0.45652173913043476</v>
      </c>
      <c r="L277" s="119">
        <f t="shared" ca="1" si="77"/>
        <v>0</v>
      </c>
      <c r="M277" s="118">
        <f ca="1">IFERROR(
INDEX(
KB!$I$55:$AJ$68,
MATCH(E277,KB!$I$55:$I$68,0),
MATCH(D277,KB!$I$55:$AJ$55,0)
),
0)</f>
        <v>3</v>
      </c>
      <c r="S277" s="669" cm="1">
        <f t="array" aca="1" ref="S277" ca="1">_xlfn.IFS(
CONFIG!$B$8="W1",H277-N277,
CONFIG!$B$8="W2",H277-O277,
CONFIG!$B$8="W3",H277-P277,
CONFIG!$B$8="W4",H277-Q277,
CONFIG!$B$8="W5",H277-R277
)</f>
        <v>0</v>
      </c>
      <c r="T277" s="652">
        <f t="shared" ca="1" si="73"/>
        <v>0</v>
      </c>
    </row>
    <row r="278" spans="3:20">
      <c r="C278" s="116" t="str">
        <f>INDEX(KB!C:D,MATCH(D278,KB!D:D,0),1)</f>
        <v>VÍ TRẢ SAU</v>
      </c>
      <c r="D278" s="116" t="s">
        <v>128</v>
      </c>
      <c r="E278" s="117" t="s">
        <v>282</v>
      </c>
      <c r="F278" s="116" t="str">
        <f t="shared" si="78"/>
        <v>VÍ TRẢ SAUNguyễn Thị Phương Oanh - 164808</v>
      </c>
      <c r="G278" s="118" cm="1">
        <f t="array" ref="G278">IFERROR(INDEX(KB!$I$38:$AJ$50,MATCH(XL_DT_TD!E278,KB!$I$38:$I$50,0),MATCH(XL_DT_TD!D278,KB!$J$37:$AJ$37,0)+1),0)</f>
        <v>10.5</v>
      </c>
      <c r="H278" s="118" cm="1">
        <f t="array" ref="H278">IFERROR(
  INDEX(DATA_TĐ!$B$36:$Z$47,
    MATCH(TRUE, INDEX(TRIM(DATA_TĐ!$B$36:$B$45)=TRIM(E278),0),0),
    MATCH(TRUE, INDEX(TRIM(DATA_TĐ!$B$36:$Z$36)=TRIM(C278),0),0)
  ),
0)</f>
        <v>0</v>
      </c>
      <c r="I278" s="118">
        <f ca="1">H278/DAY(NOW()-1)*'Hieu Qua NV'!$J$1</f>
        <v>0</v>
      </c>
      <c r="J278" s="118">
        <f t="shared" si="79"/>
        <v>10.5</v>
      </c>
      <c r="K278" s="118">
        <f ca="1">J278/'Hieu Qua NV'!$J$2</f>
        <v>0.45652173913043476</v>
      </c>
      <c r="L278" s="119">
        <f t="shared" ca="1" si="77"/>
        <v>0</v>
      </c>
      <c r="M278" s="118">
        <f ca="1">IFERROR(
INDEX(
KB!$I$55:$AJ$68,
MATCH(E278,KB!$I$55:$I$68,0),
MATCH(D278,KB!$I$55:$AJ$55,0)
),
0)</f>
        <v>3</v>
      </c>
      <c r="S278" s="669" cm="1">
        <f t="array" aca="1" ref="S278" ca="1">_xlfn.IFS(
CONFIG!$B$8="W1",H278-N278,
CONFIG!$B$8="W2",H278-O278,
CONFIG!$B$8="W3",H278-P278,
CONFIG!$B$8="W4",H278-Q278,
CONFIG!$B$8="W5",H278-R278
)</f>
        <v>0</v>
      </c>
      <c r="T278" s="652">
        <f t="shared" ca="1" si="73"/>
        <v>0</v>
      </c>
    </row>
    <row r="279" spans="3:20">
      <c r="C279" s="116" t="str">
        <f>INDEX(KB!C:D,MATCH(D279,KB!D:D,0),1)</f>
        <v>VÍ TRẢ SAU</v>
      </c>
      <c r="D279" s="116" t="s">
        <v>128</v>
      </c>
      <c r="E279" s="117" t="s">
        <v>283</v>
      </c>
      <c r="F279" s="116" t="str">
        <f t="shared" si="78"/>
        <v>VÍ TRẢ SAUNguyễn Anh Tài - 269055</v>
      </c>
      <c r="G279" s="118" cm="1">
        <f t="array" ref="G279">IFERROR(INDEX(KB!$I$38:$AJ$50,MATCH(XL_DT_TD!E279,KB!$I$38:$I$50,0),MATCH(XL_DT_TD!D279,KB!$J$37:$AJ$37,0)+1),0)</f>
        <v>10.5</v>
      </c>
      <c r="H279" s="118" cm="1">
        <f t="array" ref="H279">IFERROR(
  INDEX(DATA_TĐ!$B$36:$Z$47,
    MATCH(TRUE, INDEX(TRIM(DATA_TĐ!$B$36:$B$45)=TRIM(E279),0),0),
    MATCH(TRUE, INDEX(TRIM(DATA_TĐ!$B$36:$Z$36)=TRIM(C279),0),0)
  ),
0)</f>
        <v>0</v>
      </c>
      <c r="I279" s="118">
        <f ca="1">H279/DAY(NOW()-1)*'Hieu Qua NV'!$J$1</f>
        <v>0</v>
      </c>
      <c r="J279" s="118">
        <f t="shared" si="79"/>
        <v>10.5</v>
      </c>
      <c r="K279" s="118">
        <f ca="1">J279/'Hieu Qua NV'!$J$2</f>
        <v>0.45652173913043476</v>
      </c>
      <c r="L279" s="119">
        <f t="shared" ca="1" si="77"/>
        <v>0</v>
      </c>
      <c r="M279" s="118">
        <f ca="1">IFERROR(
INDEX(
KB!$I$55:$AJ$68,
MATCH(E279,KB!$I$55:$I$68,0),
MATCH(D279,KB!$I$55:$AJ$55,0)
),
0)</f>
        <v>3</v>
      </c>
      <c r="S279" s="669" cm="1">
        <f t="array" aca="1" ref="S279" ca="1">_xlfn.IFS(
CONFIG!$B$8="W1",H279-N279,
CONFIG!$B$8="W2",H279-O279,
CONFIG!$B$8="W3",H279-P279,
CONFIG!$B$8="W4",H279-Q279,
CONFIG!$B$8="W5",H279-R279
)</f>
        <v>0</v>
      </c>
      <c r="T279" s="652">
        <f t="shared" ca="1" si="73"/>
        <v>0</v>
      </c>
    </row>
    <row r="280" spans="3:20">
      <c r="C280" s="116" t="str">
        <f>INDEX(KB!C:D,MATCH(D280,KB!D:D,0),1)</f>
        <v>VÍ TRẢ SAU</v>
      </c>
      <c r="D280" s="116" t="s">
        <v>128</v>
      </c>
      <c r="E280" s="117" t="s">
        <v>284</v>
      </c>
      <c r="F280" s="116" t="str">
        <f t="shared" si="78"/>
        <v>VÍ TRẢ SAULê Văn Hợp - 279884</v>
      </c>
      <c r="G280" s="118" cm="1">
        <f t="array" ref="G280">IFERROR(INDEX(KB!$I$38:$AJ$50,MATCH(XL_DT_TD!E280,KB!$I$38:$I$50,0),MATCH(XL_DT_TD!D280,KB!$J$37:$AJ$37,0)+1),0)</f>
        <v>10.5</v>
      </c>
      <c r="H280" s="118" cm="1">
        <f t="array" ref="H280">IFERROR(
  INDEX(DATA_TĐ!$B$36:$Z$47,
    MATCH(TRUE, INDEX(TRIM(DATA_TĐ!$B$36:$B$45)=TRIM(E280),0),0),
    MATCH(TRUE, INDEX(TRIM(DATA_TĐ!$B$36:$Z$36)=TRIM(C280),0),0)
  ),
0)</f>
        <v>0</v>
      </c>
      <c r="I280" s="118">
        <f ca="1">H280/DAY(NOW()-1)*'Hieu Qua NV'!$J$1</f>
        <v>0</v>
      </c>
      <c r="J280" s="118">
        <f t="shared" si="79"/>
        <v>10.5</v>
      </c>
      <c r="K280" s="118">
        <f ca="1">J280/'Hieu Qua NV'!$J$2</f>
        <v>0.45652173913043476</v>
      </c>
      <c r="L280" s="119">
        <f t="shared" ca="1" si="77"/>
        <v>0</v>
      </c>
      <c r="M280" s="118">
        <f ca="1">IFERROR(
INDEX(
KB!$I$55:$AJ$68,
MATCH(E280,KB!$I$55:$I$68,0),
MATCH(D280,KB!$I$55:$AJ$55,0)
),
0)</f>
        <v>3</v>
      </c>
      <c r="S280" s="669" cm="1">
        <f t="array" aca="1" ref="S280" ca="1">_xlfn.IFS(
CONFIG!$B$8="W1",H280-N280,
CONFIG!$B$8="W2",H280-O280,
CONFIG!$B$8="W3",H280-P280,
CONFIG!$B$8="W4",H280-Q280,
CONFIG!$B$8="W5",H280-R280
)</f>
        <v>0</v>
      </c>
      <c r="T280" s="652">
        <f t="shared" ca="1" si="73"/>
        <v>0</v>
      </c>
    </row>
    <row r="281" spans="3:20">
      <c r="C281" s="120" t="str">
        <f>INDEX(KB!C:D,MATCH(D281,KB!D:D,0),1)</f>
        <v>VÍ TRẢ SAU</v>
      </c>
      <c r="D281" s="120" t="s">
        <v>128</v>
      </c>
      <c r="E281" s="120" t="s">
        <v>20</v>
      </c>
      <c r="F281" s="121" t="str">
        <f t="shared" si="78"/>
        <v>VÍ TRẢ SAUTổng</v>
      </c>
      <c r="G281" s="122">
        <f t="shared" ref="G281" si="80">SUM(G268:G279)</f>
        <v>95.339999999999989</v>
      </c>
      <c r="H281" s="122">
        <f t="shared" ref="H281:I281" si="81">SUM(H268:H279)</f>
        <v>0</v>
      </c>
      <c r="I281" s="122">
        <f t="shared" ca="1" si="81"/>
        <v>0</v>
      </c>
      <c r="J281" s="122">
        <f t="shared" si="79"/>
        <v>95.339999999999989</v>
      </c>
      <c r="K281" s="122">
        <f ca="1">J281/'Hieu Qua NV'!$J$2</f>
        <v>4.1452173913043477</v>
      </c>
      <c r="L281" s="119">
        <f t="shared" ca="1" si="77"/>
        <v>0</v>
      </c>
      <c r="M281" s="122">
        <f t="shared" ref="M281" ca="1" si="82">SUM(M268:M279)</f>
        <v>23</v>
      </c>
      <c r="S281" s="669" cm="1">
        <f t="array" aca="1" ref="S281" ca="1">_xlfn.IFS(
CONFIG!$B$8="W1",H281-N281,
CONFIG!$B$8="W2",H281-O281,
CONFIG!$B$8="W3",H281-P281,
CONFIG!$B$8="W4",H281-Q281,
CONFIG!$B$8="W5",H281-R281
)</f>
        <v>0</v>
      </c>
      <c r="T281" s="652">
        <f t="shared" ca="1" si="73"/>
        <v>0</v>
      </c>
    </row>
    <row r="282" spans="3:20">
      <c r="C282" s="116" t="str">
        <f>INDEX(KB!C:D,MATCH(D282,KB!D:D,0),1)</f>
        <v>VAY TIỀN MẶT CAKE VÀ FECREDIT</v>
      </c>
      <c r="D282" s="116" t="s">
        <v>61</v>
      </c>
      <c r="E282" s="321" t="s">
        <v>57</v>
      </c>
      <c r="F282" s="116" t="str">
        <f t="shared" si="78"/>
        <v>VAY TIỀN MẶT CAKE VÀ FECREDITNguyễn Thị Ngọc - 54026</v>
      </c>
      <c r="G282" s="118" cm="1">
        <f t="array" ref="G282">IFERROR(INDEX(KB!$I$38:$AJ$50,MATCH(XL_DT_TD!E282,KB!$I$38:$I$50,0),MATCH(XL_DT_TD!D282,KB!$J$37:$AJ$37,0)+1),0)</f>
        <v>2.25</v>
      </c>
      <c r="H282" s="118" cm="1">
        <f t="array" ref="H282">IFERROR(INDEX(DATA_TĐ!$B$1:$AZ$19,MATCH(XL_DT_TD!E282,DATA_TĐ!B:B,0),MATCH(XL_DT_TD!C282,DATA_TĐ!$1:$1,0)-1),0)</f>
        <v>0</v>
      </c>
      <c r="I282" s="118">
        <f ca="1">H282/DAY(NOW()-1)*'Hieu Qua NV'!$J$1</f>
        <v>0</v>
      </c>
      <c r="J282" s="118">
        <f t="shared" si="79"/>
        <v>2.25</v>
      </c>
      <c r="K282" s="118">
        <f ca="1">J282/'Hieu Qua NV'!$J$2</f>
        <v>9.7826086956521743E-2</v>
      </c>
      <c r="L282" s="119">
        <f t="shared" ca="1" si="77"/>
        <v>0</v>
      </c>
      <c r="M282" s="118">
        <f ca="1">IFERROR(
INDEX(
KB!$I$55:$AJ$68,
MATCH(E282,KB!$I$55:$I$68,0),
MATCH(D282,KB!$I$55:$AJ$55,0)
),
0)</f>
        <v>1</v>
      </c>
      <c r="S282" s="669" cm="1">
        <f t="array" aca="1" ref="S282" ca="1">_xlfn.IFS(
CONFIG!$B$8="W1",H282-N282,
CONFIG!$B$8="W2",H282-O282,
CONFIG!$B$8="W3",H282-P282,
CONFIG!$B$8="W4",H282-Q282,
CONFIG!$B$8="W5",H282-R282
)</f>
        <v>0</v>
      </c>
      <c r="T282" s="652">
        <f t="shared" ca="1" si="73"/>
        <v>0</v>
      </c>
    </row>
    <row r="283" spans="3:20">
      <c r="C283" s="116" t="str">
        <f>INDEX(KB!C:D,MATCH(D283,KB!D:D,0),1)</f>
        <v>VAY TIỀN MẶT CAKE VÀ FECREDIT</v>
      </c>
      <c r="D283" s="116" t="s">
        <v>61</v>
      </c>
      <c r="E283" s="321" t="s">
        <v>60</v>
      </c>
      <c r="F283" s="116" t="str">
        <f t="shared" si="78"/>
        <v>VAY TIỀN MẶT CAKE VÀ FECREDITNguyễn Viết Sơn - 94065</v>
      </c>
      <c r="G283" s="118" cm="1">
        <f t="array" ref="G283">IFERROR(INDEX(KB!$I$38:$AJ$50,MATCH(XL_DT_TD!E283,KB!$I$38:$I$50,0),MATCH(XL_DT_TD!D283,KB!$J$37:$AJ$37,0)+1),0)</f>
        <v>2.25</v>
      </c>
      <c r="H283" s="118" cm="1">
        <f t="array" ref="H283">IFERROR(INDEX(DATA_TĐ!$B$1:$AZ$19,MATCH(XL_DT_TD!E283,DATA_TĐ!B:B,0),MATCH(XL_DT_TD!C283,DATA_TĐ!$1:$1,0)-1),0)</f>
        <v>0</v>
      </c>
      <c r="I283" s="118">
        <f ca="1">H283/DAY(NOW()-1)*'Hieu Qua NV'!$J$1</f>
        <v>0</v>
      </c>
      <c r="J283" s="118">
        <f t="shared" si="79"/>
        <v>2.25</v>
      </c>
      <c r="K283" s="118">
        <f ca="1">J283/'Hieu Qua NV'!$J$2</f>
        <v>9.7826086956521743E-2</v>
      </c>
      <c r="L283" s="119">
        <f t="shared" ca="1" si="77"/>
        <v>0</v>
      </c>
      <c r="M283" s="118">
        <f ca="1">IFERROR(
INDEX(
KB!$I$55:$AJ$68,
MATCH(E283,KB!$I$55:$I$68,0),
MATCH(D283,KB!$I$55:$AJ$55,0)
),
0)</f>
        <v>1</v>
      </c>
      <c r="S283" s="669" cm="1">
        <f t="array" aca="1" ref="S283" ca="1">_xlfn.IFS(
CONFIG!$B$8="W1",H283-N283,
CONFIG!$B$8="W2",H283-O283,
CONFIG!$B$8="W3",H283-P283,
CONFIG!$B$8="W4",H283-Q283,
CONFIG!$B$8="W5",H283-R283
)</f>
        <v>0</v>
      </c>
      <c r="T283" s="652">
        <f t="shared" ca="1" si="73"/>
        <v>0</v>
      </c>
    </row>
    <row r="284" spans="3:20">
      <c r="C284" s="116" t="str">
        <f>INDEX(KB!C:D,MATCH(D284,KB!D:D,0),1)</f>
        <v>VAY TIỀN MẶT CAKE VÀ FECREDIT</v>
      </c>
      <c r="D284" s="116" t="s">
        <v>61</v>
      </c>
      <c r="E284" s="321" t="s">
        <v>15</v>
      </c>
      <c r="F284" s="116" t="str">
        <f t="shared" si="78"/>
        <v>VAY TIỀN MẶT CAKE VÀ FECREDITNguyễn Trang Nhung - 25734</v>
      </c>
      <c r="G284" s="118" cm="1">
        <f t="array" ref="G284">IFERROR(INDEX(KB!$I$38:$AJ$50,MATCH(XL_DT_TD!E284,KB!$I$38:$I$50,0),MATCH(XL_DT_TD!D284,KB!$J$37:$AJ$37,0)+1),0)</f>
        <v>2.25</v>
      </c>
      <c r="H284" s="118" cm="1">
        <f t="array" ref="H284">IFERROR(INDEX(DATA_TĐ!$B$1:$AZ$19,MATCH(XL_DT_TD!E284,DATA_TĐ!B:B,0),MATCH(XL_DT_TD!C284,DATA_TĐ!$1:$1,0)-1),0)</f>
        <v>0</v>
      </c>
      <c r="I284" s="118">
        <f ca="1">H284/DAY(NOW()-1)*'Hieu Qua NV'!$J$1</f>
        <v>0</v>
      </c>
      <c r="J284" s="118">
        <f t="shared" si="79"/>
        <v>2.25</v>
      </c>
      <c r="K284" s="118">
        <f ca="1">J284/'Hieu Qua NV'!$J$2</f>
        <v>9.7826086956521743E-2</v>
      </c>
      <c r="L284" s="119">
        <f t="shared" ca="1" si="77"/>
        <v>0</v>
      </c>
      <c r="M284" s="118">
        <f ca="1">IFERROR(
INDEX(
KB!$I$55:$AJ$68,
MATCH(E284,KB!$I$55:$I$68,0),
MATCH(D284,KB!$I$55:$AJ$55,0)
),
0)</f>
        <v>1</v>
      </c>
      <c r="S284" s="669" cm="1">
        <f t="array" aca="1" ref="S284" ca="1">_xlfn.IFS(
CONFIG!$B$8="W1",H284-N284,
CONFIG!$B$8="W2",H284-O284,
CONFIG!$B$8="W3",H284-P284,
CONFIG!$B$8="W4",H284-Q284,
CONFIG!$B$8="W5",H284-R284
)</f>
        <v>0</v>
      </c>
      <c r="T284" s="652">
        <f t="shared" ca="1" si="73"/>
        <v>0</v>
      </c>
    </row>
    <row r="285" spans="3:20">
      <c r="C285" s="116" t="str">
        <f>INDEX(KB!C:D,MATCH(D285,KB!D:D,0),1)</f>
        <v>VAY TIỀN MẶT CAKE VÀ FECREDIT</v>
      </c>
      <c r="D285" s="116" t="s">
        <v>61</v>
      </c>
      <c r="E285" s="321" t="s">
        <v>151</v>
      </c>
      <c r="F285" s="116" t="str">
        <f t="shared" si="78"/>
        <v>VAY TIỀN MẶT CAKE VÀ FECREDITTrần Huy Hoàn - 270828</v>
      </c>
      <c r="G285" s="118" cm="1">
        <f t="array" ref="G285">IFERROR(INDEX(KB!$I$38:$AJ$50,MATCH(XL_DT_TD!E285,KB!$I$38:$I$50,0),MATCH(XL_DT_TD!D285,KB!$J$37:$AJ$37,0)+1),0)</f>
        <v>2.25</v>
      </c>
      <c r="H285" s="118" cm="1">
        <f t="array" ref="H285">IFERROR(INDEX(DATA_TĐ!$B$1:$AZ$19,MATCH(XL_DT_TD!E285,DATA_TĐ!B:B,0),MATCH(XL_DT_TD!C285,DATA_TĐ!$1:$1,0)-1),0)</f>
        <v>0</v>
      </c>
      <c r="I285" s="118">
        <f ca="1">H285/DAY(NOW()-1)*'Hieu Qua NV'!$J$1</f>
        <v>0</v>
      </c>
      <c r="J285" s="118">
        <f t="shared" si="79"/>
        <v>2.25</v>
      </c>
      <c r="K285" s="118">
        <f ca="1">J285/'Hieu Qua NV'!$J$2</f>
        <v>9.7826086956521743E-2</v>
      </c>
      <c r="L285" s="119">
        <f t="shared" ca="1" si="77"/>
        <v>0</v>
      </c>
      <c r="M285" s="118">
        <f ca="1">IFERROR(
INDEX(
KB!$I$55:$AJ$68,
MATCH(E285,KB!$I$55:$I$68,0),
MATCH(D285,KB!$I$55:$AJ$55,0)
),
0)</f>
        <v>1</v>
      </c>
      <c r="S285" s="669" cm="1">
        <f t="array" aca="1" ref="S285" ca="1">_xlfn.IFS(
CONFIG!$B$8="W1",H285-N285,
CONFIG!$B$8="W2",H285-O285,
CONFIG!$B$8="W3",H285-P285,
CONFIG!$B$8="W4",H285-Q285,
CONFIG!$B$8="W5",H285-R285
)</f>
        <v>0</v>
      </c>
      <c r="T285" s="652">
        <f t="shared" ca="1" si="73"/>
        <v>0</v>
      </c>
    </row>
    <row r="286" spans="3:20">
      <c r="C286" s="116" t="str">
        <f>INDEX(KB!C:D,MATCH(D286,KB!D:D,0),1)</f>
        <v>VAY TIỀN MẶT CAKE VÀ FECREDIT</v>
      </c>
      <c r="D286" s="116" t="s">
        <v>61</v>
      </c>
      <c r="E286" s="321" t="s">
        <v>293</v>
      </c>
      <c r="F286" s="116" t="str">
        <f t="shared" si="78"/>
        <v>VAY TIỀN MẶT CAKE VÀ FECREDITPhạm Văn Thanh - 279935</v>
      </c>
      <c r="G286" s="118" cm="1">
        <f t="array" ref="G286">IFERROR(INDEX(KB!$I$38:$AJ$50,MATCH(XL_DT_TD!E286,KB!$I$38:$I$50,0),MATCH(XL_DT_TD!D286,KB!$J$37:$AJ$37,0)+1),0)</f>
        <v>2.25</v>
      </c>
      <c r="H286" s="118" cm="1">
        <f t="array" ref="H286">IFERROR(INDEX(DATA_TĐ!$B$1:$AZ$19,MATCH(XL_DT_TD!E286,DATA_TĐ!B:B,0),MATCH(XL_DT_TD!C286,DATA_TĐ!$1:$1,0)-1),0)</f>
        <v>0</v>
      </c>
      <c r="I286" s="118">
        <f ca="1">H286/DAY(NOW()-1)*'Hieu Qua NV'!$J$1</f>
        <v>0</v>
      </c>
      <c r="J286" s="118">
        <f t="shared" si="79"/>
        <v>2.25</v>
      </c>
      <c r="K286" s="118">
        <f ca="1">J286/'Hieu Qua NV'!$J$2</f>
        <v>9.7826086956521743E-2</v>
      </c>
      <c r="L286" s="119">
        <f t="shared" ca="1" si="77"/>
        <v>0</v>
      </c>
      <c r="M286" s="118">
        <f ca="1">IFERROR(
INDEX(
KB!$I$55:$AJ$68,
MATCH(E286,KB!$I$55:$I$68,0),
MATCH(D286,KB!$I$55:$AJ$55,0)
),
0)</f>
        <v>1</v>
      </c>
      <c r="S286" s="669" cm="1">
        <f t="array" aca="1" ref="S286" ca="1">_xlfn.IFS(
CONFIG!$B$8="W1",H286-N286,
CONFIG!$B$8="W2",H286-O286,
CONFIG!$B$8="W3",H286-P286,
CONFIG!$B$8="W4",H286-Q286,
CONFIG!$B$8="W5",H286-R286
)</f>
        <v>0</v>
      </c>
      <c r="T286" s="652">
        <f t="shared" ca="1" si="73"/>
        <v>0</v>
      </c>
    </row>
    <row r="287" spans="3:20">
      <c r="C287" s="116" t="str">
        <f>INDEX(KB!C:D,MATCH(D287,KB!D:D,0),1)</f>
        <v>VAY TIỀN MẶT CAKE VÀ FECREDIT</v>
      </c>
      <c r="D287" s="116" t="s">
        <v>61</v>
      </c>
      <c r="E287" s="321" t="s">
        <v>433</v>
      </c>
      <c r="F287" s="116" t="str">
        <f t="shared" si="78"/>
        <v>VAY TIỀN MẶT CAKE VÀ FECREDITNguyễn Thành Đạt - 280855</v>
      </c>
      <c r="G287" s="118" cm="1">
        <f t="array" ref="G287">IFERROR(INDEX(KB!$I$38:$AJ$50,MATCH(XL_DT_TD!E287,KB!$I$38:$I$50,0),MATCH(XL_DT_TD!D287,KB!$J$37:$AJ$37,0)+1),0)</f>
        <v>2.25</v>
      </c>
      <c r="H287" s="118" cm="1">
        <f t="array" ref="H287">IFERROR(INDEX(DATA_TĐ!$B$1:$AZ$19,MATCH(XL_DT_TD!E287,DATA_TĐ!B:B,0),MATCH(XL_DT_TD!C287,DATA_TĐ!$1:$1,0)-1),0)</f>
        <v>0</v>
      </c>
      <c r="I287" s="118">
        <f ca="1">H287/DAY(NOW()-1)*'Hieu Qua NV'!$J$1</f>
        <v>0</v>
      </c>
      <c r="J287" s="118">
        <f t="shared" si="79"/>
        <v>2.25</v>
      </c>
      <c r="K287" s="118">
        <f ca="1">J287/'Hieu Qua NV'!$J$2</f>
        <v>9.7826086956521743E-2</v>
      </c>
      <c r="L287" s="119">
        <f t="shared" ca="1" si="77"/>
        <v>0</v>
      </c>
      <c r="M287" s="118">
        <f ca="1">IFERROR(
INDEX(
KB!$I$55:$AJ$68,
MATCH(E287,KB!$I$55:$I$68,0),
MATCH(D287,KB!$I$55:$AJ$55,0)
),
0)</f>
        <v>1</v>
      </c>
      <c r="S287" s="669" cm="1">
        <f t="array" aca="1" ref="S287" ca="1">_xlfn.IFS(
CONFIG!$B$8="W1",H287-N287,
CONFIG!$B$8="W2",H287-O287,
CONFIG!$B$8="W3",H287-P287,
CONFIG!$B$8="W4",H287-Q287,
CONFIG!$B$8="W5",H287-R287
)</f>
        <v>0</v>
      </c>
      <c r="T287" s="652">
        <f t="shared" ca="1" si="73"/>
        <v>0</v>
      </c>
    </row>
    <row r="288" spans="3:20">
      <c r="C288" s="116" t="str">
        <f>INDEX(KB!C:D,MATCH(D288,KB!D:D,0),1)</f>
        <v>VAY TIỀN MẶT CAKE VÀ FECREDIT</v>
      </c>
      <c r="D288" s="116" t="s">
        <v>61</v>
      </c>
      <c r="E288" s="321" t="s">
        <v>56</v>
      </c>
      <c r="F288" s="116" t="str">
        <f t="shared" si="78"/>
        <v>VAY TIỀN MẶT CAKE VÀ FECREDITĐỗ Văn Duân - 62025</v>
      </c>
      <c r="G288" s="118" cm="1">
        <f t="array" ref="G288">IFERROR(INDEX(KB!$I$38:$AJ$50,MATCH(XL_DT_TD!E288,KB!$I$38:$I$50,0),MATCH(XL_DT_TD!D288,KB!$J$37:$AJ$37,0)+1),0)</f>
        <v>2.25</v>
      </c>
      <c r="H288" s="118" cm="1">
        <f t="array" ref="H288">IFERROR(INDEX(DATA_TĐ!$B$1:$AZ$19,MATCH(XL_DT_TD!E288,DATA_TĐ!B:B,0),MATCH(XL_DT_TD!C288,DATA_TĐ!$1:$1,0)-1),0)</f>
        <v>0</v>
      </c>
      <c r="I288" s="118">
        <f ca="1">H288/DAY(NOW()-1)*'Hieu Qua NV'!$J$1</f>
        <v>0</v>
      </c>
      <c r="J288" s="118">
        <f t="shared" si="79"/>
        <v>2.25</v>
      </c>
      <c r="K288" s="118">
        <f ca="1">J288/'Hieu Qua NV'!$J$2</f>
        <v>9.7826086956521743E-2</v>
      </c>
      <c r="L288" s="119">
        <f t="shared" ca="1" si="77"/>
        <v>0</v>
      </c>
      <c r="M288" s="118">
        <f ca="1">IFERROR(
INDEX(
KB!$I$55:$AJ$68,
MATCH(E288,KB!$I$55:$I$68,0),
MATCH(D288,KB!$I$55:$AJ$55,0)
),
0)</f>
        <v>1</v>
      </c>
      <c r="S288" s="669" cm="1">
        <f t="array" aca="1" ref="S288" ca="1">_xlfn.IFS(
CONFIG!$B$8="W1",H288-N288,
CONFIG!$B$8="W2",H288-O288,
CONFIG!$B$8="W3",H288-P288,
CONFIG!$B$8="W4",H288-Q288,
CONFIG!$B$8="W5",H288-R288
)</f>
        <v>0</v>
      </c>
      <c r="T288" s="652">
        <f t="shared" ca="1" si="73"/>
        <v>0</v>
      </c>
    </row>
    <row r="289" spans="3:20">
      <c r="C289" s="116" t="str">
        <f>INDEX(KB!C:D,MATCH(D289,KB!D:D,0),1)</f>
        <v>VAY TIỀN MẶT CAKE VÀ FECREDIT</v>
      </c>
      <c r="D289" s="116" t="s">
        <v>61</v>
      </c>
      <c r="E289" s="321" t="s">
        <v>530</v>
      </c>
      <c r="F289" s="116" t="str">
        <f t="shared" si="78"/>
        <v>VAY TIỀN MẶT CAKE VÀ FECREDITNhân viên Mới 1</v>
      </c>
      <c r="G289" s="118" cm="1">
        <f t="array" ref="G289">IFERROR(INDEX(KB!$I$38:$AJ$50,MATCH(XL_DT_TD!E289,KB!$I$38:$I$50,0),MATCH(XL_DT_TD!D289,KB!$J$37:$AJ$37,0)+1),0)</f>
        <v>0</v>
      </c>
      <c r="H289" s="118" cm="1">
        <f t="array" ref="H289">IFERROR(INDEX(DATA_TĐ!$B$1:$AZ$19,MATCH(XL_DT_TD!E289,DATA_TĐ!B:B,0),MATCH(XL_DT_TD!C289,DATA_TĐ!$1:$1,0)-1),0)</f>
        <v>0</v>
      </c>
      <c r="I289" s="118">
        <f ca="1">H289/DAY(NOW()-1)*'Hieu Qua NV'!$J$1</f>
        <v>0</v>
      </c>
      <c r="J289" s="118">
        <f t="shared" si="79"/>
        <v>0</v>
      </c>
      <c r="K289" s="118">
        <f ca="1">J289/'Hieu Qua NV'!$J$2</f>
        <v>0</v>
      </c>
      <c r="L289" s="119" t="e">
        <f t="shared" ca="1" si="77"/>
        <v>#DIV/0!</v>
      </c>
      <c r="M289" s="118">
        <f ca="1">IFERROR(
INDEX(
KB!$I$55:$AJ$68,
MATCH(E289,KB!$I$55:$I$68,0),
MATCH(D289,KB!$I$55:$AJ$55,0)
),
0)</f>
        <v>0</v>
      </c>
      <c r="S289" s="669" cm="1">
        <f t="array" aca="1" ref="S289" ca="1">_xlfn.IFS(
CONFIG!$B$8="W1",H289-N289,
CONFIG!$B$8="W2",H289-O289,
CONFIG!$B$8="W3",H289-P289,
CONFIG!$B$8="W4",H289-Q289,
CONFIG!$B$8="W5",H289-R289
)</f>
        <v>0</v>
      </c>
      <c r="T289" s="652">
        <f t="shared" ca="1" si="73"/>
        <v>0</v>
      </c>
    </row>
    <row r="290" spans="3:20">
      <c r="C290" s="116" t="str">
        <f>INDEX(KB!C:D,MATCH(D290,KB!D:D,0),1)</f>
        <v>VAY TIỀN MẶT CAKE VÀ FECREDIT</v>
      </c>
      <c r="D290" s="116" t="s">
        <v>61</v>
      </c>
      <c r="E290" s="321" t="s">
        <v>560</v>
      </c>
      <c r="F290" s="116" t="str">
        <f t="shared" si="78"/>
        <v>VAY TIỀN MẶT CAKE VÀ FECREDITNhân viên Mới 2</v>
      </c>
      <c r="G290" s="118" cm="1">
        <f t="array" ref="G290">IFERROR(INDEX(KB!$I$38:$AJ$50,MATCH(XL_DT_TD!E290,KB!$I$38:$I$50,0),MATCH(XL_DT_TD!D290,KB!$J$37:$AJ$37,0)+1),0)</f>
        <v>0</v>
      </c>
      <c r="H290" s="118" cm="1">
        <f t="array" ref="H290">IFERROR(INDEX(DATA_TĐ!$B$1:$AZ$19,MATCH(XL_DT_TD!E290,DATA_TĐ!B:B,0),MATCH(XL_DT_TD!C290,DATA_TĐ!$1:$1,0)-1),0)</f>
        <v>0</v>
      </c>
      <c r="I290" s="118">
        <f ca="1">H290/DAY(NOW()-1)*'Hieu Qua NV'!$J$1</f>
        <v>0</v>
      </c>
      <c r="J290" s="118">
        <f t="shared" si="79"/>
        <v>0</v>
      </c>
      <c r="K290" s="118">
        <f ca="1">J290/'Hieu Qua NV'!$J$2</f>
        <v>0</v>
      </c>
      <c r="L290" s="119" t="e">
        <f t="shared" ca="1" si="77"/>
        <v>#DIV/0!</v>
      </c>
      <c r="M290" s="118">
        <f ca="1">IFERROR(
INDEX(
KB!$I$55:$AJ$68,
MATCH(E290,KB!$I$55:$I$68,0),
MATCH(D290,KB!$I$55:$AJ$55,0)
),
0)</f>
        <v>0</v>
      </c>
      <c r="S290" s="669" cm="1">
        <f t="array" aca="1" ref="S290" ca="1">_xlfn.IFS(
CONFIG!$B$8="W1",H290-N290,
CONFIG!$B$8="W2",H290-O290,
CONFIG!$B$8="W3",H290-P290,
CONFIG!$B$8="W4",H290-Q290,
CONFIG!$B$8="W5",H290-R290
)</f>
        <v>0</v>
      </c>
      <c r="T290" s="652">
        <f t="shared" ca="1" si="73"/>
        <v>0</v>
      </c>
    </row>
    <row r="291" spans="3:20">
      <c r="C291" s="116" t="str">
        <f>INDEX(KB!C:D,MATCH(D291,KB!D:D,0),1)</f>
        <v>VAY TIỀN MẶT CAKE VÀ FECREDIT</v>
      </c>
      <c r="D291" s="116" t="s">
        <v>61</v>
      </c>
      <c r="E291" s="117" t="s">
        <v>281</v>
      </c>
      <c r="F291" s="116" t="str">
        <f t="shared" si="78"/>
        <v>VAY TIỀN MẶT CAKE VÀ FECREDITTrần Thị Nhung - 11082</v>
      </c>
      <c r="G291" s="118" cm="1">
        <f t="array" ref="G291">IFERROR(INDEX(KB!$I$38:$AJ$50,MATCH(XL_DT_TD!E291,KB!$I$38:$I$50,0),MATCH(XL_DT_TD!D291,KB!$J$37:$AJ$37,0)+1),0)</f>
        <v>2.0499999999999998</v>
      </c>
      <c r="H291" s="118" cm="1">
        <f t="array" ref="H291">IFERROR(
  INDEX(DATA_TĐ!$B$36:$Z$47,
    MATCH(TRUE, INDEX(TRIM(DATA_TĐ!$B$36:$B$45)=TRIM(E291),0),0),
    MATCH(TRUE, INDEX(TRIM(DATA_TĐ!$B$36:$Z$36)=TRIM(C291),0),0)
  ),
0)</f>
        <v>0</v>
      </c>
      <c r="I291" s="118">
        <f ca="1">H291/DAY(NOW()-1)*'Hieu Qua NV'!$J$1</f>
        <v>0</v>
      </c>
      <c r="J291" s="118">
        <f t="shared" si="79"/>
        <v>2.0499999999999998</v>
      </c>
      <c r="K291" s="118">
        <f ca="1">J291/'Hieu Qua NV'!$J$2</f>
        <v>8.9130434782608695E-2</v>
      </c>
      <c r="L291" s="119">
        <f t="shared" ca="1" si="77"/>
        <v>0</v>
      </c>
      <c r="M291" s="118">
        <f ca="1">IFERROR(
INDEX(
KB!$I$55:$AJ$68,
MATCH(E291,KB!$I$55:$I$68,0),
MATCH(D291,KB!$I$55:$AJ$55,0)
),
0)</f>
        <v>1</v>
      </c>
      <c r="S291" s="669" cm="1">
        <f t="array" aca="1" ref="S291" ca="1">_xlfn.IFS(
CONFIG!$B$8="W1",H291-N291,
CONFIG!$B$8="W2",H291-O291,
CONFIG!$B$8="W3",H291-P291,
CONFIG!$B$8="W4",H291-Q291,
CONFIG!$B$8="W5",H291-R291
)</f>
        <v>0</v>
      </c>
      <c r="T291" s="652">
        <f t="shared" ca="1" si="73"/>
        <v>0</v>
      </c>
    </row>
    <row r="292" spans="3:20">
      <c r="C292" s="116" t="str">
        <f>INDEX(KB!C:D,MATCH(D292,KB!D:D,0),1)</f>
        <v>VAY TIỀN MẶT CAKE VÀ FECREDIT</v>
      </c>
      <c r="D292" s="116" t="s">
        <v>61</v>
      </c>
      <c r="E292" s="117" t="s">
        <v>282</v>
      </c>
      <c r="F292" s="116" t="str">
        <f t="shared" si="78"/>
        <v>VAY TIỀN MẶT CAKE VÀ FECREDITNguyễn Thị Phương Oanh - 164808</v>
      </c>
      <c r="G292" s="118" cm="1">
        <f t="array" ref="G292">IFERROR(INDEX(KB!$I$38:$AJ$50,MATCH(XL_DT_TD!E292,KB!$I$38:$I$50,0),MATCH(XL_DT_TD!D292,KB!$J$37:$AJ$37,0)+1),0)</f>
        <v>2.0499999999999998</v>
      </c>
      <c r="H292" s="118" cm="1">
        <f t="array" ref="H292">IFERROR(
  INDEX(DATA_TĐ!$B$36:$Z$47,
    MATCH(TRUE, INDEX(TRIM(DATA_TĐ!$B$36:$B$45)=TRIM(E292),0),0),
    MATCH(TRUE, INDEX(TRIM(DATA_TĐ!$B$36:$Z$36)=TRIM(C292),0),0)
  ),
0)</f>
        <v>0</v>
      </c>
      <c r="I292" s="118">
        <f ca="1">H292/DAY(NOW()-1)*'Hieu Qua NV'!$J$1</f>
        <v>0</v>
      </c>
      <c r="J292" s="118">
        <f t="shared" si="79"/>
        <v>2.0499999999999998</v>
      </c>
      <c r="K292" s="118">
        <f ca="1">J292/'Hieu Qua NV'!$J$2</f>
        <v>8.9130434782608695E-2</v>
      </c>
      <c r="L292" s="119">
        <f t="shared" ca="1" si="77"/>
        <v>0</v>
      </c>
      <c r="M292" s="118">
        <f ca="1">IFERROR(
INDEX(
KB!$I$55:$AJ$68,
MATCH(E292,KB!$I$55:$I$68,0),
MATCH(D292,KB!$I$55:$AJ$55,0)
),
0)</f>
        <v>1</v>
      </c>
      <c r="S292" s="669" cm="1">
        <f t="array" aca="1" ref="S292" ca="1">_xlfn.IFS(
CONFIG!$B$8="W1",H292-N292,
CONFIG!$B$8="W2",H292-O292,
CONFIG!$B$8="W3",H292-P292,
CONFIG!$B$8="W4",H292-Q292,
CONFIG!$B$8="W5",H292-R292
)</f>
        <v>0</v>
      </c>
      <c r="T292" s="652">
        <f t="shared" ca="1" si="73"/>
        <v>0</v>
      </c>
    </row>
    <row r="293" spans="3:20">
      <c r="C293" s="116" t="str">
        <f>INDEX(KB!C:D,MATCH(D293,KB!D:D,0),1)</f>
        <v>VAY TIỀN MẶT CAKE VÀ FECREDIT</v>
      </c>
      <c r="D293" s="116" t="s">
        <v>61</v>
      </c>
      <c r="E293" s="117" t="s">
        <v>283</v>
      </c>
      <c r="F293" s="116" t="str">
        <f t="shared" si="78"/>
        <v>VAY TIỀN MẶT CAKE VÀ FECREDITNguyễn Anh Tài - 269055</v>
      </c>
      <c r="G293" s="118" cm="1">
        <f t="array" ref="G293">IFERROR(INDEX(KB!$I$38:$AJ$50,MATCH(XL_DT_TD!E293,KB!$I$38:$I$50,0),MATCH(XL_DT_TD!D293,KB!$J$37:$AJ$37,0)+1),0)</f>
        <v>2.0499999999999998</v>
      </c>
      <c r="H293" s="118" cm="1">
        <f t="array" ref="H293">IFERROR(
  INDEX(DATA_TĐ!$B$36:$Z$47,
    MATCH(TRUE, INDEX(TRIM(DATA_TĐ!$B$36:$B$45)=TRIM(E293),0),0),
    MATCH(TRUE, INDEX(TRIM(DATA_TĐ!$B$36:$Z$36)=TRIM(C293),0),0)
  ),
0)</f>
        <v>0</v>
      </c>
      <c r="I293" s="118">
        <f ca="1">H293/DAY(NOW()-1)*'Hieu Qua NV'!$J$1</f>
        <v>0</v>
      </c>
      <c r="J293" s="118">
        <f t="shared" si="79"/>
        <v>2.0499999999999998</v>
      </c>
      <c r="K293" s="118">
        <f ca="1">J293/'Hieu Qua NV'!$J$2</f>
        <v>8.9130434782608695E-2</v>
      </c>
      <c r="L293" s="119">
        <f t="shared" ca="1" si="77"/>
        <v>0</v>
      </c>
      <c r="M293" s="118">
        <f ca="1">IFERROR(
INDEX(
KB!$I$55:$AJ$68,
MATCH(E293,KB!$I$55:$I$68,0),
MATCH(D293,KB!$I$55:$AJ$55,0)
),
0)</f>
        <v>1</v>
      </c>
      <c r="S293" s="669" cm="1">
        <f t="array" aca="1" ref="S293" ca="1">_xlfn.IFS(
CONFIG!$B$8="W1",H293-N293,
CONFIG!$B$8="W2",H293-O293,
CONFIG!$B$8="W3",H293-P293,
CONFIG!$B$8="W4",H293-Q293,
CONFIG!$B$8="W5",H293-R293
)</f>
        <v>0</v>
      </c>
      <c r="T293" s="652">
        <f t="shared" ca="1" si="73"/>
        <v>0</v>
      </c>
    </row>
    <row r="294" spans="3:20">
      <c r="C294" s="116" t="str">
        <f>INDEX(KB!C:D,MATCH(D294,KB!D:D,0),1)</f>
        <v>VAY TIỀN MẶT CAKE VÀ FECREDIT</v>
      </c>
      <c r="D294" s="116" t="s">
        <v>61</v>
      </c>
      <c r="E294" s="117" t="s">
        <v>284</v>
      </c>
      <c r="F294" s="116" t="str">
        <f t="shared" si="78"/>
        <v>VAY TIỀN MẶT CAKE VÀ FECREDITLê Văn Hợp - 279884</v>
      </c>
      <c r="G294" s="118" cm="1">
        <f t="array" ref="G294">IFERROR(INDEX(KB!$I$38:$AJ$50,MATCH(XL_DT_TD!E294,KB!$I$38:$I$50,0),MATCH(XL_DT_TD!D294,KB!$J$37:$AJ$37,0)+1),0)</f>
        <v>2.0499999999999998</v>
      </c>
      <c r="H294" s="118" cm="1">
        <f t="array" ref="H294">IFERROR(
  INDEX(DATA_TĐ!$B$36:$Z$47,
    MATCH(TRUE, INDEX(TRIM(DATA_TĐ!$B$36:$B$45)=TRIM(E294),0),0),
    MATCH(TRUE, INDEX(TRIM(DATA_TĐ!$B$36:$Z$36)=TRIM(C294),0),0)
  ),
0)</f>
        <v>0</v>
      </c>
      <c r="I294" s="118">
        <f ca="1">H294/DAY(NOW()-1)*'Hieu Qua NV'!$J$1</f>
        <v>0</v>
      </c>
      <c r="J294" s="118">
        <f t="shared" si="79"/>
        <v>2.0499999999999998</v>
      </c>
      <c r="K294" s="118">
        <f ca="1">J294/'Hieu Qua NV'!$J$2</f>
        <v>8.9130434782608695E-2</v>
      </c>
      <c r="L294" s="119">
        <f t="shared" ca="1" si="77"/>
        <v>0</v>
      </c>
      <c r="M294" s="118">
        <f ca="1">IFERROR(
INDEX(
KB!$I$55:$AJ$68,
MATCH(E294,KB!$I$55:$I$68,0),
MATCH(D294,KB!$I$55:$AJ$55,0)
),
0)</f>
        <v>1</v>
      </c>
      <c r="S294" s="669" cm="1">
        <f t="array" aca="1" ref="S294" ca="1">_xlfn.IFS(
CONFIG!$B$8="W1",H294-N294,
CONFIG!$B$8="W2",H294-O294,
CONFIG!$B$8="W3",H294-P294,
CONFIG!$B$8="W4",H294-Q294,
CONFIG!$B$8="W5",H294-R294
)</f>
        <v>0</v>
      </c>
      <c r="T294" s="652">
        <f t="shared" ca="1" si="73"/>
        <v>0</v>
      </c>
    </row>
    <row r="295" spans="3:20">
      <c r="C295" s="120" t="str">
        <f>INDEX(KB!C:D,MATCH(D295,KB!D:D,0),1)</f>
        <v>VAY TIỀN MẶT CAKE VÀ FECREDIT</v>
      </c>
      <c r="D295" s="120" t="s">
        <v>61</v>
      </c>
      <c r="E295" s="120" t="s">
        <v>20</v>
      </c>
      <c r="F295" s="121" t="str">
        <f t="shared" si="78"/>
        <v>VAY TIỀN MẶT CAKE VÀ FECREDITTổng</v>
      </c>
      <c r="G295" s="122">
        <f t="shared" ref="G295" si="83">SUM(G282:G293)</f>
        <v>21.900000000000002</v>
      </c>
      <c r="H295" s="122">
        <f t="shared" ref="H295:I295" si="84">SUM(H282:H293)</f>
        <v>0</v>
      </c>
      <c r="I295" s="122">
        <f t="shared" ca="1" si="84"/>
        <v>0</v>
      </c>
      <c r="J295" s="122">
        <f t="shared" si="79"/>
        <v>21.900000000000002</v>
      </c>
      <c r="K295" s="122">
        <f ca="1">J295/'Hieu Qua NV'!$J$2</f>
        <v>0.95217391304347831</v>
      </c>
      <c r="L295" s="119">
        <f t="shared" ca="1" si="77"/>
        <v>0</v>
      </c>
      <c r="M295" s="122">
        <f t="shared" ref="M295" ca="1" si="85">SUM(M282:M293)</f>
        <v>10</v>
      </c>
      <c r="S295" s="669" cm="1">
        <f t="array" aca="1" ref="S295" ca="1">_xlfn.IFS(
CONFIG!$B$8="W1",H295-N295,
CONFIG!$B$8="W2",H295-O295,
CONFIG!$B$8="W3",H295-P295,
CONFIG!$B$8="W4",H295-Q295,
CONFIG!$B$8="W5",H295-R295
)</f>
        <v>0</v>
      </c>
      <c r="T295" s="652">
        <f t="shared" ca="1" si="73"/>
        <v>0</v>
      </c>
    </row>
    <row r="296" spans="3:20">
      <c r="C296" s="116" t="e">
        <f>INDEX(KB!C:D,MATCH(D296,KB!D:D,0),1)</f>
        <v>#N/A</v>
      </c>
      <c r="D296" s="116"/>
      <c r="E296" s="321" t="s">
        <v>57</v>
      </c>
      <c r="F296" s="116" t="e">
        <f t="shared" si="78"/>
        <v>#N/A</v>
      </c>
      <c r="G296" s="118" cm="1">
        <f t="array" ref="G296">IFERROR(INDEX(KB!$I$38:$AJ$50,MATCH(XL_DT_TD!E296,KB!$I$38:$I$50,0),MATCH(XL_DT_TD!D296,KB!$J$37:$AJ$37,0)+1),0)</f>
        <v>0</v>
      </c>
      <c r="H296" s="118" cm="1">
        <f t="array" ref="H296">IFERROR(INDEX(DATA_TĐ!$B$1:$AZ$19,MATCH(XL_DT_TD!E296,DATA_TĐ!B:B,0),MATCH(XL_DT_TD!C296,DATA_TĐ!$1:$1,0)-1),0)</f>
        <v>0</v>
      </c>
      <c r="I296" s="118">
        <f ca="1">H296/DAY(NOW()-1)*'Hieu Qua NV'!$J$1</f>
        <v>0</v>
      </c>
      <c r="J296" s="118">
        <f t="shared" si="79"/>
        <v>0</v>
      </c>
      <c r="K296" s="118">
        <f ca="1">J296/'Hieu Qua NV'!$J$2</f>
        <v>0</v>
      </c>
      <c r="L296" s="119" t="e">
        <f t="shared" ca="1" si="77"/>
        <v>#DIV/0!</v>
      </c>
      <c r="M296" s="118">
        <f ca="1">IFERROR(
INDEX(
KB!$I$55:$AJ$68,
MATCH(E296,KB!$I$55:$I$68,0),
MATCH(D296,KB!$I$55:$AJ$55,0)
),
0)</f>
        <v>0</v>
      </c>
      <c r="S296" s="669" cm="1">
        <f t="array" aca="1" ref="S296" ca="1">_xlfn.IFS(
CONFIG!$B$8="W1",H296-N296,
CONFIG!$B$8="W2",H296-O296,
CONFIG!$B$8="W3",H296-P296,
CONFIG!$B$8="W4",H296-Q296,
CONFIG!$B$8="W5",H296-R296
)</f>
        <v>0</v>
      </c>
      <c r="T296" s="652">
        <f t="shared" ca="1" si="73"/>
        <v>0</v>
      </c>
    </row>
    <row r="297" spans="3:20">
      <c r="C297" s="116" t="e">
        <f>INDEX(KB!C:D,MATCH(D297,KB!D:D,0),1)</f>
        <v>#N/A</v>
      </c>
      <c r="D297" s="116"/>
      <c r="E297" s="321" t="s">
        <v>60</v>
      </c>
      <c r="F297" s="116" t="e">
        <f t="shared" si="78"/>
        <v>#N/A</v>
      </c>
      <c r="G297" s="118" cm="1">
        <f t="array" ref="G297">IFERROR(INDEX(KB!$I$38:$AJ$50,MATCH(XL_DT_TD!E297,KB!$I$38:$I$50,0),MATCH(XL_DT_TD!D297,KB!$J$37:$AJ$37,0)+1),0)</f>
        <v>0</v>
      </c>
      <c r="H297" s="118" cm="1">
        <f t="array" ref="H297">IFERROR(INDEX(DATA_TĐ!$B$1:$AZ$19,MATCH(XL_DT_TD!E297,DATA_TĐ!B:B,0),MATCH(XL_DT_TD!C297,DATA_TĐ!$1:$1,0)-1),0)</f>
        <v>0</v>
      </c>
      <c r="I297" s="118">
        <f ca="1">H297/DAY(NOW()-1)*'Hieu Qua NV'!$J$1</f>
        <v>0</v>
      </c>
      <c r="J297" s="118">
        <f t="shared" si="79"/>
        <v>0</v>
      </c>
      <c r="K297" s="118">
        <f ca="1">J297/'Hieu Qua NV'!$J$2</f>
        <v>0</v>
      </c>
      <c r="L297" s="119" t="e">
        <f t="shared" ca="1" si="77"/>
        <v>#DIV/0!</v>
      </c>
      <c r="M297" s="118">
        <f ca="1">IFERROR(
INDEX(
KB!$I$55:$AJ$68,
MATCH(E297,KB!$I$55:$I$68,0),
MATCH(D297,KB!$I$55:$AJ$55,0)
),
0)</f>
        <v>0</v>
      </c>
      <c r="S297" s="669" cm="1">
        <f t="array" aca="1" ref="S297" ca="1">_xlfn.IFS(
CONFIG!$B$8="W1",H297-N297,
CONFIG!$B$8="W2",H297-O297,
CONFIG!$B$8="W3",H297-P297,
CONFIG!$B$8="W4",H297-Q297,
CONFIG!$B$8="W5",H297-R297
)</f>
        <v>0</v>
      </c>
      <c r="T297" s="652">
        <f t="shared" ca="1" si="73"/>
        <v>0</v>
      </c>
    </row>
    <row r="298" spans="3:20">
      <c r="C298" s="116" t="e">
        <f>INDEX(KB!C:D,MATCH(D298,KB!D:D,0),1)</f>
        <v>#N/A</v>
      </c>
      <c r="D298" s="116"/>
      <c r="E298" s="321" t="s">
        <v>15</v>
      </c>
      <c r="F298" s="116" t="e">
        <f t="shared" si="78"/>
        <v>#N/A</v>
      </c>
      <c r="G298" s="118" cm="1">
        <f t="array" ref="G298">IFERROR(INDEX(KB!$I$38:$AJ$50,MATCH(XL_DT_TD!E298,KB!$I$38:$I$50,0),MATCH(XL_DT_TD!D298,KB!$J$37:$AJ$37,0)+1),0)</f>
        <v>0</v>
      </c>
      <c r="H298" s="118" cm="1">
        <f t="array" ref="H298">IFERROR(INDEX(DATA_TĐ!$B$1:$AZ$19,MATCH(XL_DT_TD!E298,DATA_TĐ!B:B,0),MATCH(XL_DT_TD!C298,DATA_TĐ!$1:$1,0)-1),0)</f>
        <v>0</v>
      </c>
      <c r="I298" s="118">
        <f ca="1">H298/DAY(NOW()-1)*'Hieu Qua NV'!$J$1</f>
        <v>0</v>
      </c>
      <c r="J298" s="118">
        <f t="shared" si="79"/>
        <v>0</v>
      </c>
      <c r="K298" s="118">
        <f ca="1">J298/'Hieu Qua NV'!$J$2</f>
        <v>0</v>
      </c>
      <c r="L298" s="119" t="e">
        <f t="shared" ca="1" si="77"/>
        <v>#DIV/0!</v>
      </c>
      <c r="M298" s="118">
        <f ca="1">IFERROR(
INDEX(
KB!$I$55:$AJ$68,
MATCH(E298,KB!$I$55:$I$68,0),
MATCH(D298,KB!$I$55:$AJ$55,0)
),
0)</f>
        <v>0</v>
      </c>
      <c r="S298" s="669" cm="1">
        <f t="array" aca="1" ref="S298" ca="1">_xlfn.IFS(
CONFIG!$B$8="W1",H298-N298,
CONFIG!$B$8="W2",H298-O298,
CONFIG!$B$8="W3",H298-P298,
CONFIG!$B$8="W4",H298-Q298,
CONFIG!$B$8="W5",H298-R298
)</f>
        <v>0</v>
      </c>
      <c r="T298" s="652">
        <f t="shared" ca="1" si="73"/>
        <v>0</v>
      </c>
    </row>
    <row r="299" spans="3:20">
      <c r="C299" s="116" t="e">
        <f>INDEX(KB!C:D,MATCH(D299,KB!D:D,0),1)</f>
        <v>#N/A</v>
      </c>
      <c r="D299" s="116"/>
      <c r="E299" s="321" t="s">
        <v>151</v>
      </c>
      <c r="F299" s="116" t="e">
        <f t="shared" si="78"/>
        <v>#N/A</v>
      </c>
      <c r="G299" s="118" cm="1">
        <f t="array" ref="G299">IFERROR(INDEX(KB!$I$38:$AJ$50,MATCH(XL_DT_TD!E299,KB!$I$38:$I$50,0),MATCH(XL_DT_TD!D299,KB!$J$37:$AJ$37,0)+1),0)</f>
        <v>0</v>
      </c>
      <c r="H299" s="118" cm="1">
        <f t="array" ref="H299">IFERROR(INDEX(DATA_TĐ!$B$1:$AZ$19,MATCH(XL_DT_TD!E299,DATA_TĐ!B:B,0),MATCH(XL_DT_TD!C299,DATA_TĐ!$1:$1,0)-1),0)</f>
        <v>0</v>
      </c>
      <c r="I299" s="118">
        <f ca="1">H299/DAY(NOW()-1)*'Hieu Qua NV'!$J$1</f>
        <v>0</v>
      </c>
      <c r="J299" s="118">
        <f t="shared" si="79"/>
        <v>0</v>
      </c>
      <c r="K299" s="118">
        <f ca="1">J299/'Hieu Qua NV'!$J$2</f>
        <v>0</v>
      </c>
      <c r="L299" s="119" t="e">
        <f t="shared" ca="1" si="77"/>
        <v>#DIV/0!</v>
      </c>
      <c r="M299" s="118">
        <f ca="1">IFERROR(
INDEX(
KB!$I$55:$AJ$68,
MATCH(E299,KB!$I$55:$I$68,0),
MATCH(D299,KB!$I$55:$AJ$55,0)
),
0)</f>
        <v>0</v>
      </c>
      <c r="S299" s="669" cm="1">
        <f t="array" aca="1" ref="S299" ca="1">_xlfn.IFS(
CONFIG!$B$8="W1",H299-N299,
CONFIG!$B$8="W2",H299-O299,
CONFIG!$B$8="W3",H299-P299,
CONFIG!$B$8="W4",H299-Q299,
CONFIG!$B$8="W5",H299-R299
)</f>
        <v>0</v>
      </c>
      <c r="T299" s="652">
        <f t="shared" ca="1" si="73"/>
        <v>0</v>
      </c>
    </row>
    <row r="300" spans="3:20">
      <c r="C300" s="116" t="e">
        <f>INDEX(KB!C:D,MATCH(D300,KB!D:D,0),1)</f>
        <v>#N/A</v>
      </c>
      <c r="D300" s="116"/>
      <c r="E300" s="321" t="s">
        <v>293</v>
      </c>
      <c r="F300" s="116" t="e">
        <f t="shared" si="78"/>
        <v>#N/A</v>
      </c>
      <c r="G300" s="118" cm="1">
        <f t="array" ref="G300">IFERROR(INDEX(KB!$I$38:$AJ$50,MATCH(XL_DT_TD!E300,KB!$I$38:$I$50,0),MATCH(XL_DT_TD!D300,KB!$J$37:$AJ$37,0)+1),0)</f>
        <v>0</v>
      </c>
      <c r="H300" s="118" cm="1">
        <f t="array" ref="H300">IFERROR(INDEX(DATA_TĐ!$B$1:$AZ$19,MATCH(XL_DT_TD!E300,DATA_TĐ!B:B,0),MATCH(XL_DT_TD!C300,DATA_TĐ!$1:$1,0)-1),0)</f>
        <v>0</v>
      </c>
      <c r="I300" s="118">
        <f ca="1">H300/DAY(NOW()-1)*'Hieu Qua NV'!$J$1</f>
        <v>0</v>
      </c>
      <c r="J300" s="118">
        <f t="shared" si="79"/>
        <v>0</v>
      </c>
      <c r="K300" s="118">
        <f ca="1">J300/'Hieu Qua NV'!$J$2</f>
        <v>0</v>
      </c>
      <c r="L300" s="119" t="e">
        <f t="shared" ca="1" si="77"/>
        <v>#DIV/0!</v>
      </c>
      <c r="M300" s="118">
        <f ca="1">IFERROR(
INDEX(
KB!$I$55:$AJ$68,
MATCH(E300,KB!$I$55:$I$68,0),
MATCH(D300,KB!$I$55:$AJ$55,0)
),
0)</f>
        <v>0</v>
      </c>
      <c r="S300" s="669" cm="1">
        <f t="array" aca="1" ref="S300" ca="1">_xlfn.IFS(
CONFIG!$B$8="W1",H300-N300,
CONFIG!$B$8="W2",H300-O300,
CONFIG!$B$8="W3",H300-P300,
CONFIG!$B$8="W4",H300-Q300,
CONFIG!$B$8="W5",H300-R300
)</f>
        <v>0</v>
      </c>
      <c r="T300" s="652">
        <f t="shared" ca="1" si="73"/>
        <v>0</v>
      </c>
    </row>
    <row r="301" spans="3:20">
      <c r="C301" s="116" t="e">
        <f>INDEX(KB!C:D,MATCH(D301,KB!D:D,0),1)</f>
        <v>#N/A</v>
      </c>
      <c r="D301" s="116"/>
      <c r="E301" s="321" t="s">
        <v>433</v>
      </c>
      <c r="F301" s="116" t="e">
        <f t="shared" si="78"/>
        <v>#N/A</v>
      </c>
      <c r="G301" s="118" cm="1">
        <f t="array" ref="G301">IFERROR(INDEX(KB!$I$38:$AJ$50,MATCH(XL_DT_TD!E301,KB!$I$38:$I$50,0),MATCH(XL_DT_TD!D301,KB!$J$37:$AJ$37,0)+1),0)</f>
        <v>0</v>
      </c>
      <c r="H301" s="118" cm="1">
        <f t="array" ref="H301">IFERROR(INDEX(DATA_TĐ!$B$1:$AZ$19,MATCH(XL_DT_TD!E301,DATA_TĐ!B:B,0),MATCH(XL_DT_TD!C301,DATA_TĐ!$1:$1,0)-1),0)</f>
        <v>0</v>
      </c>
      <c r="I301" s="118">
        <f ca="1">H301/DAY(NOW()-1)*'Hieu Qua NV'!$J$1</f>
        <v>0</v>
      </c>
      <c r="J301" s="118">
        <f t="shared" si="79"/>
        <v>0</v>
      </c>
      <c r="K301" s="118">
        <f ca="1">J301/'Hieu Qua NV'!$J$2</f>
        <v>0</v>
      </c>
      <c r="L301" s="119" t="e">
        <f t="shared" ca="1" si="77"/>
        <v>#DIV/0!</v>
      </c>
      <c r="M301" s="118">
        <f ca="1">IFERROR(
INDEX(
KB!$I$55:$AJ$68,
MATCH(E301,KB!$I$55:$I$68,0),
MATCH(D301,KB!$I$55:$AJ$55,0)
),
0)</f>
        <v>0</v>
      </c>
      <c r="S301" s="669" cm="1">
        <f t="array" aca="1" ref="S301" ca="1">_xlfn.IFS(
CONFIG!$B$8="W1",H301-N301,
CONFIG!$B$8="W2",H301-O301,
CONFIG!$B$8="W3",H301-P301,
CONFIG!$B$8="W4",H301-Q301,
CONFIG!$B$8="W5",H301-R301
)</f>
        <v>0</v>
      </c>
      <c r="T301" s="652">
        <f t="shared" ca="1" si="73"/>
        <v>0</v>
      </c>
    </row>
    <row r="302" spans="3:20">
      <c r="C302" s="116" t="e">
        <f>INDEX(KB!C:D,MATCH(D302,KB!D:D,0),1)</f>
        <v>#N/A</v>
      </c>
      <c r="D302" s="116"/>
      <c r="E302" s="321" t="s">
        <v>56</v>
      </c>
      <c r="F302" s="116" t="e">
        <f t="shared" si="78"/>
        <v>#N/A</v>
      </c>
      <c r="G302" s="118" cm="1">
        <f t="array" ref="G302">IFERROR(INDEX(KB!$I$38:$AJ$50,MATCH(XL_DT_TD!E302,KB!$I$38:$I$50,0),MATCH(XL_DT_TD!D302,KB!$J$37:$AJ$37,0)+1),0)</f>
        <v>0</v>
      </c>
      <c r="H302" s="118" cm="1">
        <f t="array" ref="H302">IFERROR(INDEX(DATA_TĐ!$B$1:$AZ$19,MATCH(XL_DT_TD!E302,DATA_TĐ!B:B,0),MATCH(XL_DT_TD!C302,DATA_TĐ!$1:$1,0)-1),0)</f>
        <v>0</v>
      </c>
      <c r="I302" s="118">
        <f ca="1">H302/DAY(NOW()-1)*'Hieu Qua NV'!$J$1</f>
        <v>0</v>
      </c>
      <c r="J302" s="118">
        <f t="shared" si="79"/>
        <v>0</v>
      </c>
      <c r="K302" s="118">
        <f ca="1">J302/'Hieu Qua NV'!$J$2</f>
        <v>0</v>
      </c>
      <c r="L302" s="119" t="e">
        <f t="shared" ca="1" si="77"/>
        <v>#DIV/0!</v>
      </c>
      <c r="M302" s="118">
        <f ca="1">IFERROR(
INDEX(
KB!$I$55:$AJ$68,
MATCH(E302,KB!$I$55:$I$68,0),
MATCH(D302,KB!$I$55:$AJ$55,0)
),
0)</f>
        <v>0</v>
      </c>
      <c r="S302" s="669" cm="1">
        <f t="array" aca="1" ref="S302" ca="1">_xlfn.IFS(
CONFIG!$B$8="W1",H302-N302,
CONFIG!$B$8="W2",H302-O302,
CONFIG!$B$8="W3",H302-P302,
CONFIG!$B$8="W4",H302-Q302,
CONFIG!$B$8="W5",H302-R302
)</f>
        <v>0</v>
      </c>
      <c r="T302" s="652">
        <f t="shared" ca="1" si="73"/>
        <v>0</v>
      </c>
    </row>
    <row r="303" spans="3:20">
      <c r="C303" s="116" t="e">
        <f>INDEX(KB!C:D,MATCH(D303,KB!D:D,0),1)</f>
        <v>#N/A</v>
      </c>
      <c r="D303" s="116"/>
      <c r="E303" s="321" t="s">
        <v>530</v>
      </c>
      <c r="F303" s="116" t="e">
        <f t="shared" si="78"/>
        <v>#N/A</v>
      </c>
      <c r="G303" s="118" cm="1">
        <f t="array" ref="G303">IFERROR(INDEX(KB!$I$38:$AJ$50,MATCH(XL_DT_TD!E303,KB!$I$38:$I$50,0),MATCH(XL_DT_TD!D303,KB!$J$37:$AJ$37,0)+1),0)</f>
        <v>0</v>
      </c>
      <c r="H303" s="118" cm="1">
        <f t="array" ref="H303">IFERROR(INDEX(DATA_TĐ!$B$1:$AZ$19,MATCH(XL_DT_TD!E303,DATA_TĐ!B:B,0),MATCH(XL_DT_TD!C303,DATA_TĐ!$1:$1,0)-1),0)</f>
        <v>0</v>
      </c>
      <c r="I303" s="118">
        <f ca="1">H303/DAY(NOW()-1)*'Hieu Qua NV'!$J$1</f>
        <v>0</v>
      </c>
      <c r="J303" s="118">
        <f t="shared" si="79"/>
        <v>0</v>
      </c>
      <c r="K303" s="118">
        <f ca="1">J303/'Hieu Qua NV'!$J$2</f>
        <v>0</v>
      </c>
      <c r="L303" s="119" t="e">
        <f t="shared" ca="1" si="77"/>
        <v>#DIV/0!</v>
      </c>
      <c r="M303" s="118">
        <f ca="1">IFERROR(
INDEX(
KB!$I$55:$AJ$68,
MATCH(E303,KB!$I$55:$I$68,0),
MATCH(D303,KB!$I$55:$AJ$55,0)
),
0)</f>
        <v>0</v>
      </c>
      <c r="S303" s="669" cm="1">
        <f t="array" aca="1" ref="S303" ca="1">_xlfn.IFS(
CONFIG!$B$8="W1",H303-N303,
CONFIG!$B$8="W2",H303-O303,
CONFIG!$B$8="W3",H303-P303,
CONFIG!$B$8="W4",H303-Q303,
CONFIG!$B$8="W5",H303-R303
)</f>
        <v>0</v>
      </c>
      <c r="T303" s="652">
        <f t="shared" ca="1" si="73"/>
        <v>0</v>
      </c>
    </row>
    <row r="304" spans="3:20">
      <c r="C304" s="116" t="e">
        <f>INDEX(KB!C:D,MATCH(D304,KB!D:D,0),1)</f>
        <v>#N/A</v>
      </c>
      <c r="D304" s="116"/>
      <c r="E304" s="321" t="s">
        <v>560</v>
      </c>
      <c r="F304" s="116" t="e">
        <f t="shared" si="78"/>
        <v>#N/A</v>
      </c>
      <c r="G304" s="118" cm="1">
        <f t="array" ref="G304">IFERROR(INDEX(KB!$I$38:$AJ$50,MATCH(XL_DT_TD!E304,KB!$I$38:$I$50,0),MATCH(XL_DT_TD!D304,KB!$J$37:$AJ$37,0)+1),0)</f>
        <v>0</v>
      </c>
      <c r="H304" s="118" cm="1">
        <f t="array" ref="H304">IFERROR(INDEX(DATA_TĐ!$B$1:$AZ$19,MATCH(XL_DT_TD!E304,DATA_TĐ!B:B,0),MATCH(XL_DT_TD!C304,DATA_TĐ!$1:$1,0)-1),0)</f>
        <v>0</v>
      </c>
      <c r="I304" s="118">
        <f ca="1">H304/DAY(NOW()-1)*'Hieu Qua NV'!$J$1</f>
        <v>0</v>
      </c>
      <c r="J304" s="118">
        <f t="shared" si="79"/>
        <v>0</v>
      </c>
      <c r="K304" s="118">
        <f ca="1">J304/'Hieu Qua NV'!$J$2</f>
        <v>0</v>
      </c>
      <c r="L304" s="119" t="e">
        <f t="shared" ca="1" si="77"/>
        <v>#DIV/0!</v>
      </c>
      <c r="M304" s="118">
        <f ca="1">IFERROR(
INDEX(
KB!$I$55:$AJ$68,
MATCH(E304,KB!$I$55:$I$68,0),
MATCH(D304,KB!$I$55:$AJ$55,0)
),
0)</f>
        <v>0</v>
      </c>
      <c r="S304" s="669" cm="1">
        <f t="array" aca="1" ref="S304" ca="1">_xlfn.IFS(
CONFIG!$B$8="W1",H304-N304,
CONFIG!$B$8="W2",H304-O304,
CONFIG!$B$8="W3",H304-P304,
CONFIG!$B$8="W4",H304-Q304,
CONFIG!$B$8="W5",H304-R304
)</f>
        <v>0</v>
      </c>
      <c r="T304" s="652">
        <f t="shared" ca="1" si="73"/>
        <v>0</v>
      </c>
    </row>
    <row r="305" spans="3:20">
      <c r="C305" s="116" t="e">
        <f>INDEX(KB!C:D,MATCH(D305,KB!D:D,0),1)</f>
        <v>#N/A</v>
      </c>
      <c r="D305" s="116"/>
      <c r="E305" s="117" t="s">
        <v>281</v>
      </c>
      <c r="F305" s="116" t="e">
        <f t="shared" si="78"/>
        <v>#N/A</v>
      </c>
      <c r="G305" s="118" cm="1">
        <f t="array" ref="G305">IFERROR(INDEX(KB!$I$38:$AJ$50,MATCH(XL_DT_TD!E305,KB!$I$38:$I$50,0),MATCH(XL_DT_TD!D305,KB!$J$37:$AJ$37,0)+1),0)</f>
        <v>0</v>
      </c>
      <c r="H305" s="118" cm="1">
        <f t="array" ref="H305">IFERROR(
  INDEX(DATA_TĐ!$B$36:$Z$47,
    MATCH(TRUE, INDEX(TRIM(DATA_TĐ!$B$36:$B$45)=TRIM(E305),0),0),
    MATCH(TRUE, INDEX(TRIM(DATA_TĐ!$B$36:$Z$36)=TRIM(C305),0),0)
  ),
0)</f>
        <v>0</v>
      </c>
      <c r="I305" s="118">
        <f ca="1">H305/DAY(NOW()-1)*'Hieu Qua NV'!$J$1</f>
        <v>0</v>
      </c>
      <c r="J305" s="118">
        <f t="shared" si="79"/>
        <v>0</v>
      </c>
      <c r="K305" s="118">
        <f ca="1">J305/'Hieu Qua NV'!$J$2</f>
        <v>0</v>
      </c>
      <c r="L305" s="119" t="e">
        <f t="shared" ca="1" si="77"/>
        <v>#DIV/0!</v>
      </c>
      <c r="M305" s="118">
        <f ca="1">IFERROR(
INDEX(
KB!$I$55:$AJ$68,
MATCH(E305,KB!$I$55:$I$68,0),
MATCH(D305,KB!$I$55:$AJ$55,0)
),
0)</f>
        <v>0</v>
      </c>
      <c r="S305" s="669" cm="1">
        <f t="array" aca="1" ref="S305" ca="1">_xlfn.IFS(
CONFIG!$B$8="W1",H305-N305,
CONFIG!$B$8="W2",H305-O305,
CONFIG!$B$8="W3",H305-P305,
CONFIG!$B$8="W4",H305-Q305,
CONFIG!$B$8="W5",H305-R305
)</f>
        <v>0</v>
      </c>
      <c r="T305" s="652">
        <f t="shared" ca="1" si="73"/>
        <v>0</v>
      </c>
    </row>
    <row r="306" spans="3:20">
      <c r="C306" s="116" t="e">
        <f>INDEX(KB!C:D,MATCH(D306,KB!D:D,0),1)</f>
        <v>#N/A</v>
      </c>
      <c r="D306" s="116"/>
      <c r="E306" s="117" t="s">
        <v>282</v>
      </c>
      <c r="F306" s="116" t="e">
        <f t="shared" si="78"/>
        <v>#N/A</v>
      </c>
      <c r="G306" s="118" cm="1">
        <f t="array" ref="G306">IFERROR(INDEX(KB!$I$38:$AJ$50,MATCH(XL_DT_TD!E306,KB!$I$38:$I$50,0),MATCH(XL_DT_TD!D306,KB!$J$37:$AJ$37,0)+1),0)</f>
        <v>0</v>
      </c>
      <c r="H306" s="118" cm="1">
        <f t="array" ref="H306">IFERROR(
  INDEX(DATA_TĐ!$B$36:$Z$47,
    MATCH(TRUE, INDEX(TRIM(DATA_TĐ!$B$36:$B$45)=TRIM(E306),0),0),
    MATCH(TRUE, INDEX(TRIM(DATA_TĐ!$B$36:$Z$36)=TRIM(C306),0),0)
  ),
0)</f>
        <v>0</v>
      </c>
      <c r="I306" s="118">
        <f ca="1">H306/DAY(NOW()-1)*'Hieu Qua NV'!$J$1</f>
        <v>0</v>
      </c>
      <c r="J306" s="118">
        <f t="shared" si="79"/>
        <v>0</v>
      </c>
      <c r="K306" s="118">
        <f ca="1">J306/'Hieu Qua NV'!$J$2</f>
        <v>0</v>
      </c>
      <c r="L306" s="119" t="e">
        <f t="shared" ca="1" si="77"/>
        <v>#DIV/0!</v>
      </c>
      <c r="M306" s="118">
        <f ca="1">IFERROR(
INDEX(
KB!$I$55:$AJ$68,
MATCH(E306,KB!$I$55:$I$68,0),
MATCH(D306,KB!$I$55:$AJ$55,0)
),
0)</f>
        <v>0</v>
      </c>
      <c r="S306" s="669" cm="1">
        <f t="array" aca="1" ref="S306" ca="1">_xlfn.IFS(
CONFIG!$B$8="W1",H306-N306,
CONFIG!$B$8="W2",H306-O306,
CONFIG!$B$8="W3",H306-P306,
CONFIG!$B$8="W4",H306-Q306,
CONFIG!$B$8="W5",H306-R306
)</f>
        <v>0</v>
      </c>
      <c r="T306" s="652">
        <f t="shared" ca="1" si="73"/>
        <v>0</v>
      </c>
    </row>
    <row r="307" spans="3:20">
      <c r="C307" s="116" t="e">
        <f>INDEX(KB!C:D,MATCH(D307,KB!D:D,0),1)</f>
        <v>#N/A</v>
      </c>
      <c r="D307" s="116"/>
      <c r="E307" s="117" t="s">
        <v>283</v>
      </c>
      <c r="F307" s="116" t="e">
        <f t="shared" si="78"/>
        <v>#N/A</v>
      </c>
      <c r="G307" s="118" cm="1">
        <f t="array" ref="G307">IFERROR(INDEX(KB!$I$38:$AJ$50,MATCH(XL_DT_TD!E307,KB!$I$38:$I$50,0),MATCH(XL_DT_TD!D307,KB!$J$37:$AJ$37,0)+1),0)</f>
        <v>0</v>
      </c>
      <c r="H307" s="118" cm="1">
        <f t="array" ref="H307">IFERROR(
  INDEX(DATA_TĐ!$B$36:$Z$47,
    MATCH(TRUE, INDEX(TRIM(DATA_TĐ!$B$36:$B$45)=TRIM(E307),0),0),
    MATCH(TRUE, INDEX(TRIM(DATA_TĐ!$B$36:$Z$36)=TRIM(C307),0),0)
  ),
0)</f>
        <v>0</v>
      </c>
      <c r="I307" s="118">
        <f ca="1">H307/DAY(NOW()-1)*'Hieu Qua NV'!$J$1</f>
        <v>0</v>
      </c>
      <c r="J307" s="118">
        <f t="shared" si="79"/>
        <v>0</v>
      </c>
      <c r="K307" s="118">
        <f ca="1">J307/'Hieu Qua NV'!$J$2</f>
        <v>0</v>
      </c>
      <c r="L307" s="119" t="e">
        <f t="shared" ca="1" si="77"/>
        <v>#DIV/0!</v>
      </c>
      <c r="M307" s="118">
        <f ca="1">IFERROR(
INDEX(
KB!$I$55:$AJ$68,
MATCH(E307,KB!$I$55:$I$68,0),
MATCH(D307,KB!$I$55:$AJ$55,0)
),
0)</f>
        <v>0</v>
      </c>
      <c r="S307" s="669" cm="1">
        <f t="array" aca="1" ref="S307" ca="1">_xlfn.IFS(
CONFIG!$B$8="W1",H307-N307,
CONFIG!$B$8="W2",H307-O307,
CONFIG!$B$8="W3",H307-P307,
CONFIG!$B$8="W4",H307-Q307,
CONFIG!$B$8="W5",H307-R307
)</f>
        <v>0</v>
      </c>
      <c r="T307" s="652">
        <f t="shared" ca="1" si="73"/>
        <v>0</v>
      </c>
    </row>
    <row r="308" spans="3:20">
      <c r="C308" s="116" t="e">
        <f>INDEX(KB!C:D,MATCH(D308,KB!D:D,0),1)</f>
        <v>#N/A</v>
      </c>
      <c r="D308" s="116"/>
      <c r="E308" s="117" t="s">
        <v>284</v>
      </c>
      <c r="F308" s="116" t="e">
        <f t="shared" si="78"/>
        <v>#N/A</v>
      </c>
      <c r="G308" s="118" cm="1">
        <f t="array" ref="G308">IFERROR(INDEX(KB!$I$38:$AJ$50,MATCH(XL_DT_TD!E308,KB!$I$38:$I$50,0),MATCH(XL_DT_TD!D308,KB!$J$37:$AJ$37,0)+1),0)</f>
        <v>0</v>
      </c>
      <c r="H308" s="118" cm="1">
        <f t="array" ref="H308">IFERROR(
  INDEX(DATA_TĐ!$B$36:$Z$47,
    MATCH(TRUE, INDEX(TRIM(DATA_TĐ!$B$36:$B$45)=TRIM(E308),0),0),
    MATCH(TRUE, INDEX(TRIM(DATA_TĐ!$B$36:$Z$36)=TRIM(C308),0),0)
  ),
0)</f>
        <v>0</v>
      </c>
      <c r="I308" s="118">
        <f ca="1">H308/DAY(NOW()-1)*'Hieu Qua NV'!$J$1</f>
        <v>0</v>
      </c>
      <c r="J308" s="118">
        <f t="shared" si="79"/>
        <v>0</v>
      </c>
      <c r="K308" s="118">
        <f ca="1">J308/'Hieu Qua NV'!$J$2</f>
        <v>0</v>
      </c>
      <c r="L308" s="119" t="e">
        <f t="shared" ca="1" si="77"/>
        <v>#DIV/0!</v>
      </c>
      <c r="M308" s="118">
        <f ca="1">IFERROR(
INDEX(
KB!$I$55:$AJ$68,
MATCH(E308,KB!$I$55:$I$68,0),
MATCH(D308,KB!$I$55:$AJ$55,0)
),
0)</f>
        <v>0</v>
      </c>
      <c r="S308" s="669" cm="1">
        <f t="array" aca="1" ref="S308" ca="1">_xlfn.IFS(
CONFIG!$B$8="W1",H308-N308,
CONFIG!$B$8="W2",H308-O308,
CONFIG!$B$8="W3",H308-P308,
CONFIG!$B$8="W4",H308-Q308,
CONFIG!$B$8="W5",H308-R308
)</f>
        <v>0</v>
      </c>
      <c r="T308" s="652">
        <f t="shared" ca="1" si="73"/>
        <v>0</v>
      </c>
    </row>
    <row r="309" spans="3:20">
      <c r="C309" s="120" t="e">
        <f>INDEX(KB!C:D,MATCH(D309,KB!D:D,0),1)</f>
        <v>#N/A</v>
      </c>
      <c r="D309" s="120"/>
      <c r="E309" s="120" t="s">
        <v>20</v>
      </c>
      <c r="F309" s="121" t="e">
        <f t="shared" si="78"/>
        <v>#N/A</v>
      </c>
      <c r="G309" s="122">
        <f t="shared" ref="G309" si="86">SUM(G296:G307)</f>
        <v>0</v>
      </c>
      <c r="H309" s="122">
        <f t="shared" ref="H309:I309" si="87">SUM(H296:H307)</f>
        <v>0</v>
      </c>
      <c r="I309" s="122">
        <f t="shared" ca="1" si="87"/>
        <v>0</v>
      </c>
      <c r="J309" s="122">
        <f t="shared" si="79"/>
        <v>0</v>
      </c>
      <c r="K309" s="122">
        <f ca="1">J309/'Hieu Qua NV'!$J$2</f>
        <v>0</v>
      </c>
      <c r="L309" s="119" t="e">
        <f t="shared" ca="1" si="77"/>
        <v>#DIV/0!</v>
      </c>
      <c r="M309" s="122">
        <f t="shared" ref="M309" ca="1" si="88">SUM(M296:M307)</f>
        <v>0</v>
      </c>
      <c r="S309" s="669" cm="1">
        <f t="array" aca="1" ref="S309" ca="1">_xlfn.IFS(
CONFIG!$B$8="W1",H309-N309,
CONFIG!$B$8="W2",H309-O309,
CONFIG!$B$8="W3",H309-P309,
CONFIG!$B$8="W4",H309-Q309,
CONFIG!$B$8="W5",H309-R309
)</f>
        <v>0</v>
      </c>
      <c r="T309" s="652">
        <f t="shared" ca="1" si="73"/>
        <v>0</v>
      </c>
    </row>
    <row r="310" spans="3:20">
      <c r="C310" s="116" t="e">
        <f>INDEX(KB!C:D,MATCH(D310,KB!D:D,0),1)</f>
        <v>#N/A</v>
      </c>
      <c r="D310" s="116" t="s">
        <v>374</v>
      </c>
      <c r="E310" s="321" t="s">
        <v>57</v>
      </c>
      <c r="F310" s="116" t="e">
        <f t="shared" si="78"/>
        <v>#N/A</v>
      </c>
      <c r="G310" s="118" cm="1">
        <f t="array" ref="G310">IFERROR(INDEX(KB!$I$38:$AJ$50,MATCH(XL_DT_TD!E310,KB!$I$38:$I$50,0),MATCH(XL_DT_TD!D310,KB!$J$37:$AJ$37,0)+1),0)</f>
        <v>0</v>
      </c>
      <c r="H310" s="118" cm="1">
        <f t="array" ref="H310">IFERROR(INDEX(DATA_TĐ!$B$1:$AZ$19,MATCH(XL_DT_TD!E310,DATA_TĐ!B:B,0),MATCH(XL_DT_TD!C310,DATA_TĐ!$1:$1,0)-1),0)</f>
        <v>0</v>
      </c>
      <c r="I310" s="118">
        <f ca="1">H310/DAY(NOW()-1)*'Hieu Qua NV'!$J$1</f>
        <v>0</v>
      </c>
      <c r="J310" s="118">
        <f t="shared" si="79"/>
        <v>0</v>
      </c>
      <c r="K310" s="118">
        <f ca="1">J310/'Hieu Qua NV'!$J$2</f>
        <v>0</v>
      </c>
      <c r="L310" s="119" t="e">
        <f t="shared" ca="1" si="77"/>
        <v>#DIV/0!</v>
      </c>
      <c r="M310" s="118">
        <f ca="1">IFERROR(
INDEX(
KB!$I$55:$AJ$68,
MATCH(E310,KB!$I$55:$I$68,0),
MATCH(D310,KB!$I$55:$AJ$55,0)
),
0)</f>
        <v>0</v>
      </c>
      <c r="S310" s="669" cm="1">
        <f t="array" aca="1" ref="S310" ca="1">_xlfn.IFS(
CONFIG!$B$8="W1",H310-N310,
CONFIG!$B$8="W2",H310-O310,
CONFIG!$B$8="W3",H310-P310,
CONFIG!$B$8="W4",H310-Q310,
CONFIG!$B$8="W5",H310-R310
)</f>
        <v>0</v>
      </c>
      <c r="T310" s="652">
        <f t="shared" ca="1" si="73"/>
        <v>0</v>
      </c>
    </row>
    <row r="311" spans="3:20">
      <c r="C311" s="116" t="e">
        <f>INDEX(KB!C:D,MATCH(D311,KB!D:D,0),1)</f>
        <v>#N/A</v>
      </c>
      <c r="D311" s="116" t="s">
        <v>374</v>
      </c>
      <c r="E311" s="321" t="s">
        <v>60</v>
      </c>
      <c r="F311" s="116" t="e">
        <f t="shared" si="78"/>
        <v>#N/A</v>
      </c>
      <c r="G311" s="118" cm="1">
        <f t="array" ref="G311">IFERROR(INDEX(KB!$I$38:$AJ$50,MATCH(XL_DT_TD!E311,KB!$I$38:$I$50,0),MATCH(XL_DT_TD!D311,KB!$J$37:$AJ$37,0)+1),0)</f>
        <v>0</v>
      </c>
      <c r="H311" s="118" cm="1">
        <f t="array" ref="H311">IFERROR(INDEX(DATA_TĐ!$B$1:$AZ$19,MATCH(XL_DT_TD!E311,DATA_TĐ!B:B,0),MATCH(XL_DT_TD!C311,DATA_TĐ!$1:$1,0)-1),0)</f>
        <v>0</v>
      </c>
      <c r="I311" s="118">
        <f ca="1">H311/DAY(NOW()-1)*'Hieu Qua NV'!$J$1</f>
        <v>0</v>
      </c>
      <c r="J311" s="118">
        <f t="shared" si="79"/>
        <v>0</v>
      </c>
      <c r="K311" s="118">
        <f ca="1">J311/'Hieu Qua NV'!$J$2</f>
        <v>0</v>
      </c>
      <c r="L311" s="119" t="e">
        <f t="shared" ca="1" si="77"/>
        <v>#DIV/0!</v>
      </c>
      <c r="M311" s="118">
        <f ca="1">IFERROR(
INDEX(
KB!$I$55:$AJ$68,
MATCH(E311,KB!$I$55:$I$68,0),
MATCH(D311,KB!$I$55:$AJ$55,0)
),
0)</f>
        <v>0</v>
      </c>
      <c r="S311" s="669" cm="1">
        <f t="array" aca="1" ref="S311" ca="1">_xlfn.IFS(
CONFIG!$B$8="W1",H311-N311,
CONFIG!$B$8="W2",H311-O311,
CONFIG!$B$8="W3",H311-P311,
CONFIG!$B$8="W4",H311-Q311,
CONFIG!$B$8="W5",H311-R311
)</f>
        <v>0</v>
      </c>
      <c r="T311" s="652">
        <f t="shared" ca="1" si="73"/>
        <v>0</v>
      </c>
    </row>
    <row r="312" spans="3:20">
      <c r="C312" s="116" t="e">
        <f>INDEX(KB!C:D,MATCH(D312,KB!D:D,0),1)</f>
        <v>#N/A</v>
      </c>
      <c r="D312" s="116" t="s">
        <v>374</v>
      </c>
      <c r="E312" s="321" t="s">
        <v>15</v>
      </c>
      <c r="F312" s="116" t="e">
        <f t="shared" si="78"/>
        <v>#N/A</v>
      </c>
      <c r="G312" s="118" cm="1">
        <f t="array" ref="G312">IFERROR(INDEX(KB!$I$38:$AJ$50,MATCH(XL_DT_TD!E312,KB!$I$38:$I$50,0),MATCH(XL_DT_TD!D312,KB!$J$37:$AJ$37,0)+1),0)</f>
        <v>0</v>
      </c>
      <c r="H312" s="118" cm="1">
        <f t="array" ref="H312">IFERROR(INDEX(DATA_TĐ!$B$1:$AZ$19,MATCH(XL_DT_TD!E312,DATA_TĐ!B:B,0),MATCH(XL_DT_TD!C312,DATA_TĐ!$1:$1,0)-1),0)</f>
        <v>0</v>
      </c>
      <c r="I312" s="118">
        <f ca="1">H312/DAY(NOW()-1)*'Hieu Qua NV'!$J$1</f>
        <v>0</v>
      </c>
      <c r="J312" s="118">
        <f t="shared" si="79"/>
        <v>0</v>
      </c>
      <c r="K312" s="118">
        <f ca="1">J312/'Hieu Qua NV'!$J$2</f>
        <v>0</v>
      </c>
      <c r="L312" s="119" t="e">
        <f t="shared" ca="1" si="77"/>
        <v>#DIV/0!</v>
      </c>
      <c r="M312" s="118">
        <f ca="1">IFERROR(
INDEX(
KB!$I$55:$AJ$68,
MATCH(E312,KB!$I$55:$I$68,0),
MATCH(D312,KB!$I$55:$AJ$55,0)
),
0)</f>
        <v>0</v>
      </c>
      <c r="S312" s="669" cm="1">
        <f t="array" aca="1" ref="S312" ca="1">_xlfn.IFS(
CONFIG!$B$8="W1",H312-N312,
CONFIG!$B$8="W2",H312-O312,
CONFIG!$B$8="W3",H312-P312,
CONFIG!$B$8="W4",H312-Q312,
CONFIG!$B$8="W5",H312-R312
)</f>
        <v>0</v>
      </c>
      <c r="T312" s="652">
        <f t="shared" ca="1" si="73"/>
        <v>0</v>
      </c>
    </row>
    <row r="313" spans="3:20">
      <c r="C313" s="116" t="e">
        <f>INDEX(KB!C:D,MATCH(D313,KB!D:D,0),1)</f>
        <v>#N/A</v>
      </c>
      <c r="D313" s="116" t="s">
        <v>374</v>
      </c>
      <c r="E313" s="321" t="s">
        <v>151</v>
      </c>
      <c r="F313" s="116" t="e">
        <f t="shared" si="78"/>
        <v>#N/A</v>
      </c>
      <c r="G313" s="118" cm="1">
        <f t="array" ref="G313">IFERROR(INDEX(KB!$I$38:$AJ$50,MATCH(XL_DT_TD!E313,KB!$I$38:$I$50,0),MATCH(XL_DT_TD!D313,KB!$J$37:$AJ$37,0)+1),0)</f>
        <v>0</v>
      </c>
      <c r="H313" s="118" cm="1">
        <f t="array" ref="H313">IFERROR(INDEX(DATA_TĐ!$B$1:$AZ$19,MATCH(XL_DT_TD!E313,DATA_TĐ!B:B,0),MATCH(XL_DT_TD!C313,DATA_TĐ!$1:$1,0)-1),0)</f>
        <v>0</v>
      </c>
      <c r="I313" s="118">
        <f ca="1">H313/DAY(NOW()-1)*'Hieu Qua NV'!$J$1</f>
        <v>0</v>
      </c>
      <c r="J313" s="118">
        <f t="shared" si="79"/>
        <v>0</v>
      </c>
      <c r="K313" s="118">
        <f ca="1">J313/'Hieu Qua NV'!$J$2</f>
        <v>0</v>
      </c>
      <c r="L313" s="119" t="e">
        <f t="shared" ca="1" si="77"/>
        <v>#DIV/0!</v>
      </c>
      <c r="M313" s="118">
        <f ca="1">IFERROR(
INDEX(
KB!$I$55:$AJ$68,
MATCH(E313,KB!$I$55:$I$68,0),
MATCH(D313,KB!$I$55:$AJ$55,0)
),
0)</f>
        <v>0</v>
      </c>
      <c r="S313" s="669" cm="1">
        <f t="array" aca="1" ref="S313" ca="1">_xlfn.IFS(
CONFIG!$B$8="W1",H313-N313,
CONFIG!$B$8="W2",H313-O313,
CONFIG!$B$8="W3",H313-P313,
CONFIG!$B$8="W4",H313-Q313,
CONFIG!$B$8="W5",H313-R313
)</f>
        <v>0</v>
      </c>
      <c r="T313" s="652">
        <f t="shared" ca="1" si="73"/>
        <v>0</v>
      </c>
    </row>
    <row r="314" spans="3:20">
      <c r="C314" s="116" t="e">
        <f>INDEX(KB!C:D,MATCH(D314,KB!D:D,0),1)</f>
        <v>#N/A</v>
      </c>
      <c r="D314" s="116" t="s">
        <v>374</v>
      </c>
      <c r="E314" s="321" t="s">
        <v>293</v>
      </c>
      <c r="F314" s="116" t="e">
        <f t="shared" si="78"/>
        <v>#N/A</v>
      </c>
      <c r="G314" s="118" cm="1">
        <f t="array" ref="G314">IFERROR(INDEX(KB!$I$38:$AJ$50,MATCH(XL_DT_TD!E314,KB!$I$38:$I$50,0),MATCH(XL_DT_TD!D314,KB!$J$37:$AJ$37,0)+1),0)</f>
        <v>0</v>
      </c>
      <c r="H314" s="118" cm="1">
        <f t="array" ref="H314">IFERROR(INDEX(DATA_TĐ!$B$1:$AZ$19,MATCH(XL_DT_TD!E314,DATA_TĐ!B:B,0),MATCH(XL_DT_TD!C314,DATA_TĐ!$1:$1,0)-1),0)</f>
        <v>0</v>
      </c>
      <c r="I314" s="118">
        <f ca="1">H314/DAY(NOW()-1)*'Hieu Qua NV'!$J$1</f>
        <v>0</v>
      </c>
      <c r="J314" s="118">
        <f t="shared" si="79"/>
        <v>0</v>
      </c>
      <c r="K314" s="118">
        <f ca="1">J314/'Hieu Qua NV'!$J$2</f>
        <v>0</v>
      </c>
      <c r="L314" s="119" t="e">
        <f t="shared" ca="1" si="77"/>
        <v>#DIV/0!</v>
      </c>
      <c r="M314" s="118">
        <f ca="1">IFERROR(
INDEX(
KB!$I$55:$AJ$68,
MATCH(E314,KB!$I$55:$I$68,0),
MATCH(D314,KB!$I$55:$AJ$55,0)
),
0)</f>
        <v>0</v>
      </c>
      <c r="S314" s="669" cm="1">
        <f t="array" aca="1" ref="S314" ca="1">_xlfn.IFS(
CONFIG!$B$8="W1",H314-N314,
CONFIG!$B$8="W2",H314-O314,
CONFIG!$B$8="W3",H314-P314,
CONFIG!$B$8="W4",H314-Q314,
CONFIG!$B$8="W5",H314-R314
)</f>
        <v>0</v>
      </c>
      <c r="T314" s="652">
        <f t="shared" ca="1" si="73"/>
        <v>0</v>
      </c>
    </row>
    <row r="315" spans="3:20">
      <c r="C315" s="116" t="e">
        <f>INDEX(KB!C:D,MATCH(D315,KB!D:D,0),1)</f>
        <v>#N/A</v>
      </c>
      <c r="D315" s="116" t="s">
        <v>374</v>
      </c>
      <c r="E315" s="321" t="s">
        <v>433</v>
      </c>
      <c r="F315" s="116" t="e">
        <f t="shared" si="78"/>
        <v>#N/A</v>
      </c>
      <c r="G315" s="118" cm="1">
        <f t="array" ref="G315">IFERROR(INDEX(KB!$I$38:$AJ$50,MATCH(XL_DT_TD!E315,KB!$I$38:$I$50,0),MATCH(XL_DT_TD!D315,KB!$J$37:$AJ$37,0)+1),0)</f>
        <v>0</v>
      </c>
      <c r="H315" s="118" cm="1">
        <f t="array" ref="H315">IFERROR(INDEX(DATA_TĐ!$B$1:$AZ$19,MATCH(XL_DT_TD!E315,DATA_TĐ!B:B,0),MATCH(XL_DT_TD!C315,DATA_TĐ!$1:$1,0)-1),0)</f>
        <v>0</v>
      </c>
      <c r="I315" s="118">
        <f ca="1">H315/DAY(NOW()-1)*'Hieu Qua NV'!$J$1</f>
        <v>0</v>
      </c>
      <c r="J315" s="118">
        <f t="shared" si="79"/>
        <v>0</v>
      </c>
      <c r="K315" s="118">
        <f ca="1">J315/'Hieu Qua NV'!$J$2</f>
        <v>0</v>
      </c>
      <c r="L315" s="119" t="e">
        <f t="shared" ca="1" si="77"/>
        <v>#DIV/0!</v>
      </c>
      <c r="M315" s="118">
        <f ca="1">IFERROR(
INDEX(
KB!$I$55:$AJ$68,
MATCH(E315,KB!$I$55:$I$68,0),
MATCH(D315,KB!$I$55:$AJ$55,0)
),
0)</f>
        <v>0</v>
      </c>
      <c r="S315" s="669" cm="1">
        <f t="array" aca="1" ref="S315" ca="1">_xlfn.IFS(
CONFIG!$B$8="W1",H315-N315,
CONFIG!$B$8="W2",H315-O315,
CONFIG!$B$8="W3",H315-P315,
CONFIG!$B$8="W4",H315-Q315,
CONFIG!$B$8="W5",H315-R315
)</f>
        <v>0</v>
      </c>
      <c r="T315" s="652">
        <f t="shared" ca="1" si="73"/>
        <v>0</v>
      </c>
    </row>
    <row r="316" spans="3:20">
      <c r="C316" s="116" t="e">
        <f>INDEX(KB!C:D,MATCH(D316,KB!D:D,0),1)</f>
        <v>#N/A</v>
      </c>
      <c r="D316" s="116" t="s">
        <v>374</v>
      </c>
      <c r="E316" s="321" t="s">
        <v>56</v>
      </c>
      <c r="F316" s="116" t="e">
        <f t="shared" si="78"/>
        <v>#N/A</v>
      </c>
      <c r="G316" s="118" cm="1">
        <f t="array" ref="G316">IFERROR(INDEX(KB!$I$38:$AJ$50,MATCH(XL_DT_TD!E316,KB!$I$38:$I$50,0),MATCH(XL_DT_TD!D316,KB!$J$37:$AJ$37,0)+1),0)</f>
        <v>0</v>
      </c>
      <c r="H316" s="118" cm="1">
        <f t="array" ref="H316">IFERROR(INDEX(DATA_TĐ!$B$1:$AZ$19,MATCH(XL_DT_TD!E316,DATA_TĐ!B:B,0),MATCH(XL_DT_TD!C316,DATA_TĐ!$1:$1,0)-1),0)</f>
        <v>0</v>
      </c>
      <c r="I316" s="118">
        <f ca="1">H316/DAY(NOW()-1)*'Hieu Qua NV'!$J$1</f>
        <v>0</v>
      </c>
      <c r="J316" s="118">
        <f t="shared" si="79"/>
        <v>0</v>
      </c>
      <c r="K316" s="118">
        <f ca="1">J316/'Hieu Qua NV'!$J$2</f>
        <v>0</v>
      </c>
      <c r="L316" s="119" t="e">
        <f t="shared" ca="1" si="77"/>
        <v>#DIV/0!</v>
      </c>
      <c r="M316" s="118">
        <f ca="1">IFERROR(
INDEX(
KB!$I$55:$AJ$68,
MATCH(E316,KB!$I$55:$I$68,0),
MATCH(D316,KB!$I$55:$AJ$55,0)
),
0)</f>
        <v>0</v>
      </c>
      <c r="S316" s="669" cm="1">
        <f t="array" aca="1" ref="S316" ca="1">_xlfn.IFS(
CONFIG!$B$8="W1",H316-N316,
CONFIG!$B$8="W2",H316-O316,
CONFIG!$B$8="W3",H316-P316,
CONFIG!$B$8="W4",H316-Q316,
CONFIG!$B$8="W5",H316-R316
)</f>
        <v>0</v>
      </c>
      <c r="T316" s="652">
        <f t="shared" ca="1" si="73"/>
        <v>0</v>
      </c>
    </row>
    <row r="317" spans="3:20">
      <c r="C317" s="116" t="e">
        <f>INDEX(KB!C:D,MATCH(D317,KB!D:D,0),1)</f>
        <v>#N/A</v>
      </c>
      <c r="D317" s="116" t="s">
        <v>374</v>
      </c>
      <c r="E317" s="321" t="s">
        <v>530</v>
      </c>
      <c r="F317" s="116" t="e">
        <f t="shared" si="78"/>
        <v>#N/A</v>
      </c>
      <c r="G317" s="118" cm="1">
        <f t="array" ref="G317">IFERROR(INDEX(KB!$I$38:$AJ$50,MATCH(XL_DT_TD!E317,KB!$I$38:$I$50,0),MATCH(XL_DT_TD!D317,KB!$J$37:$AJ$37,0)+1),0)</f>
        <v>0</v>
      </c>
      <c r="H317" s="118" cm="1">
        <f t="array" ref="H317">IFERROR(INDEX(DATA_TĐ!$B$1:$AZ$19,MATCH(XL_DT_TD!E317,DATA_TĐ!B:B,0),MATCH(XL_DT_TD!C317,DATA_TĐ!$1:$1,0)-1),0)</f>
        <v>0</v>
      </c>
      <c r="I317" s="118">
        <f ca="1">H317/DAY(NOW()-1)*'Hieu Qua NV'!$J$1</f>
        <v>0</v>
      </c>
      <c r="J317" s="118">
        <f t="shared" si="79"/>
        <v>0</v>
      </c>
      <c r="K317" s="118">
        <f ca="1">J317/'Hieu Qua NV'!$J$2</f>
        <v>0</v>
      </c>
      <c r="L317" s="119" t="e">
        <f t="shared" ca="1" si="77"/>
        <v>#DIV/0!</v>
      </c>
      <c r="M317" s="118">
        <f ca="1">IFERROR(
INDEX(
KB!$I$55:$AJ$68,
MATCH(E317,KB!$I$55:$I$68,0),
MATCH(D317,KB!$I$55:$AJ$55,0)
),
0)</f>
        <v>0</v>
      </c>
      <c r="S317" s="669" cm="1">
        <f t="array" aca="1" ref="S317" ca="1">_xlfn.IFS(
CONFIG!$B$8="W1",H317-N317,
CONFIG!$B$8="W2",H317-O317,
CONFIG!$B$8="W3",H317-P317,
CONFIG!$B$8="W4",H317-Q317,
CONFIG!$B$8="W5",H317-R317
)</f>
        <v>0</v>
      </c>
      <c r="T317" s="652">
        <f t="shared" ca="1" si="73"/>
        <v>0</v>
      </c>
    </row>
    <row r="318" spans="3:20">
      <c r="C318" s="116" t="e">
        <f>INDEX(KB!C:D,MATCH(D318,KB!D:D,0),1)</f>
        <v>#N/A</v>
      </c>
      <c r="D318" s="116" t="s">
        <v>374</v>
      </c>
      <c r="E318" s="321" t="s">
        <v>560</v>
      </c>
      <c r="F318" s="116" t="e">
        <f t="shared" si="78"/>
        <v>#N/A</v>
      </c>
      <c r="G318" s="118" cm="1">
        <f t="array" ref="G318">IFERROR(INDEX(KB!$I$38:$AJ$50,MATCH(XL_DT_TD!E318,KB!$I$38:$I$50,0),MATCH(XL_DT_TD!D318,KB!$J$37:$AJ$37,0)+1),0)</f>
        <v>0</v>
      </c>
      <c r="H318" s="118" cm="1">
        <f t="array" ref="H318">IFERROR(INDEX(DATA_TĐ!$B$1:$AZ$19,MATCH(XL_DT_TD!E318,DATA_TĐ!B:B,0),MATCH(XL_DT_TD!C318,DATA_TĐ!$1:$1,0)-1),0)</f>
        <v>0</v>
      </c>
      <c r="I318" s="118">
        <f ca="1">H318/DAY(NOW()-1)*'Hieu Qua NV'!$J$1</f>
        <v>0</v>
      </c>
      <c r="J318" s="118">
        <f t="shared" si="79"/>
        <v>0</v>
      </c>
      <c r="K318" s="118">
        <f ca="1">J318/'Hieu Qua NV'!$J$2</f>
        <v>0</v>
      </c>
      <c r="L318" s="119" t="e">
        <f t="shared" ca="1" si="77"/>
        <v>#DIV/0!</v>
      </c>
      <c r="M318" s="118">
        <f ca="1">IFERROR(
INDEX(
KB!$I$55:$AJ$68,
MATCH(E318,KB!$I$55:$I$68,0),
MATCH(D318,KB!$I$55:$AJ$55,0)
),
0)</f>
        <v>0</v>
      </c>
      <c r="S318" s="669" cm="1">
        <f t="array" aca="1" ref="S318" ca="1">_xlfn.IFS(
CONFIG!$B$8="W1",H318-N318,
CONFIG!$B$8="W2",H318-O318,
CONFIG!$B$8="W3",H318-P318,
CONFIG!$B$8="W4",H318-Q318,
CONFIG!$B$8="W5",H318-R318
)</f>
        <v>0</v>
      </c>
      <c r="T318" s="652">
        <f t="shared" ca="1" si="73"/>
        <v>0</v>
      </c>
    </row>
    <row r="319" spans="3:20">
      <c r="C319" s="116" t="e">
        <f>INDEX(KB!C:D,MATCH(D319,KB!D:D,0),1)</f>
        <v>#N/A</v>
      </c>
      <c r="D319" s="116" t="s">
        <v>374</v>
      </c>
      <c r="E319" s="117" t="s">
        <v>281</v>
      </c>
      <c r="F319" s="116" t="e">
        <f t="shared" si="78"/>
        <v>#N/A</v>
      </c>
      <c r="G319" s="118" cm="1">
        <f t="array" ref="G319">IFERROR(INDEX(KB!$I$38:$AJ$50,MATCH(XL_DT_TD!E319,KB!$I$38:$I$50,0),MATCH(XL_DT_TD!D319,KB!$J$37:$AJ$37,0)+1),0)</f>
        <v>0</v>
      </c>
      <c r="H319" s="118" cm="1">
        <f t="array" ref="H319">IFERROR(
  INDEX(DATA_TĐ!$B$36:$Z$47,
    MATCH(TRUE, INDEX(TRIM(DATA_TĐ!$B$36:$B$45)=TRIM(E319),0),0),
    MATCH(TRUE, INDEX(TRIM(DATA_TĐ!$B$36:$Z$36)=TRIM(C319),0),0)
  ),
0)</f>
        <v>0</v>
      </c>
      <c r="I319" s="118">
        <f ca="1">H319/DAY(NOW()-1)*'Hieu Qua NV'!$J$1</f>
        <v>0</v>
      </c>
      <c r="J319" s="118">
        <f t="shared" si="79"/>
        <v>0</v>
      </c>
      <c r="K319" s="118">
        <f ca="1">J319/'Hieu Qua NV'!$J$2</f>
        <v>0</v>
      </c>
      <c r="L319" s="119" t="e">
        <f t="shared" ca="1" si="77"/>
        <v>#DIV/0!</v>
      </c>
      <c r="M319" s="118">
        <f ca="1">IFERROR(
INDEX(
KB!$I$55:$AJ$68,
MATCH(E319,KB!$I$55:$I$68,0),
MATCH(D319,KB!$I$55:$AJ$55,0)
),
0)</f>
        <v>0</v>
      </c>
      <c r="S319" s="669" cm="1">
        <f t="array" aca="1" ref="S319" ca="1">_xlfn.IFS(
CONFIG!$B$8="W1",H319-N319,
CONFIG!$B$8="W2",H319-O319,
CONFIG!$B$8="W3",H319-P319,
CONFIG!$B$8="W4",H319-Q319,
CONFIG!$B$8="W5",H319-R319
)</f>
        <v>0</v>
      </c>
      <c r="T319" s="652">
        <f t="shared" ca="1" si="73"/>
        <v>0</v>
      </c>
    </row>
    <row r="320" spans="3:20">
      <c r="C320" s="116" t="e">
        <f>INDEX(KB!C:D,MATCH(D320,KB!D:D,0),1)</f>
        <v>#N/A</v>
      </c>
      <c r="D320" s="116" t="s">
        <v>374</v>
      </c>
      <c r="E320" s="117" t="s">
        <v>282</v>
      </c>
      <c r="F320" s="116" t="e">
        <f t="shared" si="78"/>
        <v>#N/A</v>
      </c>
      <c r="G320" s="118" cm="1">
        <f t="array" ref="G320">IFERROR(INDEX(KB!$I$38:$AJ$50,MATCH(XL_DT_TD!E320,KB!$I$38:$I$50,0),MATCH(XL_DT_TD!D320,KB!$J$37:$AJ$37,0)+1),0)</f>
        <v>0</v>
      </c>
      <c r="H320" s="118" cm="1">
        <f t="array" ref="H320">IFERROR(
  INDEX(DATA_TĐ!$B$36:$Z$47,
    MATCH(TRUE, INDEX(TRIM(DATA_TĐ!$B$36:$B$45)=TRIM(E320),0),0),
    MATCH(TRUE, INDEX(TRIM(DATA_TĐ!$B$36:$Z$36)=TRIM(C320),0),0)
  ),
0)</f>
        <v>0</v>
      </c>
      <c r="I320" s="118">
        <f ca="1">H320/DAY(NOW()-1)*'Hieu Qua NV'!$J$1</f>
        <v>0</v>
      </c>
      <c r="J320" s="118">
        <f t="shared" si="79"/>
        <v>0</v>
      </c>
      <c r="K320" s="118">
        <f ca="1">J320/'Hieu Qua NV'!$J$2</f>
        <v>0</v>
      </c>
      <c r="L320" s="119" t="e">
        <f t="shared" ca="1" si="77"/>
        <v>#DIV/0!</v>
      </c>
      <c r="M320" s="118">
        <f ca="1">IFERROR(
INDEX(
KB!$I$55:$AJ$68,
MATCH(E320,KB!$I$55:$I$68,0),
MATCH(D320,KB!$I$55:$AJ$55,0)
),
0)</f>
        <v>0</v>
      </c>
      <c r="S320" s="669" cm="1">
        <f t="array" aca="1" ref="S320" ca="1">_xlfn.IFS(
CONFIG!$B$8="W1",H320-N320,
CONFIG!$B$8="W2",H320-O320,
CONFIG!$B$8="W3",H320-P320,
CONFIG!$B$8="W4",H320-Q320,
CONFIG!$B$8="W5",H320-R320
)</f>
        <v>0</v>
      </c>
      <c r="T320" s="652">
        <f t="shared" ca="1" si="73"/>
        <v>0</v>
      </c>
    </row>
    <row r="321" spans="3:20">
      <c r="C321" s="116" t="e">
        <f>INDEX(KB!C:D,MATCH(D321,KB!D:D,0),1)</f>
        <v>#N/A</v>
      </c>
      <c r="D321" s="116" t="s">
        <v>374</v>
      </c>
      <c r="E321" s="117" t="s">
        <v>283</v>
      </c>
      <c r="F321" s="116" t="e">
        <f t="shared" si="78"/>
        <v>#N/A</v>
      </c>
      <c r="G321" s="118" cm="1">
        <f t="array" ref="G321">IFERROR(INDEX(KB!$I$38:$AJ$50,MATCH(XL_DT_TD!E321,KB!$I$38:$I$50,0),MATCH(XL_DT_TD!D321,KB!$J$37:$AJ$37,0)+1),0)</f>
        <v>0</v>
      </c>
      <c r="H321" s="118" cm="1">
        <f t="array" ref="H321">IFERROR(
  INDEX(DATA_TĐ!$B$36:$Z$47,
    MATCH(TRUE, INDEX(TRIM(DATA_TĐ!$B$36:$B$45)=TRIM(E321),0),0),
    MATCH(TRUE, INDEX(TRIM(DATA_TĐ!$B$36:$Z$36)=TRIM(C321),0),0)
  ),
0)</f>
        <v>0</v>
      </c>
      <c r="I321" s="118">
        <f ca="1">H321/DAY(NOW()-1)*'Hieu Qua NV'!$J$1</f>
        <v>0</v>
      </c>
      <c r="J321" s="118">
        <f t="shared" si="79"/>
        <v>0</v>
      </c>
      <c r="K321" s="118">
        <f ca="1">J321/'Hieu Qua NV'!$J$2</f>
        <v>0</v>
      </c>
      <c r="L321" s="119" t="e">
        <f t="shared" ca="1" si="77"/>
        <v>#DIV/0!</v>
      </c>
      <c r="M321" s="118">
        <f ca="1">IFERROR(
INDEX(
KB!$I$55:$AJ$68,
MATCH(E321,KB!$I$55:$I$68,0),
MATCH(D321,KB!$I$55:$AJ$55,0)
),
0)</f>
        <v>0</v>
      </c>
      <c r="S321" s="669" cm="1">
        <f t="array" aca="1" ref="S321" ca="1">_xlfn.IFS(
CONFIG!$B$8="W1",H321-N321,
CONFIG!$B$8="W2",H321-O321,
CONFIG!$B$8="W3",H321-P321,
CONFIG!$B$8="W4",H321-Q321,
CONFIG!$B$8="W5",H321-R321
)</f>
        <v>0</v>
      </c>
      <c r="T321" s="652">
        <f t="shared" ca="1" si="73"/>
        <v>0</v>
      </c>
    </row>
    <row r="322" spans="3:20">
      <c r="C322" s="116" t="e">
        <f>INDEX(KB!C:D,MATCH(D322,KB!D:D,0),1)</f>
        <v>#N/A</v>
      </c>
      <c r="D322" s="116" t="s">
        <v>374</v>
      </c>
      <c r="E322" s="117" t="s">
        <v>284</v>
      </c>
      <c r="F322" s="116" t="e">
        <f t="shared" si="78"/>
        <v>#N/A</v>
      </c>
      <c r="G322" s="118" cm="1">
        <f t="array" ref="G322">IFERROR(INDEX(KB!$I$38:$AJ$50,MATCH(XL_DT_TD!E322,KB!$I$38:$I$50,0),MATCH(XL_DT_TD!D322,KB!$J$37:$AJ$37,0)+1),0)</f>
        <v>0</v>
      </c>
      <c r="H322" s="118" cm="1">
        <f t="array" ref="H322">IFERROR(
  INDEX(DATA_TĐ!$B$36:$Z$47,
    MATCH(TRUE, INDEX(TRIM(DATA_TĐ!$B$36:$B$45)=TRIM(E322),0),0),
    MATCH(TRUE, INDEX(TRIM(DATA_TĐ!$B$36:$Z$36)=TRIM(C322),0),0)
  ),
0)</f>
        <v>0</v>
      </c>
      <c r="I322" s="118">
        <f ca="1">H322/DAY(NOW()-1)*'Hieu Qua NV'!$J$1</f>
        <v>0</v>
      </c>
      <c r="J322" s="118">
        <f t="shared" si="79"/>
        <v>0</v>
      </c>
      <c r="K322" s="118">
        <f ca="1">J322/'Hieu Qua NV'!$J$2</f>
        <v>0</v>
      </c>
      <c r="L322" s="119" t="e">
        <f t="shared" ca="1" si="77"/>
        <v>#DIV/0!</v>
      </c>
      <c r="M322" s="118">
        <f ca="1">IFERROR(
INDEX(
KB!$I$55:$AJ$68,
MATCH(E322,KB!$I$55:$I$68,0),
MATCH(D322,KB!$I$55:$AJ$55,0)
),
0)</f>
        <v>0</v>
      </c>
      <c r="S322" s="669" cm="1">
        <f t="array" aca="1" ref="S322" ca="1">_xlfn.IFS(
CONFIG!$B$8="W1",H322-N322,
CONFIG!$B$8="W2",H322-O322,
CONFIG!$B$8="W3",H322-P322,
CONFIG!$B$8="W4",H322-Q322,
CONFIG!$B$8="W5",H322-R322
)</f>
        <v>0</v>
      </c>
      <c r="T322" s="652">
        <f t="shared" ca="1" si="73"/>
        <v>0</v>
      </c>
    </row>
    <row r="323" spans="3:20">
      <c r="C323" s="120" t="e">
        <f>INDEX(KB!C:D,MATCH(D323,KB!D:D,0),1)</f>
        <v>#N/A</v>
      </c>
      <c r="D323" s="120" t="s">
        <v>374</v>
      </c>
      <c r="E323" s="120" t="s">
        <v>20</v>
      </c>
      <c r="F323" s="121" t="e">
        <f t="shared" si="78"/>
        <v>#N/A</v>
      </c>
      <c r="G323" s="122">
        <f t="shared" ref="G323" si="89">SUM(G310:G321)</f>
        <v>0</v>
      </c>
      <c r="H323" s="122">
        <f t="shared" ref="H323:I323" si="90">SUM(H310:H321)</f>
        <v>0</v>
      </c>
      <c r="I323" s="122">
        <f t="shared" ca="1" si="90"/>
        <v>0</v>
      </c>
      <c r="J323" s="122">
        <f t="shared" si="79"/>
        <v>0</v>
      </c>
      <c r="K323" s="122">
        <f ca="1">J323/'Hieu Qua NV'!$J$2</f>
        <v>0</v>
      </c>
      <c r="L323" s="119" t="e">
        <f t="shared" ca="1" si="77"/>
        <v>#DIV/0!</v>
      </c>
      <c r="M323" s="122">
        <f t="shared" ref="M323" ca="1" si="91">SUM(M310:M321)</f>
        <v>0</v>
      </c>
      <c r="S323" s="669" cm="1">
        <f t="array" aca="1" ref="S323" ca="1">_xlfn.IFS(
CONFIG!$B$8="W1",H323-N323,
CONFIG!$B$8="W2",H323-O323,
CONFIG!$B$8="W3",H323-P323,
CONFIG!$B$8="W4",H323-Q323,
CONFIG!$B$8="W5",H323-R323
)</f>
        <v>0</v>
      </c>
      <c r="T323" s="652">
        <f t="shared" ref="T323:T386" ca="1" si="92">IF(M323=0,0,S323/M323)</f>
        <v>0</v>
      </c>
    </row>
    <row r="324" spans="3:20">
      <c r="C324" s="116" t="str">
        <f>INDEX(KB!C:D,MATCH(D324,KB!D:D,0),1)</f>
        <v>Bảo hiểm</v>
      </c>
      <c r="D324" s="116" t="s">
        <v>31</v>
      </c>
      <c r="E324" s="321" t="s">
        <v>57</v>
      </c>
      <c r="F324" s="116" t="str">
        <f t="shared" si="78"/>
        <v>Bảo hiểmNguyễn Thị Ngọc - 54026</v>
      </c>
      <c r="G324" s="118" cm="1">
        <f t="array" ref="G324">IFERROR(INDEX(KB!$I$38:$AJ$50,MATCH(XL_DT_TD!E324,KB!$I$38:$I$50,0),MATCH(XL_DT_TD!D324,KB!$J$37:$AJ$37,0)+1),0)</f>
        <v>4.2149999999999999</v>
      </c>
      <c r="H324" s="118" cm="1">
        <f t="array" ref="H324">IFERROR(INDEX(DATA_TĐ!$B$1:$AZ$19,MATCH(XL_DT_TD!E324,DATA_TĐ!B:B,0),MATCH(XL_DT_TD!C324,DATA_TĐ!$1:$1,0)-1),0)</f>
        <v>5.0199999999999996</v>
      </c>
      <c r="I324" s="118">
        <f ca="1">H324/DAY(NOW()-1)*'Hieu Qua NV'!$J$1</f>
        <v>25.099999999999998</v>
      </c>
      <c r="J324" s="118">
        <f t="shared" si="79"/>
        <v>-0.80499999999999972</v>
      </c>
      <c r="K324" s="118">
        <f ca="1">J324/'Hieu Qua NV'!$J$2</f>
        <v>-3.4999999999999989E-2</v>
      </c>
      <c r="L324" s="119">
        <f t="shared" ca="1" si="77"/>
        <v>5.9549228944246737</v>
      </c>
      <c r="M324" s="118">
        <f ca="1">IFERROR(
INDEX(
KB!$I$55:$AJ$68,
MATCH(E324,KB!$I$55:$I$68,0),
MATCH(D324,KB!$I$55:$AJ$55,0)
),
0)</f>
        <v>1</v>
      </c>
      <c r="S324" s="669" cm="1">
        <f t="array" aca="1" ref="S324" ca="1">_xlfn.IFS(
CONFIG!$B$8="W1",H324-N324,
CONFIG!$B$8="W2",H324-O324,
CONFIG!$B$8="W3",H324-P324,
CONFIG!$B$8="W4",H324-Q324,
CONFIG!$B$8="W5",H324-R324
)</f>
        <v>5.0199999999999996</v>
      </c>
      <c r="T324" s="652">
        <f t="shared" ca="1" si="92"/>
        <v>5.0199999999999996</v>
      </c>
    </row>
    <row r="325" spans="3:20">
      <c r="C325" s="116" t="str">
        <f>INDEX(KB!C:D,MATCH(D325,KB!D:D,0),1)</f>
        <v>Bảo hiểm</v>
      </c>
      <c r="D325" s="116" t="s">
        <v>31</v>
      </c>
      <c r="E325" s="321" t="s">
        <v>60</v>
      </c>
      <c r="F325" s="116" t="str">
        <f t="shared" si="78"/>
        <v>Bảo hiểmNguyễn Viết Sơn - 94065</v>
      </c>
      <c r="G325" s="118" cm="1">
        <f t="array" ref="G325">IFERROR(INDEX(KB!$I$38:$AJ$50,MATCH(XL_DT_TD!E325,KB!$I$38:$I$50,0),MATCH(XL_DT_TD!D325,KB!$J$37:$AJ$37,0)+1),0)</f>
        <v>4.2149999999999999</v>
      </c>
      <c r="H325" s="118" cm="1">
        <f t="array" ref="H325">IFERROR(INDEX(DATA_TĐ!$B$1:$AZ$19,MATCH(XL_DT_TD!E325,DATA_TĐ!B:B,0),MATCH(XL_DT_TD!C325,DATA_TĐ!$1:$1,0)-1),0)</f>
        <v>0</v>
      </c>
      <c r="I325" s="118">
        <f ca="1">H325/DAY(NOW()-1)*'Hieu Qua NV'!$J$1</f>
        <v>0</v>
      </c>
      <c r="J325" s="118">
        <f t="shared" si="79"/>
        <v>4.2149999999999999</v>
      </c>
      <c r="K325" s="118">
        <f ca="1">J325/'Hieu Qua NV'!$J$2</f>
        <v>0.18326086956521739</v>
      </c>
      <c r="L325" s="119">
        <f t="shared" ca="1" si="77"/>
        <v>0</v>
      </c>
      <c r="M325" s="118">
        <f ca="1">IFERROR(
INDEX(
KB!$I$55:$AJ$68,
MATCH(E325,KB!$I$55:$I$68,0),
MATCH(D325,KB!$I$55:$AJ$55,0)
),
0)</f>
        <v>1</v>
      </c>
      <c r="S325" s="669" cm="1">
        <f t="array" aca="1" ref="S325" ca="1">_xlfn.IFS(
CONFIG!$B$8="W1",H325-N325,
CONFIG!$B$8="W2",H325-O325,
CONFIG!$B$8="W3",H325-P325,
CONFIG!$B$8="W4",H325-Q325,
CONFIG!$B$8="W5",H325-R325
)</f>
        <v>0</v>
      </c>
      <c r="T325" s="652">
        <f t="shared" ca="1" si="92"/>
        <v>0</v>
      </c>
    </row>
    <row r="326" spans="3:20">
      <c r="C326" s="116" t="str">
        <f>INDEX(KB!C:D,MATCH(D326,KB!D:D,0),1)</f>
        <v>Bảo hiểm</v>
      </c>
      <c r="D326" s="116" t="s">
        <v>31</v>
      </c>
      <c r="E326" s="321" t="s">
        <v>15</v>
      </c>
      <c r="F326" s="116" t="str">
        <f t="shared" si="78"/>
        <v>Bảo hiểmNguyễn Trang Nhung - 25734</v>
      </c>
      <c r="G326" s="118" cm="1">
        <f t="array" ref="G326">IFERROR(INDEX(KB!$I$38:$AJ$50,MATCH(XL_DT_TD!E326,KB!$I$38:$I$50,0),MATCH(XL_DT_TD!D326,KB!$J$37:$AJ$37,0)+1),0)</f>
        <v>5.0579999999999998</v>
      </c>
      <c r="H326" s="118" cm="1">
        <f t="array" ref="H326">IFERROR(INDEX(DATA_TĐ!$B$1:$AZ$19,MATCH(XL_DT_TD!E326,DATA_TĐ!B:B,0),MATCH(XL_DT_TD!C326,DATA_TĐ!$1:$1,0)-1),0)</f>
        <v>0</v>
      </c>
      <c r="I326" s="118">
        <f ca="1">H326/DAY(NOW()-1)*'Hieu Qua NV'!$J$1</f>
        <v>0</v>
      </c>
      <c r="J326" s="118">
        <f t="shared" si="79"/>
        <v>5.0579999999999998</v>
      </c>
      <c r="K326" s="118">
        <f ca="1">J326/'Hieu Qua NV'!$J$2</f>
        <v>0.21991304347826085</v>
      </c>
      <c r="L326" s="119">
        <f t="shared" ca="1" si="77"/>
        <v>0</v>
      </c>
      <c r="M326" s="118">
        <f ca="1">IFERROR(
INDEX(
KB!$I$55:$AJ$68,
MATCH(E326,KB!$I$55:$I$68,0),
MATCH(D326,KB!$I$55:$AJ$55,0)
),
0)</f>
        <v>1</v>
      </c>
      <c r="S326" s="669" cm="1">
        <f t="array" aca="1" ref="S326" ca="1">_xlfn.IFS(
CONFIG!$B$8="W1",H326-N326,
CONFIG!$B$8="W2",H326-O326,
CONFIG!$B$8="W3",H326-P326,
CONFIG!$B$8="W4",H326-Q326,
CONFIG!$B$8="W5",H326-R326
)</f>
        <v>0</v>
      </c>
      <c r="T326" s="652">
        <f t="shared" ca="1" si="92"/>
        <v>0</v>
      </c>
    </row>
    <row r="327" spans="3:20">
      <c r="C327" s="116" t="str">
        <f>INDEX(KB!C:D,MATCH(D327,KB!D:D,0),1)</f>
        <v>Bảo hiểm</v>
      </c>
      <c r="D327" s="116" t="s">
        <v>31</v>
      </c>
      <c r="E327" s="321" t="s">
        <v>151</v>
      </c>
      <c r="F327" s="116" t="str">
        <f t="shared" si="78"/>
        <v>Bảo hiểmTrần Huy Hoàn - 270828</v>
      </c>
      <c r="G327" s="118" cm="1">
        <f t="array" ref="G327">IFERROR(INDEX(KB!$I$38:$AJ$50,MATCH(XL_DT_TD!E327,KB!$I$38:$I$50,0),MATCH(XL_DT_TD!D327,KB!$J$37:$AJ$37,0)+1),0)</f>
        <v>4.2149999999999999</v>
      </c>
      <c r="H327" s="118" cm="1">
        <f t="array" ref="H327">IFERROR(INDEX(DATA_TĐ!$B$1:$AZ$19,MATCH(XL_DT_TD!E327,DATA_TĐ!B:B,0),MATCH(XL_DT_TD!C327,DATA_TĐ!$1:$1,0)-1),0)</f>
        <v>0</v>
      </c>
      <c r="I327" s="118">
        <f ca="1">H327/DAY(NOW()-1)*'Hieu Qua NV'!$J$1</f>
        <v>0</v>
      </c>
      <c r="J327" s="118">
        <f t="shared" si="79"/>
        <v>4.2149999999999999</v>
      </c>
      <c r="K327" s="118">
        <f ca="1">J327/'Hieu Qua NV'!$J$2</f>
        <v>0.18326086956521739</v>
      </c>
      <c r="L327" s="119">
        <f t="shared" ca="1" si="77"/>
        <v>0</v>
      </c>
      <c r="M327" s="118">
        <f ca="1">IFERROR(
INDEX(
KB!$I$55:$AJ$68,
MATCH(E327,KB!$I$55:$I$68,0),
MATCH(D327,KB!$I$55:$AJ$55,0)
),
0)</f>
        <v>1</v>
      </c>
      <c r="S327" s="669" cm="1">
        <f t="array" aca="1" ref="S327" ca="1">_xlfn.IFS(
CONFIG!$B$8="W1",H327-N327,
CONFIG!$B$8="W2",H327-O327,
CONFIG!$B$8="W3",H327-P327,
CONFIG!$B$8="W4",H327-Q327,
CONFIG!$B$8="W5",H327-R327
)</f>
        <v>0</v>
      </c>
      <c r="T327" s="652">
        <f t="shared" ca="1" si="92"/>
        <v>0</v>
      </c>
    </row>
    <row r="328" spans="3:20">
      <c r="C328" s="116" t="str">
        <f>INDEX(KB!C:D,MATCH(D328,KB!D:D,0),1)</f>
        <v>Bảo hiểm</v>
      </c>
      <c r="D328" s="116" t="s">
        <v>31</v>
      </c>
      <c r="E328" s="321" t="s">
        <v>293</v>
      </c>
      <c r="F328" s="116" t="str">
        <f t="shared" si="78"/>
        <v>Bảo hiểmPhạm Văn Thanh - 279935</v>
      </c>
      <c r="G328" s="118" cm="1">
        <f t="array" ref="G328">IFERROR(INDEX(KB!$I$38:$AJ$50,MATCH(XL_DT_TD!E328,KB!$I$38:$I$50,0),MATCH(XL_DT_TD!D328,KB!$J$37:$AJ$37,0)+1),0)</f>
        <v>2.8100000000000005</v>
      </c>
      <c r="H328" s="118" cm="1">
        <f t="array" ref="H328">IFERROR(INDEX(DATA_TĐ!$B$1:$AZ$19,MATCH(XL_DT_TD!E328,DATA_TĐ!B:B,0),MATCH(XL_DT_TD!C328,DATA_TĐ!$1:$1,0)-1),0)</f>
        <v>0</v>
      </c>
      <c r="I328" s="118">
        <f ca="1">H328/DAY(NOW()-1)*'Hieu Qua NV'!$J$1</f>
        <v>0</v>
      </c>
      <c r="J328" s="118">
        <f t="shared" si="79"/>
        <v>2.8100000000000005</v>
      </c>
      <c r="K328" s="118">
        <f ca="1">J328/'Hieu Qua NV'!$J$2</f>
        <v>0.12217391304347829</v>
      </c>
      <c r="L328" s="119">
        <f t="shared" ca="1" si="77"/>
        <v>0</v>
      </c>
      <c r="M328" s="118">
        <f ca="1">IFERROR(
INDEX(
KB!$I$55:$AJ$68,
MATCH(E328,KB!$I$55:$I$68,0),
MATCH(D328,KB!$I$55:$AJ$55,0)
),
0)</f>
        <v>1</v>
      </c>
      <c r="S328" s="669" cm="1">
        <f t="array" aca="1" ref="S328" ca="1">_xlfn.IFS(
CONFIG!$B$8="W1",H328-N328,
CONFIG!$B$8="W2",H328-O328,
CONFIG!$B$8="W3",H328-P328,
CONFIG!$B$8="W4",H328-Q328,
CONFIG!$B$8="W5",H328-R328
)</f>
        <v>0</v>
      </c>
      <c r="T328" s="652">
        <f t="shared" ca="1" si="92"/>
        <v>0</v>
      </c>
    </row>
    <row r="329" spans="3:20">
      <c r="C329" s="116" t="str">
        <f>INDEX(KB!C:D,MATCH(D329,KB!D:D,0),1)</f>
        <v>Bảo hiểm</v>
      </c>
      <c r="D329" s="116" t="s">
        <v>31</v>
      </c>
      <c r="E329" s="321" t="s">
        <v>433</v>
      </c>
      <c r="F329" s="116" t="str">
        <f t="shared" si="78"/>
        <v>Bảo hiểmNguyễn Thành Đạt - 280855</v>
      </c>
      <c r="G329" s="118" cm="1">
        <f t="array" ref="G329">IFERROR(INDEX(KB!$I$38:$AJ$50,MATCH(XL_DT_TD!E329,KB!$I$38:$I$50,0),MATCH(XL_DT_TD!D329,KB!$J$37:$AJ$37,0)+1),0)</f>
        <v>2.8100000000000005</v>
      </c>
      <c r="H329" s="118" cm="1">
        <f t="array" ref="H329">IFERROR(INDEX(DATA_TĐ!$B$1:$AZ$19,MATCH(XL_DT_TD!E329,DATA_TĐ!B:B,0),MATCH(XL_DT_TD!C329,DATA_TĐ!$1:$1,0)-1),0)</f>
        <v>0</v>
      </c>
      <c r="I329" s="118">
        <f ca="1">H329/DAY(NOW()-1)*'Hieu Qua NV'!$J$1</f>
        <v>0</v>
      </c>
      <c r="J329" s="118">
        <f t="shared" si="79"/>
        <v>2.8100000000000005</v>
      </c>
      <c r="K329" s="118">
        <f ca="1">J329/'Hieu Qua NV'!$J$2</f>
        <v>0.12217391304347829</v>
      </c>
      <c r="L329" s="119">
        <f t="shared" ca="1" si="77"/>
        <v>0</v>
      </c>
      <c r="M329" s="118">
        <f ca="1">IFERROR(
INDEX(
KB!$I$55:$AJ$68,
MATCH(E329,KB!$I$55:$I$68,0),
MATCH(D329,KB!$I$55:$AJ$55,0)
),
0)</f>
        <v>1</v>
      </c>
      <c r="S329" s="669" cm="1">
        <f t="array" aca="1" ref="S329" ca="1">_xlfn.IFS(
CONFIG!$B$8="W1",H329-N329,
CONFIG!$B$8="W2",H329-O329,
CONFIG!$B$8="W3",H329-P329,
CONFIG!$B$8="W4",H329-Q329,
CONFIG!$B$8="W5",H329-R329
)</f>
        <v>0</v>
      </c>
      <c r="T329" s="652">
        <f t="shared" ca="1" si="92"/>
        <v>0</v>
      </c>
    </row>
    <row r="330" spans="3:20">
      <c r="C330" s="116" t="str">
        <f>INDEX(KB!C:D,MATCH(D330,KB!D:D,0),1)</f>
        <v>Bảo hiểm</v>
      </c>
      <c r="D330" s="116" t="s">
        <v>31</v>
      </c>
      <c r="E330" s="321" t="s">
        <v>56</v>
      </c>
      <c r="F330" s="116" t="str">
        <f t="shared" si="78"/>
        <v>Bảo hiểmĐỗ Văn Duân - 62025</v>
      </c>
      <c r="G330" s="118" cm="1">
        <f t="array" ref="G330">IFERROR(INDEX(KB!$I$38:$AJ$50,MATCH(XL_DT_TD!E330,KB!$I$38:$I$50,0),MATCH(XL_DT_TD!D330,KB!$J$37:$AJ$37,0)+1),0)</f>
        <v>5.0579999999999998</v>
      </c>
      <c r="H330" s="118" cm="1">
        <f t="array" ref="H330">IFERROR(INDEX(DATA_TĐ!$B$1:$AZ$19,MATCH(XL_DT_TD!E330,DATA_TĐ!B:B,0),MATCH(XL_DT_TD!C330,DATA_TĐ!$1:$1,0)-1),0)</f>
        <v>0</v>
      </c>
      <c r="I330" s="118">
        <f ca="1">H330/DAY(NOW()-1)*'Hieu Qua NV'!$J$1</f>
        <v>0</v>
      </c>
      <c r="J330" s="118">
        <f t="shared" si="79"/>
        <v>5.0579999999999998</v>
      </c>
      <c r="K330" s="118">
        <f ca="1">J330/'Hieu Qua NV'!$J$2</f>
        <v>0.21991304347826085</v>
      </c>
      <c r="L330" s="119">
        <f t="shared" ca="1" si="77"/>
        <v>0</v>
      </c>
      <c r="M330" s="118">
        <f ca="1">IFERROR(
INDEX(
KB!$I$55:$AJ$68,
MATCH(E330,KB!$I$55:$I$68,0),
MATCH(D330,KB!$I$55:$AJ$55,0)
),
0)</f>
        <v>1</v>
      </c>
      <c r="S330" s="669" cm="1">
        <f t="array" aca="1" ref="S330" ca="1">_xlfn.IFS(
CONFIG!$B$8="W1",H330-N330,
CONFIG!$B$8="W2",H330-O330,
CONFIG!$B$8="W3",H330-P330,
CONFIG!$B$8="W4",H330-Q330,
CONFIG!$B$8="W5",H330-R330
)</f>
        <v>0</v>
      </c>
      <c r="T330" s="652">
        <f t="shared" ca="1" si="92"/>
        <v>0</v>
      </c>
    </row>
    <row r="331" spans="3:20">
      <c r="C331" s="116" t="str">
        <f>INDEX(KB!C:D,MATCH(D331,KB!D:D,0),1)</f>
        <v>Bảo hiểm</v>
      </c>
      <c r="D331" s="116" t="s">
        <v>31</v>
      </c>
      <c r="E331" s="321" t="s">
        <v>530</v>
      </c>
      <c r="F331" s="116" t="str">
        <f t="shared" si="78"/>
        <v>Bảo hiểmNhân viên Mới 1</v>
      </c>
      <c r="G331" s="118" cm="1">
        <f t="array" ref="G331">IFERROR(INDEX(KB!$I$38:$AJ$50,MATCH(XL_DT_TD!E331,KB!$I$38:$I$50,0),MATCH(XL_DT_TD!D331,KB!$J$37:$AJ$37,0)+1),0)</f>
        <v>0</v>
      </c>
      <c r="H331" s="118" cm="1">
        <f t="array" ref="H331">IFERROR(INDEX(DATA_TĐ!$B$1:$AZ$19,MATCH(XL_DT_TD!E331,DATA_TĐ!B:B,0),MATCH(XL_DT_TD!C331,DATA_TĐ!$1:$1,0)-1),0)</f>
        <v>0</v>
      </c>
      <c r="I331" s="118">
        <f ca="1">H331/DAY(NOW()-1)*'Hieu Qua NV'!$J$1</f>
        <v>0</v>
      </c>
      <c r="J331" s="118">
        <f t="shared" si="79"/>
        <v>0</v>
      </c>
      <c r="K331" s="118">
        <f ca="1">J331/'Hieu Qua NV'!$J$2</f>
        <v>0</v>
      </c>
      <c r="L331" s="119" t="e">
        <f t="shared" ca="1" si="77"/>
        <v>#DIV/0!</v>
      </c>
      <c r="M331" s="118">
        <f ca="1">IFERROR(
INDEX(
KB!$I$55:$AJ$68,
MATCH(E331,KB!$I$55:$I$68,0),
MATCH(D331,KB!$I$55:$AJ$55,0)
),
0)</f>
        <v>0</v>
      </c>
      <c r="S331" s="669" cm="1">
        <f t="array" aca="1" ref="S331" ca="1">_xlfn.IFS(
CONFIG!$B$8="W1",H331-N331,
CONFIG!$B$8="W2",H331-O331,
CONFIG!$B$8="W3",H331-P331,
CONFIG!$B$8="W4",H331-Q331,
CONFIG!$B$8="W5",H331-R331
)</f>
        <v>0</v>
      </c>
      <c r="T331" s="652">
        <f t="shared" ca="1" si="92"/>
        <v>0</v>
      </c>
    </row>
    <row r="332" spans="3:20">
      <c r="C332" s="116" t="str">
        <f>INDEX(KB!C:D,MATCH(D332,KB!D:D,0),1)</f>
        <v>Bảo hiểm</v>
      </c>
      <c r="D332" s="116" t="s">
        <v>31</v>
      </c>
      <c r="E332" s="321" t="s">
        <v>560</v>
      </c>
      <c r="F332" s="116" t="str">
        <f t="shared" si="78"/>
        <v>Bảo hiểmNhân viên Mới 2</v>
      </c>
      <c r="G332" s="118" cm="1">
        <f t="array" ref="G332">IFERROR(INDEX(KB!$I$38:$AJ$50,MATCH(XL_DT_TD!E332,KB!$I$38:$I$50,0),MATCH(XL_DT_TD!D332,KB!$J$37:$AJ$37,0)+1),0)</f>
        <v>0</v>
      </c>
      <c r="H332" s="118" cm="1">
        <f t="array" ref="H332">IFERROR(INDEX(DATA_TĐ!$B$1:$AZ$19,MATCH(XL_DT_TD!E332,DATA_TĐ!B:B,0),MATCH(XL_DT_TD!C332,DATA_TĐ!$1:$1,0)-1),0)</f>
        <v>0</v>
      </c>
      <c r="I332" s="118">
        <f ca="1">H332/DAY(NOW()-1)*'Hieu Qua NV'!$J$1</f>
        <v>0</v>
      </c>
      <c r="J332" s="118">
        <f t="shared" si="79"/>
        <v>0</v>
      </c>
      <c r="K332" s="118">
        <f ca="1">J332/'Hieu Qua NV'!$J$2</f>
        <v>0</v>
      </c>
      <c r="L332" s="119" t="e">
        <f t="shared" ca="1" si="77"/>
        <v>#DIV/0!</v>
      </c>
      <c r="M332" s="118">
        <f ca="1">IFERROR(
INDEX(
KB!$I$55:$AJ$68,
MATCH(E332,KB!$I$55:$I$68,0),
MATCH(D332,KB!$I$55:$AJ$55,0)
),
0)</f>
        <v>0</v>
      </c>
      <c r="S332" s="669" cm="1">
        <f t="array" aca="1" ref="S332" ca="1">_xlfn.IFS(
CONFIG!$B$8="W1",H332-N332,
CONFIG!$B$8="W2",H332-O332,
CONFIG!$B$8="W3",H332-P332,
CONFIG!$B$8="W4",H332-Q332,
CONFIG!$B$8="W5",H332-R332
)</f>
        <v>0</v>
      </c>
      <c r="T332" s="652">
        <f t="shared" ca="1" si="92"/>
        <v>0</v>
      </c>
    </row>
    <row r="333" spans="3:20">
      <c r="C333" s="116" t="str">
        <f>INDEX(KB!C:D,MATCH(D333,KB!D:D,0),1)</f>
        <v>Bảo hiểm</v>
      </c>
      <c r="D333" s="116" t="s">
        <v>31</v>
      </c>
      <c r="E333" s="117" t="s">
        <v>281</v>
      </c>
      <c r="F333" s="116" t="str">
        <f t="shared" si="78"/>
        <v>Bảo hiểmTrần Thị Nhung - 11082</v>
      </c>
      <c r="G333" s="118" cm="1">
        <f t="array" ref="G333">IFERROR(INDEX(KB!$I$38:$AJ$50,MATCH(XL_DT_TD!E333,KB!$I$38:$I$50,0),MATCH(XL_DT_TD!D333,KB!$J$37:$AJ$37,0)+1),0)</f>
        <v>10.88</v>
      </c>
      <c r="H333" s="118" cm="1">
        <f t="array" ref="H333">IFERROR(
  INDEX(DATA_TĐ!$B$36:$Z$47,
    MATCH(TRUE, INDEX(TRIM(DATA_TĐ!$B$36:$B$45)=TRIM(E333),0),0),
    MATCH(TRUE, INDEX(TRIM(DATA_TĐ!$B$36:$Z$36)=TRIM(C333),0),0)
  ),
0)</f>
        <v>8.15</v>
      </c>
      <c r="I333" s="118">
        <f ca="1">H333/DAY(NOW()-1)*'Hieu Qua NV'!$J$1</f>
        <v>40.75</v>
      </c>
      <c r="J333" s="118">
        <f t="shared" si="79"/>
        <v>2.7300000000000004</v>
      </c>
      <c r="K333" s="118">
        <f ca="1">J333/'Hieu Qua NV'!$J$2</f>
        <v>0.11869565217391306</v>
      </c>
      <c r="L333" s="119">
        <f t="shared" ca="1" si="77"/>
        <v>3.7454044117647056</v>
      </c>
      <c r="M333" s="118">
        <f ca="1">IFERROR(
INDEX(
KB!$I$55:$AJ$68,
MATCH(E333,KB!$I$55:$I$68,0),
MATCH(D333,KB!$I$55:$AJ$55,0)
),
0)</f>
        <v>3</v>
      </c>
      <c r="S333" s="669" cm="1">
        <f t="array" aca="1" ref="S333" ca="1">_xlfn.IFS(
CONFIG!$B$8="W1",H333-N333,
CONFIG!$B$8="W2",H333-O333,
CONFIG!$B$8="W3",H333-P333,
CONFIG!$B$8="W4",H333-Q333,
CONFIG!$B$8="W5",H333-R333
)</f>
        <v>8.15</v>
      </c>
      <c r="T333" s="652">
        <f t="shared" ca="1" si="92"/>
        <v>2.7166666666666668</v>
      </c>
    </row>
    <row r="334" spans="3:20">
      <c r="C334" s="116" t="str">
        <f>INDEX(KB!C:D,MATCH(D334,KB!D:D,0),1)</f>
        <v>Bảo hiểm</v>
      </c>
      <c r="D334" s="116" t="s">
        <v>31</v>
      </c>
      <c r="E334" s="117" t="s">
        <v>282</v>
      </c>
      <c r="F334" s="116" t="str">
        <f t="shared" si="78"/>
        <v>Bảo hiểmNguyễn Thị Phương Oanh - 164808</v>
      </c>
      <c r="G334" s="118" cm="1">
        <f t="array" ref="G334">IFERROR(INDEX(KB!$I$38:$AJ$50,MATCH(XL_DT_TD!E334,KB!$I$38:$I$50,0),MATCH(XL_DT_TD!D334,KB!$J$37:$AJ$37,0)+1),0)</f>
        <v>10.88</v>
      </c>
      <c r="H334" s="118" cm="1">
        <f t="array" ref="H334">IFERROR(
  INDEX(DATA_TĐ!$B$36:$Z$47,
    MATCH(TRUE, INDEX(TRIM(DATA_TĐ!$B$36:$B$45)=TRIM(E334),0),0),
    MATCH(TRUE, INDEX(TRIM(DATA_TĐ!$B$36:$Z$36)=TRIM(C334),0),0)
  ),
0)</f>
        <v>1.71</v>
      </c>
      <c r="I334" s="118">
        <f ca="1">H334/DAY(NOW()-1)*'Hieu Qua NV'!$J$1</f>
        <v>8.5499999999999989</v>
      </c>
      <c r="J334" s="118">
        <f t="shared" si="79"/>
        <v>9.1700000000000017</v>
      </c>
      <c r="K334" s="118">
        <f ca="1">J334/'Hieu Qua NV'!$J$2</f>
        <v>0.39869565217391312</v>
      </c>
      <c r="L334" s="119">
        <f t="shared" ca="1" si="77"/>
        <v>0.78584558823529393</v>
      </c>
      <c r="M334" s="118">
        <f ca="1">IFERROR(
INDEX(
KB!$I$55:$AJ$68,
MATCH(E334,KB!$I$55:$I$68,0),
MATCH(D334,KB!$I$55:$AJ$55,0)
),
0)</f>
        <v>3</v>
      </c>
      <c r="S334" s="669" cm="1">
        <f t="array" aca="1" ref="S334" ca="1">_xlfn.IFS(
CONFIG!$B$8="W1",H334-N334,
CONFIG!$B$8="W2",H334-O334,
CONFIG!$B$8="W3",H334-P334,
CONFIG!$B$8="W4",H334-Q334,
CONFIG!$B$8="W5",H334-R334
)</f>
        <v>1.71</v>
      </c>
      <c r="T334" s="652">
        <f t="shared" ca="1" si="92"/>
        <v>0.56999999999999995</v>
      </c>
    </row>
    <row r="335" spans="3:20">
      <c r="C335" s="116" t="str">
        <f>INDEX(KB!C:D,MATCH(D335,KB!D:D,0),1)</f>
        <v>Bảo hiểm</v>
      </c>
      <c r="D335" s="116" t="s">
        <v>31</v>
      </c>
      <c r="E335" s="117" t="s">
        <v>283</v>
      </c>
      <c r="F335" s="116" t="str">
        <f t="shared" si="78"/>
        <v>Bảo hiểmNguyễn Anh Tài - 269055</v>
      </c>
      <c r="G335" s="118" cm="1">
        <f t="array" ref="G335">IFERROR(INDEX(KB!$I$38:$AJ$50,MATCH(XL_DT_TD!E335,KB!$I$38:$I$50,0),MATCH(XL_DT_TD!D335,KB!$J$37:$AJ$37,0)+1),0)</f>
        <v>10.88</v>
      </c>
      <c r="H335" s="118" cm="1">
        <f t="array" ref="H335">IFERROR(
  INDEX(DATA_TĐ!$B$36:$Z$47,
    MATCH(TRUE, INDEX(TRIM(DATA_TĐ!$B$36:$B$45)=TRIM(E335),0),0),
    MATCH(TRUE, INDEX(TRIM(DATA_TĐ!$B$36:$Z$36)=TRIM(C335),0),0)
  ),
0)</f>
        <v>0</v>
      </c>
      <c r="I335" s="118">
        <f ca="1">H335/DAY(NOW()-1)*'Hieu Qua NV'!$J$1</f>
        <v>0</v>
      </c>
      <c r="J335" s="118">
        <f t="shared" si="79"/>
        <v>10.88</v>
      </c>
      <c r="K335" s="118">
        <f ca="1">J335/'Hieu Qua NV'!$J$2</f>
        <v>0.47304347826086962</v>
      </c>
      <c r="L335" s="119">
        <f t="shared" ca="1" si="77"/>
        <v>0</v>
      </c>
      <c r="M335" s="118">
        <f ca="1">IFERROR(
INDEX(
KB!$I$55:$AJ$68,
MATCH(E335,KB!$I$55:$I$68,0),
MATCH(D335,KB!$I$55:$AJ$55,0)
),
0)</f>
        <v>3</v>
      </c>
      <c r="S335" s="669" cm="1">
        <f t="array" aca="1" ref="S335" ca="1">_xlfn.IFS(
CONFIG!$B$8="W1",H335-N335,
CONFIG!$B$8="W2",H335-O335,
CONFIG!$B$8="W3",H335-P335,
CONFIG!$B$8="W4",H335-Q335,
CONFIG!$B$8="W5",H335-R335
)</f>
        <v>0</v>
      </c>
      <c r="T335" s="652">
        <f t="shared" ca="1" si="92"/>
        <v>0</v>
      </c>
    </row>
    <row r="336" spans="3:20">
      <c r="C336" s="116" t="str">
        <f>INDEX(KB!C:D,MATCH(D336,KB!D:D,0),1)</f>
        <v>Bảo hiểm</v>
      </c>
      <c r="D336" s="116" t="s">
        <v>31</v>
      </c>
      <c r="E336" s="117" t="s">
        <v>284</v>
      </c>
      <c r="F336" s="116" t="str">
        <f t="shared" si="78"/>
        <v>Bảo hiểmLê Văn Hợp - 279884</v>
      </c>
      <c r="G336" s="118" cm="1">
        <f t="array" ref="G336">IFERROR(INDEX(KB!$I$38:$AJ$50,MATCH(XL_DT_TD!E336,KB!$I$38:$I$50,0),MATCH(XL_DT_TD!D336,KB!$J$37:$AJ$37,0)+1),0)</f>
        <v>10.88</v>
      </c>
      <c r="H336" s="118" cm="1">
        <f t="array" ref="H336">IFERROR(
  INDEX(DATA_TĐ!$B$36:$Z$47,
    MATCH(TRUE, INDEX(TRIM(DATA_TĐ!$B$36:$B$45)=TRIM(E336),0),0),
    MATCH(TRUE, INDEX(TRIM(DATA_TĐ!$B$36:$Z$36)=TRIM(C336),0),0)
  ),
0)</f>
        <v>0</v>
      </c>
      <c r="I336" s="118">
        <f ca="1">H336/DAY(NOW()-1)*'Hieu Qua NV'!$J$1</f>
        <v>0</v>
      </c>
      <c r="J336" s="118">
        <f t="shared" si="79"/>
        <v>10.88</v>
      </c>
      <c r="K336" s="118">
        <f ca="1">J336/'Hieu Qua NV'!$J$2</f>
        <v>0.47304347826086962</v>
      </c>
      <c r="L336" s="119">
        <f t="shared" ref="L336:L393" ca="1" si="93">I336/G336</f>
        <v>0</v>
      </c>
      <c r="M336" s="118">
        <f ca="1">IFERROR(
INDEX(
KB!$I$55:$AJ$68,
MATCH(E336,KB!$I$55:$I$68,0),
MATCH(D336,KB!$I$55:$AJ$55,0)
),
0)</f>
        <v>3</v>
      </c>
      <c r="S336" s="669" cm="1">
        <f t="array" aca="1" ref="S336" ca="1">_xlfn.IFS(
CONFIG!$B$8="W1",H336-N336,
CONFIG!$B$8="W2",H336-O336,
CONFIG!$B$8="W3",H336-P336,
CONFIG!$B$8="W4",H336-Q336,
CONFIG!$B$8="W5",H336-R336
)</f>
        <v>0</v>
      </c>
      <c r="T336" s="652">
        <f t="shared" ca="1" si="92"/>
        <v>0</v>
      </c>
    </row>
    <row r="337" spans="3:20">
      <c r="C337" s="120" t="str">
        <f>INDEX(KB!C:D,MATCH(D337,KB!D:D,0),1)</f>
        <v>Bảo hiểm</v>
      </c>
      <c r="D337" s="120" t="s">
        <v>31</v>
      </c>
      <c r="E337" s="120" t="s">
        <v>20</v>
      </c>
      <c r="F337" s="121" t="str">
        <f t="shared" ref="F337:F393" si="94">C337&amp;E337</f>
        <v>Bảo hiểmTổng</v>
      </c>
      <c r="G337" s="122">
        <f t="shared" ref="G337" si="95">SUM(G324:G335)</f>
        <v>61.021000000000008</v>
      </c>
      <c r="H337" s="122">
        <f t="shared" ref="H337:I337" si="96">SUM(H324:H335)</f>
        <v>14.879999999999999</v>
      </c>
      <c r="I337" s="122">
        <f t="shared" ca="1" si="96"/>
        <v>74.399999999999991</v>
      </c>
      <c r="J337" s="122">
        <f t="shared" ref="J337:J393" si="97">G337-H337</f>
        <v>46.141000000000005</v>
      </c>
      <c r="K337" s="122">
        <f ca="1">J337/'Hieu Qua NV'!$J$2</f>
        <v>2.0061304347826088</v>
      </c>
      <c r="L337" s="119">
        <f t="shared" ca="1" si="93"/>
        <v>1.2192523885219839</v>
      </c>
      <c r="M337" s="122">
        <f t="shared" ref="M337" ca="1" si="98">SUM(M324:M335)</f>
        <v>16</v>
      </c>
      <c r="S337" s="669" cm="1">
        <f t="array" aca="1" ref="S337" ca="1">_xlfn.IFS(
CONFIG!$B$8="W1",H337-N337,
CONFIG!$B$8="W2",H337-O337,
CONFIG!$B$8="W3",H337-P337,
CONFIG!$B$8="W4",H337-Q337,
CONFIG!$B$8="W5",H337-R337
)</f>
        <v>14.879999999999999</v>
      </c>
      <c r="T337" s="652">
        <f t="shared" ca="1" si="92"/>
        <v>0.92999999999999994</v>
      </c>
    </row>
    <row r="338" spans="3:20">
      <c r="C338" s="116" t="e">
        <f>INDEX(KB!C:D,MATCH(D338,KB!D:D,0),1)</f>
        <v>#N/A</v>
      </c>
      <c r="D338" s="116" t="s">
        <v>391</v>
      </c>
      <c r="E338" s="321" t="s">
        <v>57</v>
      </c>
      <c r="F338" s="116" t="e">
        <f t="shared" si="94"/>
        <v>#N/A</v>
      </c>
      <c r="G338" s="118" cm="1">
        <f t="array" ref="G338">IFERROR(INDEX(KB!$I$38:$AJ$50,MATCH(XL_DT_TD!E338,KB!$I$38:$I$50,0),MATCH(XL_DT_TD!D338,KB!$J$37:$AJ$37,0)+1),0)</f>
        <v>0</v>
      </c>
      <c r="H338" s="118" cm="1">
        <f t="array" ref="H338">IFERROR(INDEX(DATA_TĐ!$B$1:$AZ$19,MATCH(XL_DT_TD!E338,DATA_TĐ!B:B,0),MATCH(XL_DT_TD!C338,DATA_TĐ!$1:$1,0)-1),0)</f>
        <v>0</v>
      </c>
      <c r="I338" s="118">
        <f ca="1">H338/DAY(NOW()-1)*'Hieu Qua NV'!$J$1</f>
        <v>0</v>
      </c>
      <c r="J338" s="118">
        <f t="shared" si="97"/>
        <v>0</v>
      </c>
      <c r="K338" s="118">
        <f ca="1">J338/'Hieu Qua NV'!$J$2</f>
        <v>0</v>
      </c>
      <c r="L338" s="119" t="e">
        <f t="shared" ca="1" si="93"/>
        <v>#DIV/0!</v>
      </c>
      <c r="M338" s="118">
        <f ca="1">IFERROR(
INDEX(
KB!$I$55:$AJ$68,
MATCH(E338,KB!$I$55:$I$68,0),
MATCH(D338,KB!$I$55:$AJ$55,0)
),
0)</f>
        <v>0</v>
      </c>
      <c r="S338" s="669" cm="1">
        <f t="array" aca="1" ref="S338" ca="1">_xlfn.IFS(
CONFIG!$B$8="W1",H338-N338,
CONFIG!$B$8="W2",H338-O338,
CONFIG!$B$8="W3",H338-P338,
CONFIG!$B$8="W4",H338-Q338,
CONFIG!$B$8="W5",H338-R338
)</f>
        <v>0</v>
      </c>
      <c r="T338" s="652">
        <f t="shared" ca="1" si="92"/>
        <v>0</v>
      </c>
    </row>
    <row r="339" spans="3:20">
      <c r="C339" s="116" t="e">
        <f>INDEX(KB!C:D,MATCH(D339,KB!D:D,0),1)</f>
        <v>#N/A</v>
      </c>
      <c r="D339" s="116" t="s">
        <v>391</v>
      </c>
      <c r="E339" s="321" t="s">
        <v>60</v>
      </c>
      <c r="F339" s="116" t="e">
        <f t="shared" si="94"/>
        <v>#N/A</v>
      </c>
      <c r="G339" s="118" cm="1">
        <f t="array" ref="G339">IFERROR(INDEX(KB!$I$38:$AJ$50,MATCH(XL_DT_TD!E339,KB!$I$38:$I$50,0),MATCH(XL_DT_TD!D339,KB!$J$37:$AJ$37,0)+1),0)</f>
        <v>0</v>
      </c>
      <c r="H339" s="118" cm="1">
        <f t="array" ref="H339">IFERROR(INDEX(DATA_TĐ!$B$1:$AZ$19,MATCH(XL_DT_TD!E339,DATA_TĐ!B:B,0),MATCH(XL_DT_TD!C339,DATA_TĐ!$1:$1,0)-1),0)</f>
        <v>0</v>
      </c>
      <c r="I339" s="118">
        <f ca="1">H339/DAY(NOW()-1)*'Hieu Qua NV'!$J$1</f>
        <v>0</v>
      </c>
      <c r="J339" s="118">
        <f t="shared" si="97"/>
        <v>0</v>
      </c>
      <c r="K339" s="118">
        <f ca="1">J339/'Hieu Qua NV'!$J$2</f>
        <v>0</v>
      </c>
      <c r="L339" s="119" t="e">
        <f t="shared" ca="1" si="93"/>
        <v>#DIV/0!</v>
      </c>
      <c r="M339" s="118">
        <f ca="1">IFERROR(
INDEX(
KB!$I$55:$AJ$68,
MATCH(E339,KB!$I$55:$I$68,0),
MATCH(D339,KB!$I$55:$AJ$55,0)
),
0)</f>
        <v>0</v>
      </c>
      <c r="S339" s="669" cm="1">
        <f t="array" aca="1" ref="S339" ca="1">_xlfn.IFS(
CONFIG!$B$8="W1",H339-N339,
CONFIG!$B$8="W2",H339-O339,
CONFIG!$B$8="W3",H339-P339,
CONFIG!$B$8="W4",H339-Q339,
CONFIG!$B$8="W5",H339-R339
)</f>
        <v>0</v>
      </c>
      <c r="T339" s="652">
        <f t="shared" ca="1" si="92"/>
        <v>0</v>
      </c>
    </row>
    <row r="340" spans="3:20">
      <c r="C340" s="116" t="e">
        <f>INDEX(KB!C:D,MATCH(D340,KB!D:D,0),1)</f>
        <v>#N/A</v>
      </c>
      <c r="D340" s="116" t="s">
        <v>391</v>
      </c>
      <c r="E340" s="321" t="s">
        <v>15</v>
      </c>
      <c r="F340" s="116" t="e">
        <f t="shared" si="94"/>
        <v>#N/A</v>
      </c>
      <c r="G340" s="118" cm="1">
        <f t="array" ref="G340">IFERROR(INDEX(KB!$I$38:$AJ$50,MATCH(XL_DT_TD!E340,KB!$I$38:$I$50,0),MATCH(XL_DT_TD!D340,KB!$J$37:$AJ$37,0)+1),0)</f>
        <v>0</v>
      </c>
      <c r="H340" s="118" cm="1">
        <f t="array" ref="H340">IFERROR(INDEX(DATA_TĐ!$B$1:$AZ$19,MATCH(XL_DT_TD!E340,DATA_TĐ!B:B,0),MATCH(XL_DT_TD!C340,DATA_TĐ!$1:$1,0)-1),0)</f>
        <v>0</v>
      </c>
      <c r="I340" s="118">
        <f ca="1">H340/DAY(NOW()-1)*'Hieu Qua NV'!$J$1</f>
        <v>0</v>
      </c>
      <c r="J340" s="118">
        <f t="shared" si="97"/>
        <v>0</v>
      </c>
      <c r="K340" s="118">
        <f ca="1">J340/'Hieu Qua NV'!$J$2</f>
        <v>0</v>
      </c>
      <c r="L340" s="119" t="e">
        <f t="shared" ca="1" si="93"/>
        <v>#DIV/0!</v>
      </c>
      <c r="M340" s="118">
        <f ca="1">IFERROR(
INDEX(
KB!$I$55:$AJ$68,
MATCH(E340,KB!$I$55:$I$68,0),
MATCH(D340,KB!$I$55:$AJ$55,0)
),
0)</f>
        <v>0</v>
      </c>
      <c r="S340" s="669" cm="1">
        <f t="array" aca="1" ref="S340" ca="1">_xlfn.IFS(
CONFIG!$B$8="W1",H340-N340,
CONFIG!$B$8="W2",H340-O340,
CONFIG!$B$8="W3",H340-P340,
CONFIG!$B$8="W4",H340-Q340,
CONFIG!$B$8="W5",H340-R340
)</f>
        <v>0</v>
      </c>
      <c r="T340" s="652">
        <f t="shared" ca="1" si="92"/>
        <v>0</v>
      </c>
    </row>
    <row r="341" spans="3:20">
      <c r="C341" s="116" t="e">
        <f>INDEX(KB!C:D,MATCH(D341,KB!D:D,0),1)</f>
        <v>#N/A</v>
      </c>
      <c r="D341" s="116" t="s">
        <v>391</v>
      </c>
      <c r="E341" s="321" t="s">
        <v>151</v>
      </c>
      <c r="F341" s="116" t="e">
        <f t="shared" si="94"/>
        <v>#N/A</v>
      </c>
      <c r="G341" s="118" cm="1">
        <f t="array" ref="G341">IFERROR(INDEX(KB!$I$38:$AJ$50,MATCH(XL_DT_TD!E341,KB!$I$38:$I$50,0),MATCH(XL_DT_TD!D341,KB!$J$37:$AJ$37,0)+1),0)</f>
        <v>0</v>
      </c>
      <c r="H341" s="118" cm="1">
        <f t="array" ref="H341">IFERROR(INDEX(DATA_TĐ!$B$1:$AZ$19,MATCH(XL_DT_TD!E341,DATA_TĐ!B:B,0),MATCH(XL_DT_TD!C341,DATA_TĐ!$1:$1,0)-1),0)</f>
        <v>0</v>
      </c>
      <c r="I341" s="118">
        <f ca="1">H341/DAY(NOW()-1)*'Hieu Qua NV'!$J$1</f>
        <v>0</v>
      </c>
      <c r="J341" s="118">
        <f t="shared" si="97"/>
        <v>0</v>
      </c>
      <c r="K341" s="118">
        <f ca="1">J341/'Hieu Qua NV'!$J$2</f>
        <v>0</v>
      </c>
      <c r="L341" s="119" t="e">
        <f t="shared" ca="1" si="93"/>
        <v>#DIV/0!</v>
      </c>
      <c r="M341" s="118">
        <f ca="1">IFERROR(
INDEX(
KB!$I$55:$AJ$68,
MATCH(E341,KB!$I$55:$I$68,0),
MATCH(D341,KB!$I$55:$AJ$55,0)
),
0)</f>
        <v>0</v>
      </c>
      <c r="S341" s="669" cm="1">
        <f t="array" aca="1" ref="S341" ca="1">_xlfn.IFS(
CONFIG!$B$8="W1",H341-N341,
CONFIG!$B$8="W2",H341-O341,
CONFIG!$B$8="W3",H341-P341,
CONFIG!$B$8="W4",H341-Q341,
CONFIG!$B$8="W5",H341-R341
)</f>
        <v>0</v>
      </c>
      <c r="T341" s="652">
        <f t="shared" ca="1" si="92"/>
        <v>0</v>
      </c>
    </row>
    <row r="342" spans="3:20">
      <c r="C342" s="116" t="e">
        <f>INDEX(KB!C:D,MATCH(D342,KB!D:D,0),1)</f>
        <v>#N/A</v>
      </c>
      <c r="D342" s="116" t="s">
        <v>391</v>
      </c>
      <c r="E342" s="321" t="s">
        <v>293</v>
      </c>
      <c r="F342" s="116" t="e">
        <f t="shared" si="94"/>
        <v>#N/A</v>
      </c>
      <c r="G342" s="118" cm="1">
        <f t="array" ref="G342">IFERROR(INDEX(KB!$I$38:$AJ$50,MATCH(XL_DT_TD!E342,KB!$I$38:$I$50,0),MATCH(XL_DT_TD!D342,KB!$J$37:$AJ$37,0)+1),0)</f>
        <v>0</v>
      </c>
      <c r="H342" s="118" cm="1">
        <f t="array" ref="H342">IFERROR(INDEX(DATA_TĐ!$B$1:$AZ$19,MATCH(XL_DT_TD!E342,DATA_TĐ!B:B,0),MATCH(XL_DT_TD!C342,DATA_TĐ!$1:$1,0)-1),0)</f>
        <v>0</v>
      </c>
      <c r="I342" s="118">
        <f ca="1">H342/DAY(NOW()-1)*'Hieu Qua NV'!$J$1</f>
        <v>0</v>
      </c>
      <c r="J342" s="118">
        <f t="shared" si="97"/>
        <v>0</v>
      </c>
      <c r="K342" s="118">
        <f ca="1">J342/'Hieu Qua NV'!$J$2</f>
        <v>0</v>
      </c>
      <c r="L342" s="119" t="e">
        <f t="shared" ca="1" si="93"/>
        <v>#DIV/0!</v>
      </c>
      <c r="M342" s="118">
        <f ca="1">IFERROR(
INDEX(
KB!$I$55:$AJ$68,
MATCH(E342,KB!$I$55:$I$68,0),
MATCH(D342,KB!$I$55:$AJ$55,0)
),
0)</f>
        <v>0</v>
      </c>
      <c r="S342" s="669" cm="1">
        <f t="array" aca="1" ref="S342" ca="1">_xlfn.IFS(
CONFIG!$B$8="W1",H342-N342,
CONFIG!$B$8="W2",H342-O342,
CONFIG!$B$8="W3",H342-P342,
CONFIG!$B$8="W4",H342-Q342,
CONFIG!$B$8="W5",H342-R342
)</f>
        <v>0</v>
      </c>
      <c r="T342" s="652">
        <f t="shared" ca="1" si="92"/>
        <v>0</v>
      </c>
    </row>
    <row r="343" spans="3:20">
      <c r="C343" s="116" t="e">
        <f>INDEX(KB!C:D,MATCH(D343,KB!D:D,0),1)</f>
        <v>#N/A</v>
      </c>
      <c r="D343" s="116" t="s">
        <v>391</v>
      </c>
      <c r="E343" s="321" t="s">
        <v>433</v>
      </c>
      <c r="F343" s="116" t="e">
        <f t="shared" si="94"/>
        <v>#N/A</v>
      </c>
      <c r="G343" s="118" cm="1">
        <f t="array" ref="G343">IFERROR(INDEX(KB!$I$38:$AJ$50,MATCH(XL_DT_TD!E343,KB!$I$38:$I$50,0),MATCH(XL_DT_TD!D343,KB!$J$37:$AJ$37,0)+1),0)</f>
        <v>0</v>
      </c>
      <c r="H343" s="118" cm="1">
        <f t="array" ref="H343">IFERROR(INDEX(DATA_TĐ!$B$1:$AZ$19,MATCH(XL_DT_TD!E343,DATA_TĐ!B:B,0),MATCH(XL_DT_TD!C343,DATA_TĐ!$1:$1,0)-1),0)</f>
        <v>0</v>
      </c>
      <c r="I343" s="118">
        <f ca="1">H343/DAY(NOW()-1)*'Hieu Qua NV'!$J$1</f>
        <v>0</v>
      </c>
      <c r="J343" s="118">
        <f t="shared" si="97"/>
        <v>0</v>
      </c>
      <c r="K343" s="118">
        <f ca="1">J343/'Hieu Qua NV'!$J$2</f>
        <v>0</v>
      </c>
      <c r="L343" s="119" t="e">
        <f t="shared" ca="1" si="93"/>
        <v>#DIV/0!</v>
      </c>
      <c r="M343" s="118">
        <f ca="1">IFERROR(
INDEX(
KB!$I$55:$AJ$68,
MATCH(E343,KB!$I$55:$I$68,0),
MATCH(D343,KB!$I$55:$AJ$55,0)
),
0)</f>
        <v>0</v>
      </c>
      <c r="S343" s="669" cm="1">
        <f t="array" aca="1" ref="S343" ca="1">_xlfn.IFS(
CONFIG!$B$8="W1",H343-N343,
CONFIG!$B$8="W2",H343-O343,
CONFIG!$B$8="W3",H343-P343,
CONFIG!$B$8="W4",H343-Q343,
CONFIG!$B$8="W5",H343-R343
)</f>
        <v>0</v>
      </c>
      <c r="T343" s="652">
        <f t="shared" ca="1" si="92"/>
        <v>0</v>
      </c>
    </row>
    <row r="344" spans="3:20">
      <c r="C344" s="116" t="e">
        <f>INDEX(KB!C:D,MATCH(D344,KB!D:D,0),1)</f>
        <v>#N/A</v>
      </c>
      <c r="D344" s="116" t="s">
        <v>391</v>
      </c>
      <c r="E344" s="321" t="s">
        <v>56</v>
      </c>
      <c r="F344" s="116" t="e">
        <f t="shared" si="94"/>
        <v>#N/A</v>
      </c>
      <c r="G344" s="118" cm="1">
        <f t="array" ref="G344">IFERROR(INDEX(KB!$I$38:$AJ$50,MATCH(XL_DT_TD!E344,KB!$I$38:$I$50,0),MATCH(XL_DT_TD!D344,KB!$J$37:$AJ$37,0)+1),0)</f>
        <v>0</v>
      </c>
      <c r="H344" s="118" cm="1">
        <f t="array" ref="H344">IFERROR(INDEX(DATA_TĐ!$B$1:$AZ$19,MATCH(XL_DT_TD!E344,DATA_TĐ!B:B,0),MATCH(XL_DT_TD!C344,DATA_TĐ!$1:$1,0)-1),0)</f>
        <v>0</v>
      </c>
      <c r="I344" s="118">
        <f ca="1">H344/DAY(NOW()-1)*'Hieu Qua NV'!$J$1</f>
        <v>0</v>
      </c>
      <c r="J344" s="118">
        <f t="shared" si="97"/>
        <v>0</v>
      </c>
      <c r="K344" s="118">
        <f ca="1">J344/'Hieu Qua NV'!$J$2</f>
        <v>0</v>
      </c>
      <c r="L344" s="119" t="e">
        <f t="shared" ca="1" si="93"/>
        <v>#DIV/0!</v>
      </c>
      <c r="M344" s="118">
        <f ca="1">IFERROR(
INDEX(
KB!$I$55:$AJ$68,
MATCH(E344,KB!$I$55:$I$68,0),
MATCH(D344,KB!$I$55:$AJ$55,0)
),
0)</f>
        <v>0</v>
      </c>
      <c r="S344" s="669" cm="1">
        <f t="array" aca="1" ref="S344" ca="1">_xlfn.IFS(
CONFIG!$B$8="W1",H344-N344,
CONFIG!$B$8="W2",H344-O344,
CONFIG!$B$8="W3",H344-P344,
CONFIG!$B$8="W4",H344-Q344,
CONFIG!$B$8="W5",H344-R344
)</f>
        <v>0</v>
      </c>
      <c r="T344" s="652">
        <f t="shared" ca="1" si="92"/>
        <v>0</v>
      </c>
    </row>
    <row r="345" spans="3:20">
      <c r="C345" s="116" t="e">
        <f>INDEX(KB!C:D,MATCH(D345,KB!D:D,0),1)</f>
        <v>#N/A</v>
      </c>
      <c r="D345" s="116" t="s">
        <v>391</v>
      </c>
      <c r="E345" s="321" t="s">
        <v>530</v>
      </c>
      <c r="F345" s="116" t="e">
        <f t="shared" si="94"/>
        <v>#N/A</v>
      </c>
      <c r="G345" s="118" cm="1">
        <f t="array" ref="G345">IFERROR(INDEX(KB!$I$38:$AJ$50,MATCH(XL_DT_TD!E345,KB!$I$38:$I$50,0),MATCH(XL_DT_TD!D345,KB!$J$37:$AJ$37,0)+1),0)</f>
        <v>0</v>
      </c>
      <c r="H345" s="118" cm="1">
        <f t="array" ref="H345">IFERROR(INDEX(DATA_TĐ!$B$1:$AZ$19,MATCH(XL_DT_TD!E345,DATA_TĐ!B:B,0),MATCH(XL_DT_TD!C345,DATA_TĐ!$1:$1,0)-1),0)</f>
        <v>0</v>
      </c>
      <c r="I345" s="118">
        <f ca="1">H345/DAY(NOW()-1)*'Hieu Qua NV'!$J$1</f>
        <v>0</v>
      </c>
      <c r="J345" s="118">
        <f t="shared" si="97"/>
        <v>0</v>
      </c>
      <c r="K345" s="118">
        <f ca="1">J345/'Hieu Qua NV'!$J$2</f>
        <v>0</v>
      </c>
      <c r="L345" s="119" t="e">
        <f t="shared" ca="1" si="93"/>
        <v>#DIV/0!</v>
      </c>
      <c r="M345" s="118">
        <f ca="1">IFERROR(
INDEX(
KB!$I$55:$AJ$68,
MATCH(E345,KB!$I$55:$I$68,0),
MATCH(D345,KB!$I$55:$AJ$55,0)
),
0)</f>
        <v>0</v>
      </c>
      <c r="S345" s="669" cm="1">
        <f t="array" aca="1" ref="S345" ca="1">_xlfn.IFS(
CONFIG!$B$8="W1",H345-N345,
CONFIG!$B$8="W2",H345-O345,
CONFIG!$B$8="W3",H345-P345,
CONFIG!$B$8="W4",H345-Q345,
CONFIG!$B$8="W5",H345-R345
)</f>
        <v>0</v>
      </c>
      <c r="T345" s="652">
        <f t="shared" ca="1" si="92"/>
        <v>0</v>
      </c>
    </row>
    <row r="346" spans="3:20">
      <c r="C346" s="116" t="e">
        <f>INDEX(KB!C:D,MATCH(D346,KB!D:D,0),1)</f>
        <v>#N/A</v>
      </c>
      <c r="D346" s="116" t="s">
        <v>391</v>
      </c>
      <c r="E346" s="321" t="s">
        <v>560</v>
      </c>
      <c r="F346" s="116" t="e">
        <f t="shared" si="94"/>
        <v>#N/A</v>
      </c>
      <c r="G346" s="118" cm="1">
        <f t="array" ref="G346">IFERROR(INDEX(KB!$I$38:$AJ$50,MATCH(XL_DT_TD!E346,KB!$I$38:$I$50,0),MATCH(XL_DT_TD!D346,KB!$J$37:$AJ$37,0)+1),0)</f>
        <v>0</v>
      </c>
      <c r="H346" s="118" cm="1">
        <f t="array" ref="H346">IFERROR(INDEX(DATA_TĐ!$B$1:$AZ$19,MATCH(XL_DT_TD!E346,DATA_TĐ!B:B,0),MATCH(XL_DT_TD!C346,DATA_TĐ!$1:$1,0)-1),0)</f>
        <v>0</v>
      </c>
      <c r="I346" s="118">
        <f ca="1">H346/DAY(NOW()-1)*'Hieu Qua NV'!$J$1</f>
        <v>0</v>
      </c>
      <c r="J346" s="118">
        <f t="shared" si="97"/>
        <v>0</v>
      </c>
      <c r="K346" s="118">
        <f ca="1">J346/'Hieu Qua NV'!$J$2</f>
        <v>0</v>
      </c>
      <c r="L346" s="119" t="e">
        <f t="shared" ca="1" si="93"/>
        <v>#DIV/0!</v>
      </c>
      <c r="M346" s="118">
        <f ca="1">IFERROR(
INDEX(
KB!$I$55:$AJ$68,
MATCH(E346,KB!$I$55:$I$68,0),
MATCH(D346,KB!$I$55:$AJ$55,0)
),
0)</f>
        <v>0</v>
      </c>
      <c r="S346" s="669" cm="1">
        <f t="array" aca="1" ref="S346" ca="1">_xlfn.IFS(
CONFIG!$B$8="W1",H346-N346,
CONFIG!$B$8="W2",H346-O346,
CONFIG!$B$8="W3",H346-P346,
CONFIG!$B$8="W4",H346-Q346,
CONFIG!$B$8="W5",H346-R346
)</f>
        <v>0</v>
      </c>
      <c r="T346" s="652">
        <f t="shared" ca="1" si="92"/>
        <v>0</v>
      </c>
    </row>
    <row r="347" spans="3:20">
      <c r="C347" s="116" t="e">
        <f>INDEX(KB!C:D,MATCH(D347,KB!D:D,0),1)</f>
        <v>#N/A</v>
      </c>
      <c r="D347" s="116" t="s">
        <v>391</v>
      </c>
      <c r="E347" s="117" t="s">
        <v>281</v>
      </c>
      <c r="F347" s="116" t="e">
        <f t="shared" si="94"/>
        <v>#N/A</v>
      </c>
      <c r="G347" s="118" cm="1">
        <f t="array" ref="G347">IFERROR(INDEX(KB!$I$38:$AJ$50,MATCH(XL_DT_TD!E347,KB!$I$38:$I$50,0),MATCH(XL_DT_TD!D347,KB!$J$37:$AJ$37,0)+1),0)</f>
        <v>0</v>
      </c>
      <c r="H347" s="118" cm="1">
        <f t="array" ref="H347">IFERROR(
  INDEX(DATA_TĐ!$B$36:$Z$47,
    MATCH(TRUE, INDEX(TRIM(DATA_TĐ!$B$36:$B$45)=TRIM(E347),0),0),
    MATCH(TRUE, INDEX(TRIM(DATA_TĐ!$B$36:$Z$36)=TRIM(C347),0),0)
  ),
0)</f>
        <v>0</v>
      </c>
      <c r="I347" s="118">
        <f ca="1">H347/DAY(NOW()-1)*'Hieu Qua NV'!$J$1</f>
        <v>0</v>
      </c>
      <c r="J347" s="118">
        <f t="shared" si="97"/>
        <v>0</v>
      </c>
      <c r="K347" s="118">
        <f ca="1">J347/'Hieu Qua NV'!$J$2</f>
        <v>0</v>
      </c>
      <c r="L347" s="119" t="e">
        <f t="shared" ca="1" si="93"/>
        <v>#DIV/0!</v>
      </c>
      <c r="M347" s="118">
        <f ca="1">IFERROR(
INDEX(
KB!$I$55:$AJ$68,
MATCH(E347,KB!$I$55:$I$68,0),
MATCH(D347,KB!$I$55:$AJ$55,0)
),
0)</f>
        <v>0</v>
      </c>
      <c r="S347" s="669" cm="1">
        <f t="array" aca="1" ref="S347" ca="1">_xlfn.IFS(
CONFIG!$B$8="W1",H347-N347,
CONFIG!$B$8="W2",H347-O347,
CONFIG!$B$8="W3",H347-P347,
CONFIG!$B$8="W4",H347-Q347,
CONFIG!$B$8="W5",H347-R347
)</f>
        <v>0</v>
      </c>
      <c r="T347" s="652">
        <f t="shared" ca="1" si="92"/>
        <v>0</v>
      </c>
    </row>
    <row r="348" spans="3:20">
      <c r="C348" s="116" t="e">
        <f>INDEX(KB!C:D,MATCH(D348,KB!D:D,0),1)</f>
        <v>#N/A</v>
      </c>
      <c r="D348" s="116" t="s">
        <v>391</v>
      </c>
      <c r="E348" s="117" t="s">
        <v>282</v>
      </c>
      <c r="F348" s="116" t="e">
        <f t="shared" si="94"/>
        <v>#N/A</v>
      </c>
      <c r="G348" s="118" cm="1">
        <f t="array" ref="G348">IFERROR(INDEX(KB!$I$38:$AJ$50,MATCH(XL_DT_TD!E348,KB!$I$38:$I$50,0),MATCH(XL_DT_TD!D348,KB!$J$37:$AJ$37,0)+1),0)</f>
        <v>0</v>
      </c>
      <c r="H348" s="118" cm="1">
        <f t="array" ref="H348">IFERROR(
  INDEX(DATA_TĐ!$B$36:$Z$47,
    MATCH(TRUE, INDEX(TRIM(DATA_TĐ!$B$36:$B$45)=TRIM(E348),0),0),
    MATCH(TRUE, INDEX(TRIM(DATA_TĐ!$B$36:$Z$36)=TRIM(C348),0),0)
  ),
0)</f>
        <v>0</v>
      </c>
      <c r="I348" s="118">
        <f ca="1">H348/DAY(NOW()-1)*'Hieu Qua NV'!$J$1</f>
        <v>0</v>
      </c>
      <c r="J348" s="118">
        <f t="shared" si="97"/>
        <v>0</v>
      </c>
      <c r="K348" s="118">
        <f ca="1">J348/'Hieu Qua NV'!$J$2</f>
        <v>0</v>
      </c>
      <c r="L348" s="119" t="e">
        <f t="shared" ca="1" si="93"/>
        <v>#DIV/0!</v>
      </c>
      <c r="M348" s="118">
        <f ca="1">IFERROR(
INDEX(
KB!$I$55:$AJ$68,
MATCH(E348,KB!$I$55:$I$68,0),
MATCH(D348,KB!$I$55:$AJ$55,0)
),
0)</f>
        <v>0</v>
      </c>
      <c r="S348" s="669" cm="1">
        <f t="array" aca="1" ref="S348" ca="1">_xlfn.IFS(
CONFIG!$B$8="W1",H348-N348,
CONFIG!$B$8="W2",H348-O348,
CONFIG!$B$8="W3",H348-P348,
CONFIG!$B$8="W4",H348-Q348,
CONFIG!$B$8="W5",H348-R348
)</f>
        <v>0</v>
      </c>
      <c r="T348" s="652">
        <f t="shared" ca="1" si="92"/>
        <v>0</v>
      </c>
    </row>
    <row r="349" spans="3:20">
      <c r="C349" s="116" t="e">
        <f>INDEX(KB!C:D,MATCH(D349,KB!D:D,0),1)</f>
        <v>#N/A</v>
      </c>
      <c r="D349" s="116" t="s">
        <v>391</v>
      </c>
      <c r="E349" s="117" t="s">
        <v>283</v>
      </c>
      <c r="F349" s="116" t="e">
        <f t="shared" si="94"/>
        <v>#N/A</v>
      </c>
      <c r="G349" s="118" cm="1">
        <f t="array" ref="G349">IFERROR(INDEX(KB!$I$38:$AJ$50,MATCH(XL_DT_TD!E349,KB!$I$38:$I$50,0),MATCH(XL_DT_TD!D349,KB!$J$37:$AJ$37,0)+1),0)</f>
        <v>0</v>
      </c>
      <c r="H349" s="118" cm="1">
        <f t="array" ref="H349">IFERROR(
  INDEX(DATA_TĐ!$B$36:$Z$47,
    MATCH(TRUE, INDEX(TRIM(DATA_TĐ!$B$36:$B$45)=TRIM(E349),0),0),
    MATCH(TRUE, INDEX(TRIM(DATA_TĐ!$B$36:$Z$36)=TRIM(C349),0),0)
  ),
0)</f>
        <v>0</v>
      </c>
      <c r="I349" s="118">
        <f ca="1">H349/DAY(NOW()-1)*'Hieu Qua NV'!$J$1</f>
        <v>0</v>
      </c>
      <c r="J349" s="118">
        <f t="shared" si="97"/>
        <v>0</v>
      </c>
      <c r="K349" s="118">
        <f ca="1">J349/'Hieu Qua NV'!$J$2</f>
        <v>0</v>
      </c>
      <c r="L349" s="119" t="e">
        <f t="shared" ca="1" si="93"/>
        <v>#DIV/0!</v>
      </c>
      <c r="M349" s="118">
        <f ca="1">IFERROR(
INDEX(
KB!$I$55:$AJ$68,
MATCH(E349,KB!$I$55:$I$68,0),
MATCH(D349,KB!$I$55:$AJ$55,0)
),
0)</f>
        <v>0</v>
      </c>
      <c r="S349" s="669" cm="1">
        <f t="array" aca="1" ref="S349" ca="1">_xlfn.IFS(
CONFIG!$B$8="W1",H349-N349,
CONFIG!$B$8="W2",H349-O349,
CONFIG!$B$8="W3",H349-P349,
CONFIG!$B$8="W4",H349-Q349,
CONFIG!$B$8="W5",H349-R349
)</f>
        <v>0</v>
      </c>
      <c r="T349" s="652">
        <f t="shared" ca="1" si="92"/>
        <v>0</v>
      </c>
    </row>
    <row r="350" spans="3:20">
      <c r="C350" s="116" t="e">
        <f>INDEX(KB!C:D,MATCH(D350,KB!D:D,0),1)</f>
        <v>#N/A</v>
      </c>
      <c r="D350" s="116" t="s">
        <v>391</v>
      </c>
      <c r="E350" s="117" t="s">
        <v>284</v>
      </c>
      <c r="F350" s="116" t="e">
        <f t="shared" si="94"/>
        <v>#N/A</v>
      </c>
      <c r="G350" s="118" cm="1">
        <f t="array" ref="G350">IFERROR(INDEX(KB!$I$38:$AJ$50,MATCH(XL_DT_TD!E350,KB!$I$38:$I$50,0),MATCH(XL_DT_TD!D350,KB!$J$37:$AJ$37,0)+1),0)</f>
        <v>0</v>
      </c>
      <c r="H350" s="118" cm="1">
        <f t="array" ref="H350">IFERROR(
  INDEX(DATA_TĐ!$B$36:$Z$47,
    MATCH(TRUE, INDEX(TRIM(DATA_TĐ!$B$36:$B$45)=TRIM(E350),0),0),
    MATCH(TRUE, INDEX(TRIM(DATA_TĐ!$B$36:$Z$36)=TRIM(C350),0),0)
  ),
0)</f>
        <v>0</v>
      </c>
      <c r="I350" s="118">
        <f ca="1">H350/DAY(NOW()-1)*'Hieu Qua NV'!$J$1</f>
        <v>0</v>
      </c>
      <c r="J350" s="118">
        <f t="shared" si="97"/>
        <v>0</v>
      </c>
      <c r="K350" s="118">
        <f ca="1">J350/'Hieu Qua NV'!$J$2</f>
        <v>0</v>
      </c>
      <c r="L350" s="119" t="e">
        <f t="shared" ca="1" si="93"/>
        <v>#DIV/0!</v>
      </c>
      <c r="M350" s="118">
        <f ca="1">IFERROR(
INDEX(
KB!$I$55:$AJ$68,
MATCH(E350,KB!$I$55:$I$68,0),
MATCH(D350,KB!$I$55:$AJ$55,0)
),
0)</f>
        <v>0</v>
      </c>
      <c r="S350" s="669" cm="1">
        <f t="array" aca="1" ref="S350" ca="1">_xlfn.IFS(
CONFIG!$B$8="W1",H350-N350,
CONFIG!$B$8="W2",H350-O350,
CONFIG!$B$8="W3",H350-P350,
CONFIG!$B$8="W4",H350-Q350,
CONFIG!$B$8="W5",H350-R350
)</f>
        <v>0</v>
      </c>
      <c r="T350" s="652">
        <f t="shared" ca="1" si="92"/>
        <v>0</v>
      </c>
    </row>
    <row r="351" spans="3:20">
      <c r="C351" s="120" t="e">
        <f>INDEX(KB!C:D,MATCH(D351,KB!D:D,0),1)</f>
        <v>#N/A</v>
      </c>
      <c r="D351" s="120" t="s">
        <v>391</v>
      </c>
      <c r="E351" s="120" t="s">
        <v>20</v>
      </c>
      <c r="F351" s="121" t="e">
        <f t="shared" si="94"/>
        <v>#N/A</v>
      </c>
      <c r="G351" s="122">
        <f t="shared" ref="G351" si="99">SUM(G338:G349)</f>
        <v>0</v>
      </c>
      <c r="H351" s="122">
        <f t="shared" ref="H351:I351" si="100">SUM(H338:H349)</f>
        <v>0</v>
      </c>
      <c r="I351" s="122">
        <f t="shared" ca="1" si="100"/>
        <v>0</v>
      </c>
      <c r="J351" s="122">
        <f t="shared" si="97"/>
        <v>0</v>
      </c>
      <c r="K351" s="122">
        <f ca="1">J351/'Hieu Qua NV'!$J$2</f>
        <v>0</v>
      </c>
      <c r="L351" s="119" t="e">
        <f t="shared" ca="1" si="93"/>
        <v>#DIV/0!</v>
      </c>
      <c r="M351" s="122">
        <f t="shared" ref="M351" ca="1" si="101">SUM(M338:M349)</f>
        <v>0</v>
      </c>
      <c r="S351" s="669" cm="1">
        <f t="array" aca="1" ref="S351" ca="1">_xlfn.IFS(
CONFIG!$B$8="W1",H351-N351,
CONFIG!$B$8="W2",H351-O351,
CONFIG!$B$8="W3",H351-P351,
CONFIG!$B$8="W4",H351-Q351,
CONFIG!$B$8="W5",H351-R351
)</f>
        <v>0</v>
      </c>
      <c r="T351" s="652">
        <f t="shared" ca="1" si="92"/>
        <v>0</v>
      </c>
    </row>
    <row r="352" spans="3:20">
      <c r="C352" s="116" t="str">
        <f>INDEX(KB!C:D,MATCH(D352,KB!D:D,0),1)</f>
        <v>Quạt điều hoà</v>
      </c>
      <c r="D352" s="116" t="s">
        <v>228</v>
      </c>
      <c r="E352" s="321" t="s">
        <v>57</v>
      </c>
      <c r="F352" s="116" t="str">
        <f t="shared" si="94"/>
        <v>Quạt điều hoàNguyễn Thị Ngọc - 54026</v>
      </c>
      <c r="G352" s="118" cm="1">
        <f t="array" ref="G352">IFERROR(INDEX(KB!$I$38:$AJ$50,MATCH(XL_DT_TD!E352,KB!$I$38:$I$50,0),MATCH(XL_DT_TD!D352,KB!$J$37:$AJ$37,0)+1),0)</f>
        <v>17.172000000000001</v>
      </c>
      <c r="H352" s="118" cm="1">
        <f t="array" ref="H352">IFERROR(INDEX(DATA_TĐ!$B$1:$AZ$19,MATCH(XL_DT_TD!E352,DATA_TĐ!B:B,0),MATCH(XL_DT_TD!C352,DATA_TĐ!$1:$1,0)-1),0)</f>
        <v>0</v>
      </c>
      <c r="I352" s="118">
        <f ca="1">H352/DAY(NOW()-1)*'Hieu Qua NV'!$J$1</f>
        <v>0</v>
      </c>
      <c r="J352" s="118">
        <f t="shared" si="97"/>
        <v>17.172000000000001</v>
      </c>
      <c r="K352" s="118">
        <f ca="1">J352/'Hieu Qua NV'!$J$2</f>
        <v>0.74660869565217391</v>
      </c>
      <c r="L352" s="119">
        <f t="shared" ca="1" si="93"/>
        <v>0</v>
      </c>
      <c r="M352" s="118">
        <f ca="1">IFERROR(
INDEX(
KB!$I$55:$AJ$68,
MATCH(E352,KB!$I$55:$I$68,0),
MATCH(D352,KB!$I$55:$AJ$55,0)
),
0)</f>
        <v>4</v>
      </c>
      <c r="S352" s="669" cm="1">
        <f t="array" aca="1" ref="S352" ca="1">_xlfn.IFS(
CONFIG!$B$8="W1",H352-N352,
CONFIG!$B$8="W2",H352-O352,
CONFIG!$B$8="W3",H352-P352,
CONFIG!$B$8="W4",H352-Q352,
CONFIG!$B$8="W5",H352-R352
)</f>
        <v>0</v>
      </c>
      <c r="T352" s="652">
        <f t="shared" ca="1" si="92"/>
        <v>0</v>
      </c>
    </row>
    <row r="353" spans="3:20">
      <c r="C353" s="116" t="str">
        <f>INDEX(KB!C:D,MATCH(D353,KB!D:D,0),1)</f>
        <v>Quạt điều hoà</v>
      </c>
      <c r="D353" s="116" t="s">
        <v>228</v>
      </c>
      <c r="E353" s="321" t="s">
        <v>60</v>
      </c>
      <c r="F353" s="116" t="str">
        <f t="shared" si="94"/>
        <v>Quạt điều hoàNguyễn Viết Sơn - 94065</v>
      </c>
      <c r="G353" s="118" cm="1">
        <f t="array" ref="G353">IFERROR(INDEX(KB!$I$38:$AJ$50,MATCH(XL_DT_TD!E353,KB!$I$38:$I$50,0),MATCH(XL_DT_TD!D353,KB!$J$37:$AJ$37,0)+1),0)</f>
        <v>20.988000000000003</v>
      </c>
      <c r="H353" s="118" cm="1">
        <f t="array" ref="H353">IFERROR(INDEX(DATA_TĐ!$B$1:$AZ$19,MATCH(XL_DT_TD!E353,DATA_TĐ!B:B,0),MATCH(XL_DT_TD!C353,DATA_TĐ!$1:$1,0)-1),0)</f>
        <v>2.0299999999999998</v>
      </c>
      <c r="I353" s="118">
        <f ca="1">H353/DAY(NOW()-1)*'Hieu Qua NV'!$J$1</f>
        <v>10.15</v>
      </c>
      <c r="J353" s="118">
        <f t="shared" si="97"/>
        <v>18.958000000000002</v>
      </c>
      <c r="K353" s="118">
        <f ca="1">J353/'Hieu Qua NV'!$J$2</f>
        <v>0.82426086956521749</v>
      </c>
      <c r="L353" s="119">
        <f t="shared" ca="1" si="93"/>
        <v>0.48360968172288921</v>
      </c>
      <c r="M353" s="118">
        <f ca="1">IFERROR(
INDEX(
KB!$I$55:$AJ$68,
MATCH(E353,KB!$I$55:$I$68,0),
MATCH(D353,KB!$I$55:$AJ$55,0)
),
0)</f>
        <v>5</v>
      </c>
      <c r="S353" s="669" cm="1">
        <f t="array" aca="1" ref="S353" ca="1">_xlfn.IFS(
CONFIG!$B$8="W1",H353-N353,
CONFIG!$B$8="W2",H353-O353,
CONFIG!$B$8="W3",H353-P353,
CONFIG!$B$8="W4",H353-Q353,
CONFIG!$B$8="W5",H353-R353
)</f>
        <v>2.0299999999999998</v>
      </c>
      <c r="T353" s="652">
        <f t="shared" ca="1" si="92"/>
        <v>0.40599999999999997</v>
      </c>
    </row>
    <row r="354" spans="3:20">
      <c r="C354" s="116" t="str">
        <f>INDEX(KB!C:D,MATCH(D354,KB!D:D,0),1)</f>
        <v>Quạt điều hoà</v>
      </c>
      <c r="D354" s="116" t="s">
        <v>228</v>
      </c>
      <c r="E354" s="321" t="s">
        <v>15</v>
      </c>
      <c r="F354" s="116" t="str">
        <f t="shared" si="94"/>
        <v>Quạt điều hoàNguyễn Trang Nhung - 25734</v>
      </c>
      <c r="G354" s="118" cm="1">
        <f t="array" ref="G354">IFERROR(INDEX(KB!$I$38:$AJ$50,MATCH(XL_DT_TD!E354,KB!$I$38:$I$50,0),MATCH(XL_DT_TD!D354,KB!$J$37:$AJ$37,0)+1),0)</f>
        <v>17.172000000000001</v>
      </c>
      <c r="H354" s="118" cm="1">
        <f t="array" ref="H354">IFERROR(INDEX(DATA_TĐ!$B$1:$AZ$19,MATCH(XL_DT_TD!E354,DATA_TĐ!B:B,0),MATCH(XL_DT_TD!C354,DATA_TĐ!$1:$1,0)-1),0)</f>
        <v>1.74</v>
      </c>
      <c r="I354" s="118">
        <f ca="1">H354/DAY(NOW()-1)*'Hieu Qua NV'!$J$1</f>
        <v>8.6999999999999993</v>
      </c>
      <c r="J354" s="118">
        <f t="shared" si="97"/>
        <v>15.432</v>
      </c>
      <c r="K354" s="118">
        <f ca="1">J354/'Hieu Qua NV'!$J$2</f>
        <v>0.67095652173913045</v>
      </c>
      <c r="L354" s="119">
        <f t="shared" ca="1" si="93"/>
        <v>0.50663871418588391</v>
      </c>
      <c r="M354" s="118">
        <f ca="1">IFERROR(
INDEX(
KB!$I$55:$AJ$68,
MATCH(E354,KB!$I$55:$I$68,0),
MATCH(D354,KB!$I$55:$AJ$55,0)
),
0)</f>
        <v>4</v>
      </c>
      <c r="S354" s="669" cm="1">
        <f t="array" aca="1" ref="S354" ca="1">_xlfn.IFS(
CONFIG!$B$8="W1",H354-N354,
CONFIG!$B$8="W2",H354-O354,
CONFIG!$B$8="W3",H354-P354,
CONFIG!$B$8="W4",H354-Q354,
CONFIG!$B$8="W5",H354-R354
)</f>
        <v>1.74</v>
      </c>
      <c r="T354" s="652">
        <f t="shared" ca="1" si="92"/>
        <v>0.435</v>
      </c>
    </row>
    <row r="355" spans="3:20">
      <c r="C355" s="116" t="str">
        <f>INDEX(KB!C:D,MATCH(D355,KB!D:D,0),1)</f>
        <v>Quạt điều hoà</v>
      </c>
      <c r="D355" s="116" t="s">
        <v>228</v>
      </c>
      <c r="E355" s="321" t="s">
        <v>151</v>
      </c>
      <c r="F355" s="116" t="str">
        <f t="shared" si="94"/>
        <v>Quạt điều hoàTrần Huy Hoàn - 270828</v>
      </c>
      <c r="G355" s="118" cm="1">
        <f t="array" ref="G355">IFERROR(INDEX(KB!$I$38:$AJ$50,MATCH(XL_DT_TD!E355,KB!$I$38:$I$50,0),MATCH(XL_DT_TD!D355,KB!$J$37:$AJ$37,0)+1),0)</f>
        <v>20.988000000000003</v>
      </c>
      <c r="H355" s="118" cm="1">
        <f t="array" ref="H355">IFERROR(INDEX(DATA_TĐ!$B$1:$AZ$19,MATCH(XL_DT_TD!E355,DATA_TĐ!B:B,0),MATCH(XL_DT_TD!C355,DATA_TĐ!$1:$1,0)-1),0)</f>
        <v>5.19</v>
      </c>
      <c r="I355" s="118">
        <f ca="1">H355/DAY(NOW()-1)*'Hieu Qua NV'!$J$1</f>
        <v>25.950000000000003</v>
      </c>
      <c r="J355" s="118">
        <f t="shared" si="97"/>
        <v>15.798000000000002</v>
      </c>
      <c r="K355" s="118">
        <f ca="1">J355/'Hieu Qua NV'!$J$2</f>
        <v>0.6868695652173914</v>
      </c>
      <c r="L355" s="119">
        <f t="shared" ca="1" si="93"/>
        <v>1.23642081189251</v>
      </c>
      <c r="M355" s="118">
        <f ca="1">IFERROR(
INDEX(
KB!$I$55:$AJ$68,
MATCH(E355,KB!$I$55:$I$68,0),
MATCH(D355,KB!$I$55:$AJ$55,0)
),
0)</f>
        <v>5</v>
      </c>
      <c r="S355" s="669" cm="1">
        <f t="array" aca="1" ref="S355" ca="1">_xlfn.IFS(
CONFIG!$B$8="W1",H355-N355,
CONFIG!$B$8="W2",H355-O355,
CONFIG!$B$8="W3",H355-P355,
CONFIG!$B$8="W4",H355-Q355,
CONFIG!$B$8="W5",H355-R355
)</f>
        <v>5.19</v>
      </c>
      <c r="T355" s="652">
        <f t="shared" ca="1" si="92"/>
        <v>1.038</v>
      </c>
    </row>
    <row r="356" spans="3:20">
      <c r="C356" s="116" t="str">
        <f>INDEX(KB!C:D,MATCH(D356,KB!D:D,0),1)</f>
        <v>Quạt điều hoà</v>
      </c>
      <c r="D356" s="116" t="s">
        <v>228</v>
      </c>
      <c r="E356" s="321" t="s">
        <v>293</v>
      </c>
      <c r="F356" s="116" t="str">
        <f t="shared" si="94"/>
        <v>Quạt điều hoàPhạm Văn Thanh - 279935</v>
      </c>
      <c r="G356" s="118" cm="1">
        <f t="array" ref="G356">IFERROR(INDEX(KB!$I$38:$AJ$50,MATCH(XL_DT_TD!E356,KB!$I$38:$I$50,0),MATCH(XL_DT_TD!D356,KB!$J$37:$AJ$37,0)+1),0)</f>
        <v>14.31</v>
      </c>
      <c r="H356" s="118" cm="1">
        <f t="array" ref="H356">IFERROR(INDEX(DATA_TĐ!$B$1:$AZ$19,MATCH(XL_DT_TD!E356,DATA_TĐ!B:B,0),MATCH(XL_DT_TD!C356,DATA_TĐ!$1:$1,0)-1),0)</f>
        <v>0</v>
      </c>
      <c r="I356" s="118">
        <f ca="1">H356/DAY(NOW()-1)*'Hieu Qua NV'!$J$1</f>
        <v>0</v>
      </c>
      <c r="J356" s="118">
        <f t="shared" si="97"/>
        <v>14.31</v>
      </c>
      <c r="K356" s="118">
        <f ca="1">J356/'Hieu Qua NV'!$J$2</f>
        <v>0.62217391304347824</v>
      </c>
      <c r="L356" s="119">
        <f t="shared" ca="1" si="93"/>
        <v>0</v>
      </c>
      <c r="M356" s="118">
        <f ca="1">IFERROR(
INDEX(
KB!$I$55:$AJ$68,
MATCH(E356,KB!$I$55:$I$68,0),
MATCH(D356,KB!$I$55:$AJ$55,0)
),
0)</f>
        <v>4</v>
      </c>
      <c r="S356" s="669" cm="1">
        <f t="array" aca="1" ref="S356" ca="1">_xlfn.IFS(
CONFIG!$B$8="W1",H356-N356,
CONFIG!$B$8="W2",H356-O356,
CONFIG!$B$8="W3",H356-P356,
CONFIG!$B$8="W4",H356-Q356,
CONFIG!$B$8="W5",H356-R356
)</f>
        <v>0</v>
      </c>
      <c r="T356" s="652">
        <f t="shared" ca="1" si="92"/>
        <v>0</v>
      </c>
    </row>
    <row r="357" spans="3:20">
      <c r="C357" s="116" t="str">
        <f>INDEX(KB!C:D,MATCH(D357,KB!D:D,0),1)</f>
        <v>Quạt điều hoà</v>
      </c>
      <c r="D357" s="116" t="s">
        <v>228</v>
      </c>
      <c r="E357" s="321" t="s">
        <v>433</v>
      </c>
      <c r="F357" s="116" t="str">
        <f t="shared" si="94"/>
        <v>Quạt điều hoàNguyễn Thành Đạt - 280855</v>
      </c>
      <c r="G357" s="118" cm="1">
        <f t="array" ref="G357">IFERROR(INDEX(KB!$I$38:$AJ$50,MATCH(XL_DT_TD!E357,KB!$I$38:$I$50,0),MATCH(XL_DT_TD!D357,KB!$J$37:$AJ$37,0)+1),0)</f>
        <v>14.31</v>
      </c>
      <c r="H357" s="118" cm="1">
        <f t="array" ref="H357">IFERROR(INDEX(DATA_TĐ!$B$1:$AZ$19,MATCH(XL_DT_TD!E357,DATA_TĐ!B:B,0),MATCH(XL_DT_TD!C357,DATA_TĐ!$1:$1,0)-1),0)</f>
        <v>0.52</v>
      </c>
      <c r="I357" s="118">
        <f ca="1">H357/DAY(NOW()-1)*'Hieu Qua NV'!$J$1</f>
        <v>2.6</v>
      </c>
      <c r="J357" s="118">
        <f t="shared" si="97"/>
        <v>13.790000000000001</v>
      </c>
      <c r="K357" s="118">
        <f ca="1">J357/'Hieu Qua NV'!$J$2</f>
        <v>0.59956521739130442</v>
      </c>
      <c r="L357" s="119">
        <f t="shared" ca="1" si="93"/>
        <v>0.1816911250873515</v>
      </c>
      <c r="M357" s="118">
        <f ca="1">IFERROR(
INDEX(
KB!$I$55:$AJ$68,
MATCH(E357,KB!$I$55:$I$68,0),
MATCH(D357,KB!$I$55:$AJ$55,0)
),
0)</f>
        <v>4</v>
      </c>
      <c r="S357" s="669" cm="1">
        <f t="array" aca="1" ref="S357" ca="1">_xlfn.IFS(
CONFIG!$B$8="W1",H357-N357,
CONFIG!$B$8="W2",H357-O357,
CONFIG!$B$8="W3",H357-P357,
CONFIG!$B$8="W4",H357-Q357,
CONFIG!$B$8="W5",H357-R357
)</f>
        <v>0.52</v>
      </c>
      <c r="T357" s="652">
        <f t="shared" ca="1" si="92"/>
        <v>0.13</v>
      </c>
    </row>
    <row r="358" spans="3:20">
      <c r="C358" s="116" t="str">
        <f>INDEX(KB!C:D,MATCH(D358,KB!D:D,0),1)</f>
        <v>Quạt điều hoà</v>
      </c>
      <c r="D358" s="116" t="s">
        <v>228</v>
      </c>
      <c r="E358" s="321" t="s">
        <v>56</v>
      </c>
      <c r="F358" s="116" t="str">
        <f t="shared" si="94"/>
        <v>Quạt điều hoàĐỗ Văn Duân - 62025</v>
      </c>
      <c r="G358" s="118" cm="1">
        <f t="array" ref="G358">IFERROR(INDEX(KB!$I$38:$AJ$50,MATCH(XL_DT_TD!E358,KB!$I$38:$I$50,0),MATCH(XL_DT_TD!D358,KB!$J$37:$AJ$37,0)+1),0)</f>
        <v>20.988000000000003</v>
      </c>
      <c r="H358" s="118" cm="1">
        <f t="array" ref="H358">IFERROR(INDEX(DATA_TĐ!$B$1:$AZ$19,MATCH(XL_DT_TD!E358,DATA_TĐ!B:B,0),MATCH(XL_DT_TD!C358,DATA_TĐ!$1:$1,0)-1),0)</f>
        <v>13.8</v>
      </c>
      <c r="I358" s="118">
        <f ca="1">H358/DAY(NOW()-1)*'Hieu Qua NV'!$J$1</f>
        <v>69.000000000000014</v>
      </c>
      <c r="J358" s="118">
        <f t="shared" si="97"/>
        <v>7.1880000000000024</v>
      </c>
      <c r="K358" s="118">
        <f ca="1">J358/'Hieu Qua NV'!$J$2</f>
        <v>0.31252173913043491</v>
      </c>
      <c r="L358" s="119">
        <f t="shared" ca="1" si="93"/>
        <v>3.2875929102344199</v>
      </c>
      <c r="M358" s="118">
        <f ca="1">IFERROR(
INDEX(
KB!$I$55:$AJ$68,
MATCH(E358,KB!$I$55:$I$68,0),
MATCH(D358,KB!$I$55:$AJ$55,0)
),
0)</f>
        <v>5</v>
      </c>
      <c r="S358" s="669" cm="1">
        <f t="array" aca="1" ref="S358" ca="1">_xlfn.IFS(
CONFIG!$B$8="W1",H358-N358,
CONFIG!$B$8="W2",H358-O358,
CONFIG!$B$8="W3",H358-P358,
CONFIG!$B$8="W4",H358-Q358,
CONFIG!$B$8="W5",H358-R358
)</f>
        <v>13.8</v>
      </c>
      <c r="T358" s="652">
        <f t="shared" ca="1" si="92"/>
        <v>2.7600000000000002</v>
      </c>
    </row>
    <row r="359" spans="3:20">
      <c r="C359" s="116" t="str">
        <f>INDEX(KB!C:D,MATCH(D359,KB!D:D,0),1)</f>
        <v>Quạt điều hoà</v>
      </c>
      <c r="D359" s="116" t="s">
        <v>228</v>
      </c>
      <c r="E359" s="321" t="s">
        <v>530</v>
      </c>
      <c r="F359" s="116" t="str">
        <f t="shared" si="94"/>
        <v>Quạt điều hoàNhân viên Mới 1</v>
      </c>
      <c r="G359" s="118" cm="1">
        <f t="array" ref="G359">IFERROR(INDEX(KB!$I$38:$AJ$50,MATCH(XL_DT_TD!E359,KB!$I$38:$I$50,0),MATCH(XL_DT_TD!D359,KB!$J$37:$AJ$37,0)+1),0)</f>
        <v>0</v>
      </c>
      <c r="H359" s="118" cm="1">
        <f t="array" ref="H359">IFERROR(INDEX(DATA_TĐ!$B$1:$AZ$19,MATCH(XL_DT_TD!E359,DATA_TĐ!B:B,0),MATCH(XL_DT_TD!C359,DATA_TĐ!$1:$1,0)-1),0)</f>
        <v>0</v>
      </c>
      <c r="I359" s="118">
        <f ca="1">H359/DAY(NOW()-1)*'Hieu Qua NV'!$J$1</f>
        <v>0</v>
      </c>
      <c r="J359" s="118">
        <f t="shared" si="97"/>
        <v>0</v>
      </c>
      <c r="K359" s="118">
        <f ca="1">J359/'Hieu Qua NV'!$J$2</f>
        <v>0</v>
      </c>
      <c r="L359" s="119" t="e">
        <f t="shared" ca="1" si="93"/>
        <v>#DIV/0!</v>
      </c>
      <c r="M359" s="118">
        <f ca="1">IFERROR(
INDEX(
KB!$I$55:$AJ$68,
MATCH(E359,KB!$I$55:$I$68,0),
MATCH(D359,KB!$I$55:$AJ$55,0)
),
0)</f>
        <v>0</v>
      </c>
      <c r="S359" s="669" cm="1">
        <f t="array" aca="1" ref="S359" ca="1">_xlfn.IFS(
CONFIG!$B$8="W1",H359-N359,
CONFIG!$B$8="W2",H359-O359,
CONFIG!$B$8="W3",H359-P359,
CONFIG!$B$8="W4",H359-Q359,
CONFIG!$B$8="W5",H359-R359
)</f>
        <v>0</v>
      </c>
      <c r="T359" s="652">
        <f t="shared" ca="1" si="92"/>
        <v>0</v>
      </c>
    </row>
    <row r="360" spans="3:20">
      <c r="C360" s="116" t="str">
        <f>INDEX(KB!C:D,MATCH(D360,KB!D:D,0),1)</f>
        <v>Quạt điều hoà</v>
      </c>
      <c r="D360" s="116" t="s">
        <v>228</v>
      </c>
      <c r="E360" s="321" t="s">
        <v>560</v>
      </c>
      <c r="F360" s="116" t="str">
        <f t="shared" si="94"/>
        <v>Quạt điều hoàNhân viên Mới 2</v>
      </c>
      <c r="G360" s="118" cm="1">
        <f t="array" ref="G360">IFERROR(INDEX(KB!$I$38:$AJ$50,MATCH(XL_DT_TD!E360,KB!$I$38:$I$50,0),MATCH(XL_DT_TD!D360,KB!$J$37:$AJ$37,0)+1),0)</f>
        <v>0</v>
      </c>
      <c r="H360" s="118" cm="1">
        <f t="array" ref="H360">IFERROR(INDEX(DATA_TĐ!$B$1:$AZ$19,MATCH(XL_DT_TD!E360,DATA_TĐ!B:B,0),MATCH(XL_DT_TD!C360,DATA_TĐ!$1:$1,0)-1),0)</f>
        <v>0</v>
      </c>
      <c r="I360" s="118">
        <f ca="1">H360/DAY(NOW()-1)*'Hieu Qua NV'!$J$1</f>
        <v>0</v>
      </c>
      <c r="J360" s="118">
        <f t="shared" si="97"/>
        <v>0</v>
      </c>
      <c r="K360" s="118">
        <f ca="1">J360/'Hieu Qua NV'!$J$2</f>
        <v>0</v>
      </c>
      <c r="L360" s="119" t="e">
        <f t="shared" ca="1" si="93"/>
        <v>#DIV/0!</v>
      </c>
      <c r="M360" s="118">
        <f ca="1">IFERROR(
INDEX(
KB!$I$55:$AJ$68,
MATCH(E360,KB!$I$55:$I$68,0),
MATCH(D360,KB!$I$55:$AJ$55,0)
),
0)</f>
        <v>0</v>
      </c>
      <c r="S360" s="669" cm="1">
        <f t="array" aca="1" ref="S360" ca="1">_xlfn.IFS(
CONFIG!$B$8="W1",H360-N360,
CONFIG!$B$8="W2",H360-O360,
CONFIG!$B$8="W3",H360-P360,
CONFIG!$B$8="W4",H360-Q360,
CONFIG!$B$8="W5",H360-R360
)</f>
        <v>0</v>
      </c>
      <c r="T360" s="652">
        <f t="shared" ca="1" si="92"/>
        <v>0</v>
      </c>
    </row>
    <row r="361" spans="3:20">
      <c r="C361" s="116" t="str">
        <f>INDEX(KB!C:D,MATCH(D361,KB!D:D,0),1)</f>
        <v>Quạt điều hoà</v>
      </c>
      <c r="D361" s="116" t="s">
        <v>228</v>
      </c>
      <c r="E361" s="117" t="s">
        <v>281</v>
      </c>
      <c r="F361" s="116" t="str">
        <f t="shared" si="94"/>
        <v>Quạt điều hoàTrần Thị Nhung - 11082</v>
      </c>
      <c r="G361" s="118" cm="1">
        <f t="array" ref="G361">IFERROR(INDEX(KB!$I$38:$AJ$50,MATCH(XL_DT_TD!E361,KB!$I$38:$I$50,0),MATCH(XL_DT_TD!D361,KB!$J$37:$AJ$37,0)+1),0)</f>
        <v>0</v>
      </c>
      <c r="H361" s="118" cm="1">
        <f t="array" ref="H361">IFERROR(
  INDEX(DATA_TĐ!$B$36:$Z$47,
    MATCH(TRUE, INDEX(TRIM(DATA_TĐ!$B$36:$B$45)=TRIM(E361),0),0),
    MATCH(TRUE, INDEX(TRIM(DATA_TĐ!$B$36:$Z$36)=TRIM(C361),0),0)
  ),
0)</f>
        <v>0</v>
      </c>
      <c r="I361" s="118">
        <f ca="1">H361/DAY(NOW()-1)*'Hieu Qua NV'!$J$1</f>
        <v>0</v>
      </c>
      <c r="J361" s="118">
        <f t="shared" si="97"/>
        <v>0</v>
      </c>
      <c r="K361" s="118">
        <f ca="1">J361/'Hieu Qua NV'!$J$2</f>
        <v>0</v>
      </c>
      <c r="L361" s="119" t="e">
        <f t="shared" ca="1" si="93"/>
        <v>#DIV/0!</v>
      </c>
      <c r="M361" s="118">
        <f ca="1">IFERROR(
INDEX(
KB!$I$55:$AJ$68,
MATCH(E361,KB!$I$55:$I$68,0),
MATCH(D361,KB!$I$55:$AJ$55,0)
),
0)</f>
        <v>0</v>
      </c>
      <c r="S361" s="669" cm="1">
        <f t="array" aca="1" ref="S361" ca="1">_xlfn.IFS(
CONFIG!$B$8="W1",H361-N361,
CONFIG!$B$8="W2",H361-O361,
CONFIG!$B$8="W3",H361-P361,
CONFIG!$B$8="W4",H361-Q361,
CONFIG!$B$8="W5",H361-R361
)</f>
        <v>0</v>
      </c>
      <c r="T361" s="652">
        <f t="shared" ca="1" si="92"/>
        <v>0</v>
      </c>
    </row>
    <row r="362" spans="3:20">
      <c r="C362" s="116" t="str">
        <f>INDEX(KB!C:D,MATCH(D362,KB!D:D,0),1)</f>
        <v>Quạt điều hoà</v>
      </c>
      <c r="D362" s="116" t="s">
        <v>228</v>
      </c>
      <c r="E362" s="117" t="s">
        <v>282</v>
      </c>
      <c r="F362" s="116" t="str">
        <f t="shared" si="94"/>
        <v>Quạt điều hoàNguyễn Thị Phương Oanh - 164808</v>
      </c>
      <c r="G362" s="118" cm="1">
        <f t="array" ref="G362">IFERROR(INDEX(KB!$I$38:$AJ$50,MATCH(XL_DT_TD!E362,KB!$I$38:$I$50,0),MATCH(XL_DT_TD!D362,KB!$J$37:$AJ$37,0)+1),0)</f>
        <v>0</v>
      </c>
      <c r="H362" s="118" cm="1">
        <f t="array" ref="H362">IFERROR(
  INDEX(DATA_TĐ!$B$36:$Z$47,
    MATCH(TRUE, INDEX(TRIM(DATA_TĐ!$B$36:$B$45)=TRIM(E362),0),0),
    MATCH(TRUE, INDEX(TRIM(DATA_TĐ!$B$36:$Z$36)=TRIM(C362),0),0)
  ),
0)</f>
        <v>0</v>
      </c>
      <c r="I362" s="118">
        <f ca="1">H362/DAY(NOW()-1)*'Hieu Qua NV'!$J$1</f>
        <v>0</v>
      </c>
      <c r="J362" s="118">
        <f t="shared" si="97"/>
        <v>0</v>
      </c>
      <c r="K362" s="118">
        <f ca="1">J362/'Hieu Qua NV'!$J$2</f>
        <v>0</v>
      </c>
      <c r="L362" s="119" t="e">
        <f t="shared" ca="1" si="93"/>
        <v>#DIV/0!</v>
      </c>
      <c r="M362" s="118">
        <f ca="1">IFERROR(
INDEX(
KB!$I$55:$AJ$68,
MATCH(E362,KB!$I$55:$I$68,0),
MATCH(D362,KB!$I$55:$AJ$55,0)
),
0)</f>
        <v>0</v>
      </c>
      <c r="S362" s="669" cm="1">
        <f t="array" aca="1" ref="S362" ca="1">_xlfn.IFS(
CONFIG!$B$8="W1",H362-N362,
CONFIG!$B$8="W2",H362-O362,
CONFIG!$B$8="W3",H362-P362,
CONFIG!$B$8="W4",H362-Q362,
CONFIG!$B$8="W5",H362-R362
)</f>
        <v>0</v>
      </c>
      <c r="T362" s="652">
        <f t="shared" ca="1" si="92"/>
        <v>0</v>
      </c>
    </row>
    <row r="363" spans="3:20">
      <c r="C363" s="116" t="str">
        <f>INDEX(KB!C:D,MATCH(D363,KB!D:D,0),1)</f>
        <v>Quạt điều hoà</v>
      </c>
      <c r="D363" s="116" t="s">
        <v>228</v>
      </c>
      <c r="E363" s="117" t="s">
        <v>283</v>
      </c>
      <c r="F363" s="116" t="str">
        <f t="shared" si="94"/>
        <v>Quạt điều hoàNguyễn Anh Tài - 269055</v>
      </c>
      <c r="G363" s="118" cm="1">
        <f t="array" ref="G363">IFERROR(INDEX(KB!$I$38:$AJ$50,MATCH(XL_DT_TD!E363,KB!$I$38:$I$50,0),MATCH(XL_DT_TD!D363,KB!$J$37:$AJ$37,0)+1),0)</f>
        <v>0</v>
      </c>
      <c r="H363" s="118" cm="1">
        <f t="array" ref="H363">IFERROR(
  INDEX(DATA_TĐ!$B$36:$Z$47,
    MATCH(TRUE, INDEX(TRIM(DATA_TĐ!$B$36:$B$45)=TRIM(E363),0),0),
    MATCH(TRUE, INDEX(TRIM(DATA_TĐ!$B$36:$Z$36)=TRIM(C363),0),0)
  ),
0)</f>
        <v>0</v>
      </c>
      <c r="I363" s="118">
        <f ca="1">H363/DAY(NOW()-1)*'Hieu Qua NV'!$J$1</f>
        <v>0</v>
      </c>
      <c r="J363" s="118">
        <f t="shared" si="97"/>
        <v>0</v>
      </c>
      <c r="K363" s="118">
        <f ca="1">J363/'Hieu Qua NV'!$J$2</f>
        <v>0</v>
      </c>
      <c r="L363" s="119" t="e">
        <f t="shared" ca="1" si="93"/>
        <v>#DIV/0!</v>
      </c>
      <c r="M363" s="118">
        <f ca="1">IFERROR(
INDEX(
KB!$I$55:$AJ$68,
MATCH(E363,KB!$I$55:$I$68,0),
MATCH(D363,KB!$I$55:$AJ$55,0)
),
0)</f>
        <v>0</v>
      </c>
      <c r="S363" s="669" cm="1">
        <f t="array" aca="1" ref="S363" ca="1">_xlfn.IFS(
CONFIG!$B$8="W1",H363-N363,
CONFIG!$B$8="W2",H363-O363,
CONFIG!$B$8="W3",H363-P363,
CONFIG!$B$8="W4",H363-Q363,
CONFIG!$B$8="W5",H363-R363
)</f>
        <v>0</v>
      </c>
      <c r="T363" s="652">
        <f t="shared" ca="1" si="92"/>
        <v>0</v>
      </c>
    </row>
    <row r="364" spans="3:20">
      <c r="C364" s="116" t="str">
        <f>INDEX(KB!C:D,MATCH(D364,KB!D:D,0),1)</f>
        <v>Quạt điều hoà</v>
      </c>
      <c r="D364" s="116" t="s">
        <v>228</v>
      </c>
      <c r="E364" s="117" t="s">
        <v>284</v>
      </c>
      <c r="F364" s="116" t="str">
        <f t="shared" si="94"/>
        <v>Quạt điều hoàLê Văn Hợp - 279884</v>
      </c>
      <c r="G364" s="118" cm="1">
        <f t="array" ref="G364">IFERROR(INDEX(KB!$I$38:$AJ$50,MATCH(XL_DT_TD!E364,KB!$I$38:$I$50,0),MATCH(XL_DT_TD!D364,KB!$J$37:$AJ$37,0)+1),0)</f>
        <v>0</v>
      </c>
      <c r="H364" s="118" cm="1">
        <f t="array" ref="H364">IFERROR(
  INDEX(DATA_TĐ!$B$36:$Z$47,
    MATCH(TRUE, INDEX(TRIM(DATA_TĐ!$B$36:$B$45)=TRIM(E364),0),0),
    MATCH(TRUE, INDEX(TRIM(DATA_TĐ!$B$36:$Z$36)=TRIM(C364),0),0)
  ),
0)</f>
        <v>0</v>
      </c>
      <c r="I364" s="118">
        <f ca="1">H364/DAY(NOW()-1)*'Hieu Qua NV'!$J$1</f>
        <v>0</v>
      </c>
      <c r="J364" s="118">
        <f t="shared" si="97"/>
        <v>0</v>
      </c>
      <c r="K364" s="118">
        <f ca="1">J364/'Hieu Qua NV'!$J$2</f>
        <v>0</v>
      </c>
      <c r="L364" s="119" t="e">
        <f t="shared" ca="1" si="93"/>
        <v>#DIV/0!</v>
      </c>
      <c r="M364" s="118">
        <f ca="1">IFERROR(
INDEX(
KB!$I$55:$AJ$68,
MATCH(E364,KB!$I$55:$I$68,0),
MATCH(D364,KB!$I$55:$AJ$55,0)
),
0)</f>
        <v>0</v>
      </c>
      <c r="S364" s="669" cm="1">
        <f t="array" aca="1" ref="S364" ca="1">_xlfn.IFS(
CONFIG!$B$8="W1",H364-N364,
CONFIG!$B$8="W2",H364-O364,
CONFIG!$B$8="W3",H364-P364,
CONFIG!$B$8="W4",H364-Q364,
CONFIG!$B$8="W5",H364-R364
)</f>
        <v>0</v>
      </c>
      <c r="T364" s="652">
        <f t="shared" ca="1" si="92"/>
        <v>0</v>
      </c>
    </row>
    <row r="365" spans="3:20">
      <c r="C365" s="120" t="str">
        <f>INDEX(KB!C:D,MATCH(D365,KB!D:D,0),1)</f>
        <v>Quạt điều hoà</v>
      </c>
      <c r="D365" s="120" t="s">
        <v>228</v>
      </c>
      <c r="E365" s="120" t="s">
        <v>20</v>
      </c>
      <c r="F365" s="121" t="str">
        <f t="shared" si="94"/>
        <v>Quạt điều hoàTổng</v>
      </c>
      <c r="G365" s="122">
        <f t="shared" ref="G365" si="102">SUM(G352:G363)</f>
        <v>125.92800000000001</v>
      </c>
      <c r="H365" s="122">
        <f t="shared" ref="H365:I365" si="103">SUM(H352:H363)</f>
        <v>23.28</v>
      </c>
      <c r="I365" s="122">
        <f t="shared" ca="1" si="103"/>
        <v>116.40000000000002</v>
      </c>
      <c r="J365" s="122">
        <f t="shared" si="97"/>
        <v>102.64800000000001</v>
      </c>
      <c r="K365" s="122">
        <f ca="1">J365/'Hieu Qua NV'!$J$2</f>
        <v>4.4629565217391312</v>
      </c>
      <c r="L365" s="119">
        <f t="shared" ca="1" si="93"/>
        <v>0.9243377167905471</v>
      </c>
      <c r="M365" s="122">
        <f t="shared" ref="M365" ca="1" si="104">SUM(M352:M363)</f>
        <v>31</v>
      </c>
      <c r="S365" s="669" cm="1">
        <f t="array" aca="1" ref="S365" ca="1">_xlfn.IFS(
CONFIG!$B$8="W1",H365-N365,
CONFIG!$B$8="W2",H365-O365,
CONFIG!$B$8="W3",H365-P365,
CONFIG!$B$8="W4",H365-Q365,
CONFIG!$B$8="W5",H365-R365
)</f>
        <v>23.28</v>
      </c>
      <c r="T365" s="652">
        <f t="shared" ca="1" si="92"/>
        <v>0.75096774193548388</v>
      </c>
    </row>
    <row r="366" spans="3:20">
      <c r="C366" s="116" t="e">
        <f>INDEX(KB!C:D,MATCH(D366,KB!D:D,0),1)</f>
        <v>#N/A</v>
      </c>
      <c r="D366" s="116" t="s">
        <v>220</v>
      </c>
      <c r="E366" s="321" t="s">
        <v>57</v>
      </c>
      <c r="F366" s="116" t="e">
        <f t="shared" si="94"/>
        <v>#N/A</v>
      </c>
      <c r="G366" s="118" cm="1">
        <f t="array" ref="G366">IFERROR(INDEX(KB!$I$38:$AJ$50,MATCH(XL_DT_TD!E366,KB!$I$38:$I$50,0),MATCH(XL_DT_TD!D366,KB!$J$37:$AJ$37,0)+1),0)</f>
        <v>0</v>
      </c>
      <c r="H366" s="118" cm="1">
        <f t="array" ref="H366">IFERROR(INDEX(DATA_TĐ!$B$1:$AZ$19,MATCH(XL_DT_TD!E366,DATA_TĐ!B:B,0),MATCH(XL_DT_TD!C366,DATA_TĐ!$1:$1,0)-1),0)</f>
        <v>0</v>
      </c>
      <c r="I366" s="118">
        <f ca="1">H366/DAY(NOW()-1)*'Hieu Qua NV'!$J$1</f>
        <v>0</v>
      </c>
      <c r="J366" s="118">
        <f t="shared" si="97"/>
        <v>0</v>
      </c>
      <c r="K366" s="118">
        <f ca="1">J366/'Hieu Qua NV'!$J$2</f>
        <v>0</v>
      </c>
      <c r="L366" s="119" t="e">
        <f t="shared" ca="1" si="93"/>
        <v>#DIV/0!</v>
      </c>
      <c r="M366" s="118">
        <f ca="1">IFERROR(
INDEX(
KB!$I$55:$AJ$68,
MATCH(E366,KB!$I$55:$I$68,0),
MATCH(D366,KB!$I$55:$AJ$55,0)
),
0)</f>
        <v>0</v>
      </c>
      <c r="S366" s="669" cm="1">
        <f t="array" aca="1" ref="S366" ca="1">_xlfn.IFS(
CONFIG!$B$8="W1",H366-N366,
CONFIG!$B$8="W2",H366-O366,
CONFIG!$B$8="W3",H366-P366,
CONFIG!$B$8="W4",H366-Q366,
CONFIG!$B$8="W5",H366-R366
)</f>
        <v>0</v>
      </c>
      <c r="T366" s="652">
        <f t="shared" ca="1" si="92"/>
        <v>0</v>
      </c>
    </row>
    <row r="367" spans="3:20">
      <c r="C367" s="116" t="e">
        <f>INDEX(KB!C:D,MATCH(D367,KB!D:D,0),1)</f>
        <v>#N/A</v>
      </c>
      <c r="D367" s="116" t="s">
        <v>220</v>
      </c>
      <c r="E367" s="321" t="s">
        <v>60</v>
      </c>
      <c r="F367" s="116" t="e">
        <f t="shared" si="94"/>
        <v>#N/A</v>
      </c>
      <c r="G367" s="118" cm="1">
        <f t="array" ref="G367">IFERROR(INDEX(KB!$I$38:$AJ$50,MATCH(XL_DT_TD!E367,KB!$I$38:$I$50,0),MATCH(XL_DT_TD!D367,KB!$J$37:$AJ$37,0)+1),0)</f>
        <v>0</v>
      </c>
      <c r="H367" s="118" cm="1">
        <f t="array" ref="H367">IFERROR(INDEX(DATA_TĐ!$B$1:$AZ$19,MATCH(XL_DT_TD!E367,DATA_TĐ!B:B,0),MATCH(XL_DT_TD!C367,DATA_TĐ!$1:$1,0)-1),0)</f>
        <v>0</v>
      </c>
      <c r="I367" s="118">
        <f ca="1">H367/DAY(NOW()-1)*'Hieu Qua NV'!$J$1</f>
        <v>0</v>
      </c>
      <c r="J367" s="118">
        <f t="shared" si="97"/>
        <v>0</v>
      </c>
      <c r="K367" s="118">
        <f ca="1">J367/'Hieu Qua NV'!$J$2</f>
        <v>0</v>
      </c>
      <c r="L367" s="119" t="e">
        <f t="shared" ca="1" si="93"/>
        <v>#DIV/0!</v>
      </c>
      <c r="M367" s="118">
        <f ca="1">IFERROR(
INDEX(
KB!$I$55:$AJ$68,
MATCH(E367,KB!$I$55:$I$68,0),
MATCH(D367,KB!$I$55:$AJ$55,0)
),
0)</f>
        <v>0</v>
      </c>
      <c r="S367" s="669" cm="1">
        <f t="array" aca="1" ref="S367" ca="1">_xlfn.IFS(
CONFIG!$B$8="W1",H367-N367,
CONFIG!$B$8="W2",H367-O367,
CONFIG!$B$8="W3",H367-P367,
CONFIG!$B$8="W4",H367-Q367,
CONFIG!$B$8="W5",H367-R367
)</f>
        <v>0</v>
      </c>
      <c r="T367" s="652">
        <f t="shared" ca="1" si="92"/>
        <v>0</v>
      </c>
    </row>
    <row r="368" spans="3:20">
      <c r="C368" s="116" t="e">
        <f>INDEX(KB!C:D,MATCH(D368,KB!D:D,0),1)</f>
        <v>#N/A</v>
      </c>
      <c r="D368" s="116" t="s">
        <v>220</v>
      </c>
      <c r="E368" s="321" t="s">
        <v>15</v>
      </c>
      <c r="F368" s="116" t="e">
        <f t="shared" si="94"/>
        <v>#N/A</v>
      </c>
      <c r="G368" s="118" cm="1">
        <f t="array" ref="G368">IFERROR(INDEX(KB!$I$38:$AJ$50,MATCH(XL_DT_TD!E368,KB!$I$38:$I$50,0),MATCH(XL_DT_TD!D368,KB!$J$37:$AJ$37,0)+1),0)</f>
        <v>0</v>
      </c>
      <c r="H368" s="118" cm="1">
        <f t="array" ref="H368">IFERROR(INDEX(DATA_TĐ!$B$1:$AZ$19,MATCH(XL_DT_TD!E368,DATA_TĐ!B:B,0),MATCH(XL_DT_TD!C368,DATA_TĐ!$1:$1,0)-1),0)</f>
        <v>0</v>
      </c>
      <c r="I368" s="118">
        <f ca="1">H368/DAY(NOW()-1)*'Hieu Qua NV'!$J$1</f>
        <v>0</v>
      </c>
      <c r="J368" s="118">
        <f t="shared" si="97"/>
        <v>0</v>
      </c>
      <c r="K368" s="118">
        <f ca="1">J368/'Hieu Qua NV'!$J$2</f>
        <v>0</v>
      </c>
      <c r="L368" s="119" t="e">
        <f t="shared" ca="1" si="93"/>
        <v>#DIV/0!</v>
      </c>
      <c r="M368" s="118">
        <f ca="1">IFERROR(
INDEX(
KB!$I$55:$AJ$68,
MATCH(E368,KB!$I$55:$I$68,0),
MATCH(D368,KB!$I$55:$AJ$55,0)
),
0)</f>
        <v>0</v>
      </c>
      <c r="S368" s="669" cm="1">
        <f t="array" aca="1" ref="S368" ca="1">_xlfn.IFS(
CONFIG!$B$8="W1",H368-N368,
CONFIG!$B$8="W2",H368-O368,
CONFIG!$B$8="W3",H368-P368,
CONFIG!$B$8="W4",H368-Q368,
CONFIG!$B$8="W5",H368-R368
)</f>
        <v>0</v>
      </c>
      <c r="T368" s="652">
        <f t="shared" ca="1" si="92"/>
        <v>0</v>
      </c>
    </row>
    <row r="369" spans="3:20">
      <c r="C369" s="116" t="e">
        <f>INDEX(KB!C:D,MATCH(D369,KB!D:D,0),1)</f>
        <v>#N/A</v>
      </c>
      <c r="D369" s="116" t="s">
        <v>220</v>
      </c>
      <c r="E369" s="321" t="s">
        <v>151</v>
      </c>
      <c r="F369" s="116" t="e">
        <f t="shared" si="94"/>
        <v>#N/A</v>
      </c>
      <c r="G369" s="118" cm="1">
        <f t="array" ref="G369">IFERROR(INDEX(KB!$I$38:$AJ$50,MATCH(XL_DT_TD!E369,KB!$I$38:$I$50,0),MATCH(XL_DT_TD!D369,KB!$J$37:$AJ$37,0)+1),0)</f>
        <v>0</v>
      </c>
      <c r="H369" s="118" cm="1">
        <f t="array" ref="H369">IFERROR(INDEX(DATA_TĐ!$B$1:$AZ$19,MATCH(XL_DT_TD!E369,DATA_TĐ!B:B,0),MATCH(XL_DT_TD!C369,DATA_TĐ!$1:$1,0)-1),0)</f>
        <v>0</v>
      </c>
      <c r="I369" s="118">
        <f ca="1">H369/DAY(NOW()-1)*'Hieu Qua NV'!$J$1</f>
        <v>0</v>
      </c>
      <c r="J369" s="118">
        <f t="shared" si="97"/>
        <v>0</v>
      </c>
      <c r="K369" s="118">
        <f ca="1">J369/'Hieu Qua NV'!$J$2</f>
        <v>0</v>
      </c>
      <c r="L369" s="119" t="e">
        <f t="shared" ca="1" si="93"/>
        <v>#DIV/0!</v>
      </c>
      <c r="M369" s="118">
        <f ca="1">IFERROR(
INDEX(
KB!$I$55:$AJ$68,
MATCH(E369,KB!$I$55:$I$68,0),
MATCH(D369,KB!$I$55:$AJ$55,0)
),
0)</f>
        <v>0</v>
      </c>
      <c r="S369" s="669" cm="1">
        <f t="array" aca="1" ref="S369" ca="1">_xlfn.IFS(
CONFIG!$B$8="W1",H369-N369,
CONFIG!$B$8="W2",H369-O369,
CONFIG!$B$8="W3",H369-P369,
CONFIG!$B$8="W4",H369-Q369,
CONFIG!$B$8="W5",H369-R369
)</f>
        <v>0</v>
      </c>
      <c r="T369" s="652">
        <f t="shared" ca="1" si="92"/>
        <v>0</v>
      </c>
    </row>
    <row r="370" spans="3:20">
      <c r="C370" s="116" t="e">
        <f>INDEX(KB!C:D,MATCH(D370,KB!D:D,0),1)</f>
        <v>#N/A</v>
      </c>
      <c r="D370" s="116" t="s">
        <v>220</v>
      </c>
      <c r="E370" s="321" t="s">
        <v>293</v>
      </c>
      <c r="F370" s="116" t="e">
        <f t="shared" si="94"/>
        <v>#N/A</v>
      </c>
      <c r="G370" s="118" cm="1">
        <f t="array" ref="G370">IFERROR(INDEX(KB!$I$38:$AJ$50,MATCH(XL_DT_TD!E370,KB!$I$38:$I$50,0),MATCH(XL_DT_TD!D370,KB!$J$37:$AJ$37,0)+1),0)</f>
        <v>0</v>
      </c>
      <c r="H370" s="118" cm="1">
        <f t="array" ref="H370">IFERROR(INDEX(DATA_TĐ!$B$1:$AZ$19,MATCH(XL_DT_TD!E370,DATA_TĐ!B:B,0),MATCH(XL_DT_TD!C370,DATA_TĐ!$1:$1,0)-1),0)</f>
        <v>0</v>
      </c>
      <c r="I370" s="118">
        <f ca="1">H370/DAY(NOW()-1)*'Hieu Qua NV'!$J$1</f>
        <v>0</v>
      </c>
      <c r="J370" s="118">
        <f t="shared" si="97"/>
        <v>0</v>
      </c>
      <c r="K370" s="118">
        <f ca="1">J370/'Hieu Qua NV'!$J$2</f>
        <v>0</v>
      </c>
      <c r="L370" s="119" t="e">
        <f t="shared" ca="1" si="93"/>
        <v>#DIV/0!</v>
      </c>
      <c r="M370" s="118">
        <f ca="1">IFERROR(
INDEX(
KB!$I$55:$AJ$68,
MATCH(E370,KB!$I$55:$I$68,0),
MATCH(D370,KB!$I$55:$AJ$55,0)
),
0)</f>
        <v>0</v>
      </c>
      <c r="S370" s="669" cm="1">
        <f t="array" aca="1" ref="S370" ca="1">_xlfn.IFS(
CONFIG!$B$8="W1",H370-N370,
CONFIG!$B$8="W2",H370-O370,
CONFIG!$B$8="W3",H370-P370,
CONFIG!$B$8="W4",H370-Q370,
CONFIG!$B$8="W5",H370-R370
)</f>
        <v>0</v>
      </c>
      <c r="T370" s="652">
        <f t="shared" ca="1" si="92"/>
        <v>0</v>
      </c>
    </row>
    <row r="371" spans="3:20">
      <c r="C371" s="116" t="e">
        <f>INDEX(KB!C:D,MATCH(D371,KB!D:D,0),1)</f>
        <v>#N/A</v>
      </c>
      <c r="D371" s="116" t="s">
        <v>220</v>
      </c>
      <c r="E371" s="321" t="s">
        <v>433</v>
      </c>
      <c r="F371" s="116" t="e">
        <f t="shared" si="94"/>
        <v>#N/A</v>
      </c>
      <c r="G371" s="118" cm="1">
        <f t="array" ref="G371">IFERROR(INDEX(KB!$I$38:$AJ$50,MATCH(XL_DT_TD!E371,KB!$I$38:$I$50,0),MATCH(XL_DT_TD!D371,KB!$J$37:$AJ$37,0)+1),0)</f>
        <v>0</v>
      </c>
      <c r="H371" s="118" cm="1">
        <f t="array" ref="H371">IFERROR(INDEX(DATA_TĐ!$B$1:$AZ$19,MATCH(XL_DT_TD!E371,DATA_TĐ!B:B,0),MATCH(XL_DT_TD!C371,DATA_TĐ!$1:$1,0)-1),0)</f>
        <v>0</v>
      </c>
      <c r="I371" s="118">
        <f ca="1">H371/DAY(NOW()-1)*'Hieu Qua NV'!$J$1</f>
        <v>0</v>
      </c>
      <c r="J371" s="118">
        <f t="shared" si="97"/>
        <v>0</v>
      </c>
      <c r="K371" s="118">
        <f ca="1">J371/'Hieu Qua NV'!$J$2</f>
        <v>0</v>
      </c>
      <c r="L371" s="119" t="e">
        <f t="shared" ca="1" si="93"/>
        <v>#DIV/0!</v>
      </c>
      <c r="M371" s="118">
        <f ca="1">IFERROR(
INDEX(
KB!$I$55:$AJ$68,
MATCH(E371,KB!$I$55:$I$68,0),
MATCH(D371,KB!$I$55:$AJ$55,0)
),
0)</f>
        <v>0</v>
      </c>
      <c r="S371" s="669" cm="1">
        <f t="array" aca="1" ref="S371" ca="1">_xlfn.IFS(
CONFIG!$B$8="W1",H371-N371,
CONFIG!$B$8="W2",H371-O371,
CONFIG!$B$8="W3",H371-P371,
CONFIG!$B$8="W4",H371-Q371,
CONFIG!$B$8="W5",H371-R371
)</f>
        <v>0</v>
      </c>
      <c r="T371" s="652">
        <f t="shared" ca="1" si="92"/>
        <v>0</v>
      </c>
    </row>
    <row r="372" spans="3:20">
      <c r="C372" s="116" t="e">
        <f>INDEX(KB!C:D,MATCH(D372,KB!D:D,0),1)</f>
        <v>#N/A</v>
      </c>
      <c r="D372" s="116" t="s">
        <v>220</v>
      </c>
      <c r="E372" s="321" t="s">
        <v>56</v>
      </c>
      <c r="F372" s="116" t="e">
        <f t="shared" si="94"/>
        <v>#N/A</v>
      </c>
      <c r="G372" s="118" cm="1">
        <f t="array" ref="G372">IFERROR(INDEX(KB!$I$38:$AJ$50,MATCH(XL_DT_TD!E372,KB!$I$38:$I$50,0),MATCH(XL_DT_TD!D372,KB!$J$37:$AJ$37,0)+1),0)</f>
        <v>0</v>
      </c>
      <c r="H372" s="118" cm="1">
        <f t="array" ref="H372">IFERROR(INDEX(DATA_TĐ!$B$1:$AZ$19,MATCH(XL_DT_TD!E372,DATA_TĐ!B:B,0),MATCH(XL_DT_TD!C372,DATA_TĐ!$1:$1,0)-1),0)</f>
        <v>0</v>
      </c>
      <c r="I372" s="118">
        <f ca="1">H372/DAY(NOW()-1)*'Hieu Qua NV'!$J$1</f>
        <v>0</v>
      </c>
      <c r="J372" s="118">
        <f t="shared" si="97"/>
        <v>0</v>
      </c>
      <c r="K372" s="118">
        <f ca="1">J372/'Hieu Qua NV'!$J$2</f>
        <v>0</v>
      </c>
      <c r="L372" s="119" t="e">
        <f t="shared" ca="1" si="93"/>
        <v>#DIV/0!</v>
      </c>
      <c r="M372" s="118">
        <f ca="1">IFERROR(
INDEX(
KB!$I$55:$AJ$68,
MATCH(E372,KB!$I$55:$I$68,0),
MATCH(D372,KB!$I$55:$AJ$55,0)
),
0)</f>
        <v>0</v>
      </c>
      <c r="S372" s="669" cm="1">
        <f t="array" aca="1" ref="S372" ca="1">_xlfn.IFS(
CONFIG!$B$8="W1",H372-N372,
CONFIG!$B$8="W2",H372-O372,
CONFIG!$B$8="W3",H372-P372,
CONFIG!$B$8="W4",H372-Q372,
CONFIG!$B$8="W5",H372-R372
)</f>
        <v>0</v>
      </c>
      <c r="T372" s="652">
        <f t="shared" ca="1" si="92"/>
        <v>0</v>
      </c>
    </row>
    <row r="373" spans="3:20">
      <c r="C373" s="116" t="e">
        <f>INDEX(KB!C:D,MATCH(D373,KB!D:D,0),1)</f>
        <v>#N/A</v>
      </c>
      <c r="D373" s="116" t="s">
        <v>220</v>
      </c>
      <c r="E373" s="321" t="s">
        <v>530</v>
      </c>
      <c r="F373" s="116" t="e">
        <f t="shared" si="94"/>
        <v>#N/A</v>
      </c>
      <c r="G373" s="118" cm="1">
        <f t="array" ref="G373">IFERROR(INDEX(KB!$I$38:$AJ$50,MATCH(XL_DT_TD!E373,KB!$I$38:$I$50,0),MATCH(XL_DT_TD!D373,KB!$J$37:$AJ$37,0)+1),0)</f>
        <v>0</v>
      </c>
      <c r="H373" s="118" cm="1">
        <f t="array" ref="H373">IFERROR(INDEX(DATA_TĐ!$B$1:$AZ$19,MATCH(XL_DT_TD!E373,DATA_TĐ!B:B,0),MATCH(XL_DT_TD!C373,DATA_TĐ!$1:$1,0)-1),0)</f>
        <v>0</v>
      </c>
      <c r="I373" s="118">
        <f ca="1">H373/DAY(NOW()-1)*'Hieu Qua NV'!$J$1</f>
        <v>0</v>
      </c>
      <c r="J373" s="118">
        <f t="shared" si="97"/>
        <v>0</v>
      </c>
      <c r="K373" s="118">
        <f ca="1">J373/'Hieu Qua NV'!$J$2</f>
        <v>0</v>
      </c>
      <c r="L373" s="119" t="e">
        <f t="shared" ca="1" si="93"/>
        <v>#DIV/0!</v>
      </c>
      <c r="M373" s="118">
        <f ca="1">IFERROR(
INDEX(
KB!$I$55:$AJ$68,
MATCH(E373,KB!$I$55:$I$68,0),
MATCH(D373,KB!$I$55:$AJ$55,0)
),
0)</f>
        <v>0</v>
      </c>
      <c r="S373" s="669" cm="1">
        <f t="array" aca="1" ref="S373" ca="1">_xlfn.IFS(
CONFIG!$B$8="W1",H373-N373,
CONFIG!$B$8="W2",H373-O373,
CONFIG!$B$8="W3",H373-P373,
CONFIG!$B$8="W4",H373-Q373,
CONFIG!$B$8="W5",H373-R373
)</f>
        <v>0</v>
      </c>
      <c r="T373" s="652">
        <f t="shared" ca="1" si="92"/>
        <v>0</v>
      </c>
    </row>
    <row r="374" spans="3:20">
      <c r="C374" s="116" t="e">
        <f>INDEX(KB!C:D,MATCH(D374,KB!D:D,0),1)</f>
        <v>#N/A</v>
      </c>
      <c r="D374" s="116" t="s">
        <v>220</v>
      </c>
      <c r="E374" s="321" t="s">
        <v>560</v>
      </c>
      <c r="F374" s="116" t="e">
        <f t="shared" si="94"/>
        <v>#N/A</v>
      </c>
      <c r="G374" s="118" cm="1">
        <f t="array" ref="G374">IFERROR(INDEX(KB!$I$38:$AJ$50,MATCH(XL_DT_TD!E374,KB!$I$38:$I$50,0),MATCH(XL_DT_TD!D374,KB!$J$37:$AJ$37,0)+1),0)</f>
        <v>0</v>
      </c>
      <c r="H374" s="118" cm="1">
        <f t="array" ref="H374">IFERROR(INDEX(DATA_TĐ!$B$1:$AZ$19,MATCH(XL_DT_TD!E374,DATA_TĐ!B:B,0),MATCH(XL_DT_TD!C374,DATA_TĐ!$1:$1,0)-1),0)</f>
        <v>0</v>
      </c>
      <c r="I374" s="118">
        <f ca="1">H374/DAY(NOW()-1)*'Hieu Qua NV'!$J$1</f>
        <v>0</v>
      </c>
      <c r="J374" s="118">
        <f t="shared" si="97"/>
        <v>0</v>
      </c>
      <c r="K374" s="118">
        <f ca="1">J374/'Hieu Qua NV'!$J$2</f>
        <v>0</v>
      </c>
      <c r="L374" s="119" t="e">
        <f t="shared" ca="1" si="93"/>
        <v>#DIV/0!</v>
      </c>
      <c r="M374" s="118">
        <f ca="1">IFERROR(
INDEX(
KB!$I$55:$AJ$68,
MATCH(E374,KB!$I$55:$I$68,0),
MATCH(D374,KB!$I$55:$AJ$55,0)
),
0)</f>
        <v>0</v>
      </c>
      <c r="S374" s="669" cm="1">
        <f t="array" aca="1" ref="S374" ca="1">_xlfn.IFS(
CONFIG!$B$8="W1",H374-N374,
CONFIG!$B$8="W2",H374-O374,
CONFIG!$B$8="W3",H374-P374,
CONFIG!$B$8="W4",H374-Q374,
CONFIG!$B$8="W5",H374-R374
)</f>
        <v>0</v>
      </c>
      <c r="T374" s="652">
        <f t="shared" ca="1" si="92"/>
        <v>0</v>
      </c>
    </row>
    <row r="375" spans="3:20">
      <c r="C375" s="116" t="e">
        <f>INDEX(KB!C:D,MATCH(D375,KB!D:D,0),1)</f>
        <v>#N/A</v>
      </c>
      <c r="D375" s="116" t="s">
        <v>220</v>
      </c>
      <c r="E375" s="117" t="s">
        <v>281</v>
      </c>
      <c r="F375" s="116" t="e">
        <f t="shared" si="94"/>
        <v>#N/A</v>
      </c>
      <c r="G375" s="118" cm="1">
        <f t="array" ref="G375">IFERROR(INDEX(KB!$I$38:$AJ$50,MATCH(XL_DT_TD!E375,KB!$I$38:$I$50,0),MATCH(XL_DT_TD!D375,KB!$J$37:$AJ$37,0)+1),0)</f>
        <v>0</v>
      </c>
      <c r="H375" s="118" cm="1">
        <f t="array" ref="H375">IFERROR(
  INDEX(DATA_TĐ!$B$36:$Z$47,
    MATCH(TRUE, INDEX(TRIM(DATA_TĐ!$B$36:$B$45)=TRIM(E375),0),0),
    MATCH(TRUE, INDEX(TRIM(DATA_TĐ!$B$36:$Z$36)=TRIM(C375),0),0)
  ),
0)</f>
        <v>0</v>
      </c>
      <c r="I375" s="118">
        <f ca="1">H375/DAY(NOW()-1)*'Hieu Qua NV'!$J$1</f>
        <v>0</v>
      </c>
      <c r="J375" s="118">
        <f t="shared" si="97"/>
        <v>0</v>
      </c>
      <c r="K375" s="118">
        <f ca="1">J375/'Hieu Qua NV'!$J$2</f>
        <v>0</v>
      </c>
      <c r="L375" s="119" t="e">
        <f t="shared" ca="1" si="93"/>
        <v>#DIV/0!</v>
      </c>
      <c r="M375" s="118">
        <f ca="1">IFERROR(
INDEX(
KB!$I$55:$AJ$68,
MATCH(E375,KB!$I$55:$I$68,0),
MATCH(D375,KB!$I$55:$AJ$55,0)
),
0)</f>
        <v>0</v>
      </c>
      <c r="S375" s="669" cm="1">
        <f t="array" aca="1" ref="S375" ca="1">_xlfn.IFS(
CONFIG!$B$8="W1",H375-N375,
CONFIG!$B$8="W2",H375-O375,
CONFIG!$B$8="W3",H375-P375,
CONFIG!$B$8="W4",H375-Q375,
CONFIG!$B$8="W5",H375-R375
)</f>
        <v>0</v>
      </c>
      <c r="T375" s="652">
        <f t="shared" ca="1" si="92"/>
        <v>0</v>
      </c>
    </row>
    <row r="376" spans="3:20">
      <c r="C376" s="116" t="e">
        <f>INDEX(KB!C:D,MATCH(D376,KB!D:D,0),1)</f>
        <v>#N/A</v>
      </c>
      <c r="D376" s="116" t="s">
        <v>220</v>
      </c>
      <c r="E376" s="117" t="s">
        <v>282</v>
      </c>
      <c r="F376" s="116" t="e">
        <f t="shared" si="94"/>
        <v>#N/A</v>
      </c>
      <c r="G376" s="118" cm="1">
        <f t="array" ref="G376">IFERROR(INDEX(KB!$I$38:$AJ$50,MATCH(XL_DT_TD!E376,KB!$I$38:$I$50,0),MATCH(XL_DT_TD!D376,KB!$J$37:$AJ$37,0)+1),0)</f>
        <v>0</v>
      </c>
      <c r="H376" s="118" cm="1">
        <f t="array" ref="H376">IFERROR(
  INDEX(DATA_TĐ!$B$36:$Z$47,
    MATCH(TRUE, INDEX(TRIM(DATA_TĐ!$B$36:$B$45)=TRIM(E376),0),0),
    MATCH(TRUE, INDEX(TRIM(DATA_TĐ!$B$36:$Z$36)=TRIM(C376),0),0)
  ),
0)</f>
        <v>0</v>
      </c>
      <c r="I376" s="118">
        <f ca="1">H376/DAY(NOW()-1)*'Hieu Qua NV'!$J$1</f>
        <v>0</v>
      </c>
      <c r="J376" s="118">
        <f t="shared" si="97"/>
        <v>0</v>
      </c>
      <c r="K376" s="118">
        <f ca="1">J376/'Hieu Qua NV'!$J$2</f>
        <v>0</v>
      </c>
      <c r="L376" s="119" t="e">
        <f t="shared" ca="1" si="93"/>
        <v>#DIV/0!</v>
      </c>
      <c r="M376" s="118">
        <f ca="1">IFERROR(
INDEX(
KB!$I$55:$AJ$68,
MATCH(E376,KB!$I$55:$I$68,0),
MATCH(D376,KB!$I$55:$AJ$55,0)
),
0)</f>
        <v>0</v>
      </c>
      <c r="S376" s="669" cm="1">
        <f t="array" aca="1" ref="S376" ca="1">_xlfn.IFS(
CONFIG!$B$8="W1",H376-N376,
CONFIG!$B$8="W2",H376-O376,
CONFIG!$B$8="W3",H376-P376,
CONFIG!$B$8="W4",H376-Q376,
CONFIG!$B$8="W5",H376-R376
)</f>
        <v>0</v>
      </c>
      <c r="T376" s="652">
        <f t="shared" ca="1" si="92"/>
        <v>0</v>
      </c>
    </row>
    <row r="377" spans="3:20">
      <c r="C377" s="116" t="e">
        <f>INDEX(KB!C:D,MATCH(D377,KB!D:D,0),1)</f>
        <v>#N/A</v>
      </c>
      <c r="D377" s="116" t="s">
        <v>220</v>
      </c>
      <c r="E377" s="117" t="s">
        <v>283</v>
      </c>
      <c r="F377" s="116" t="e">
        <f t="shared" si="94"/>
        <v>#N/A</v>
      </c>
      <c r="G377" s="118" cm="1">
        <f t="array" ref="G377">IFERROR(INDEX(KB!$I$38:$AJ$50,MATCH(XL_DT_TD!E377,KB!$I$38:$I$50,0),MATCH(XL_DT_TD!D377,KB!$J$37:$AJ$37,0)+1),0)</f>
        <v>0</v>
      </c>
      <c r="H377" s="118" cm="1">
        <f t="array" ref="H377">IFERROR(
  INDEX(DATA_TĐ!$B$36:$Z$47,
    MATCH(TRUE, INDEX(TRIM(DATA_TĐ!$B$36:$B$45)=TRIM(E377),0),0),
    MATCH(TRUE, INDEX(TRIM(DATA_TĐ!$B$36:$Z$36)=TRIM(C377),0),0)
  ),
0)</f>
        <v>0</v>
      </c>
      <c r="I377" s="118">
        <f ca="1">H377/DAY(NOW()-1)*'Hieu Qua NV'!$J$1</f>
        <v>0</v>
      </c>
      <c r="J377" s="118">
        <f t="shared" si="97"/>
        <v>0</v>
      </c>
      <c r="K377" s="118">
        <f ca="1">J377/'Hieu Qua NV'!$J$2</f>
        <v>0</v>
      </c>
      <c r="L377" s="119" t="e">
        <f t="shared" ca="1" si="93"/>
        <v>#DIV/0!</v>
      </c>
      <c r="M377" s="118">
        <f ca="1">IFERROR(
INDEX(
KB!$I$55:$AJ$68,
MATCH(E377,KB!$I$55:$I$68,0),
MATCH(D377,KB!$I$55:$AJ$55,0)
),
0)</f>
        <v>0</v>
      </c>
      <c r="S377" s="669" cm="1">
        <f t="array" aca="1" ref="S377" ca="1">_xlfn.IFS(
CONFIG!$B$8="W1",H377-N377,
CONFIG!$B$8="W2",H377-O377,
CONFIG!$B$8="W3",H377-P377,
CONFIG!$B$8="W4",H377-Q377,
CONFIG!$B$8="W5",H377-R377
)</f>
        <v>0</v>
      </c>
      <c r="T377" s="652">
        <f t="shared" ca="1" si="92"/>
        <v>0</v>
      </c>
    </row>
    <row r="378" spans="3:20">
      <c r="C378" s="116" t="e">
        <f>INDEX(KB!C:D,MATCH(D378,KB!D:D,0),1)</f>
        <v>#N/A</v>
      </c>
      <c r="D378" s="116" t="s">
        <v>220</v>
      </c>
      <c r="E378" s="117" t="s">
        <v>284</v>
      </c>
      <c r="F378" s="116" t="e">
        <f t="shared" si="94"/>
        <v>#N/A</v>
      </c>
      <c r="G378" s="118" cm="1">
        <f t="array" ref="G378">IFERROR(INDEX(KB!$I$38:$AJ$50,MATCH(XL_DT_TD!E378,KB!$I$38:$I$50,0),MATCH(XL_DT_TD!D378,KB!$J$37:$AJ$37,0)+1),0)</f>
        <v>0</v>
      </c>
      <c r="H378" s="118" cm="1">
        <f t="array" ref="H378">IFERROR(
  INDEX(DATA_TĐ!$B$36:$Z$47,
    MATCH(TRUE, INDEX(TRIM(DATA_TĐ!$B$36:$B$45)=TRIM(E378),0),0),
    MATCH(TRUE, INDEX(TRIM(DATA_TĐ!$B$36:$Z$36)=TRIM(C378),0),0)
  ),
0)</f>
        <v>0</v>
      </c>
      <c r="I378" s="118">
        <f ca="1">H378/DAY(NOW()-1)*'Hieu Qua NV'!$J$1</f>
        <v>0</v>
      </c>
      <c r="J378" s="118">
        <f t="shared" si="97"/>
        <v>0</v>
      </c>
      <c r="K378" s="118">
        <f ca="1">J378/'Hieu Qua NV'!$J$2</f>
        <v>0</v>
      </c>
      <c r="L378" s="119" t="e">
        <f t="shared" ca="1" si="93"/>
        <v>#DIV/0!</v>
      </c>
      <c r="M378" s="118">
        <f ca="1">IFERROR(
INDEX(
KB!$I$55:$AJ$68,
MATCH(E378,KB!$I$55:$I$68,0),
MATCH(D378,KB!$I$55:$AJ$55,0)
),
0)</f>
        <v>0</v>
      </c>
      <c r="S378" s="669" cm="1">
        <f t="array" aca="1" ref="S378" ca="1">_xlfn.IFS(
CONFIG!$B$8="W1",H378-N378,
CONFIG!$B$8="W2",H378-O378,
CONFIG!$B$8="W3",H378-P378,
CONFIG!$B$8="W4",H378-Q378,
CONFIG!$B$8="W5",H378-R378
)</f>
        <v>0</v>
      </c>
      <c r="T378" s="652">
        <f t="shared" ca="1" si="92"/>
        <v>0</v>
      </c>
    </row>
    <row r="379" spans="3:20">
      <c r="C379" s="120" t="e">
        <f>INDEX(KB!C:D,MATCH(D379,KB!D:D,0),1)</f>
        <v>#N/A</v>
      </c>
      <c r="D379" s="120" t="s">
        <v>220</v>
      </c>
      <c r="E379" s="120" t="s">
        <v>20</v>
      </c>
      <c r="F379" s="121" t="e">
        <f t="shared" si="94"/>
        <v>#N/A</v>
      </c>
      <c r="G379" s="122">
        <f t="shared" ref="G379" si="105">SUM(G366:G377)</f>
        <v>0</v>
      </c>
      <c r="H379" s="122">
        <f t="shared" ref="H379:I379" si="106">SUM(H366:H377)</f>
        <v>0</v>
      </c>
      <c r="I379" s="122">
        <f t="shared" ca="1" si="106"/>
        <v>0</v>
      </c>
      <c r="J379" s="122">
        <f t="shared" si="97"/>
        <v>0</v>
      </c>
      <c r="K379" s="122">
        <f ca="1">J379/'Hieu Qua NV'!$J$2</f>
        <v>0</v>
      </c>
      <c r="L379" s="119" t="e">
        <f t="shared" ca="1" si="93"/>
        <v>#DIV/0!</v>
      </c>
      <c r="M379" s="122">
        <f t="shared" ref="M379" ca="1" si="107">SUM(M366:M377)</f>
        <v>0</v>
      </c>
      <c r="S379" s="669" cm="1">
        <f t="array" aca="1" ref="S379" ca="1">_xlfn.IFS(
CONFIG!$B$8="W1",H379-N379,
CONFIG!$B$8="W2",H379-O379,
CONFIG!$B$8="W3",H379-P379,
CONFIG!$B$8="W4",H379-Q379,
CONFIG!$B$8="W5",H379-R379
)</f>
        <v>0</v>
      </c>
      <c r="T379" s="652">
        <f t="shared" ca="1" si="92"/>
        <v>0</v>
      </c>
    </row>
    <row r="380" spans="3:20">
      <c r="C380" s="116" t="str">
        <f>INDEX(KB!C:D,MATCH(D380,KB!D:D,0),1)</f>
        <v>MÁY LỌC KHÔNG KHÍ - HÚT ẨM - HÚT BỤI</v>
      </c>
      <c r="D380" s="116" t="s">
        <v>232</v>
      </c>
      <c r="E380" s="321" t="s">
        <v>57</v>
      </c>
      <c r="F380" s="116" t="str">
        <f t="shared" si="94"/>
        <v>MÁY LỌC KHÔNG KHÍ - HÚT ẨM - HÚT BỤINguyễn Thị Ngọc - 54026</v>
      </c>
      <c r="G380" s="118" cm="1">
        <f t="array" ref="G380">IFERROR(INDEX(KB!$I$38:$AJ$50,MATCH(XL_DT_TD!E380,KB!$I$38:$I$50,0),MATCH(XL_DT_TD!D380,KB!$J$37:$AJ$37,0)+1),0)</f>
        <v>31.967999999999996</v>
      </c>
      <c r="H380" s="118" cm="1">
        <f t="array" ref="H380">IFERROR(INDEX(DATA_TĐ!$B$1:$AZ$19,MATCH(XL_DT_TD!E380,DATA_TĐ!B:B,0),MATCH(XL_DT_TD!C380,DATA_TĐ!$1:$1,0)-1),0)</f>
        <v>0</v>
      </c>
      <c r="I380" s="118">
        <f ca="1">H380/DAY(NOW()-1)*'Hieu Qua NV'!$J$1</f>
        <v>0</v>
      </c>
      <c r="J380" s="118">
        <f t="shared" si="97"/>
        <v>31.967999999999996</v>
      </c>
      <c r="K380" s="118">
        <f ca="1">J380/'Hieu Qua NV'!$J$2</f>
        <v>1.3899130434782607</v>
      </c>
      <c r="L380" s="119">
        <f t="shared" ca="1" si="93"/>
        <v>0</v>
      </c>
      <c r="M380" s="118">
        <f ca="1">IFERROR(
INDEX(
KB!$I$55:$AJ$68,
MATCH(E380,KB!$I$55:$I$68,0),
MATCH(D380,KB!$I$55:$AJ$55,0)
),
0)</f>
        <v>8</v>
      </c>
      <c r="S380" s="669" cm="1">
        <f t="array" aca="1" ref="S380" ca="1">_xlfn.IFS(
CONFIG!$B$8="W1",H380-N380,
CONFIG!$B$8="W2",H380-O380,
CONFIG!$B$8="W3",H380-P380,
CONFIG!$B$8="W4",H380-Q380,
CONFIG!$B$8="W5",H380-R380
)</f>
        <v>0</v>
      </c>
      <c r="T380" s="652">
        <f t="shared" ca="1" si="92"/>
        <v>0</v>
      </c>
    </row>
    <row r="381" spans="3:20">
      <c r="C381" s="116" t="str">
        <f>INDEX(KB!C:D,MATCH(D381,KB!D:D,0),1)</f>
        <v>MÁY LỌC KHÔNG KHÍ - HÚT ẨM - HÚT BỤI</v>
      </c>
      <c r="D381" s="116" t="s">
        <v>232</v>
      </c>
      <c r="E381" s="321" t="s">
        <v>60</v>
      </c>
      <c r="F381" s="116" t="str">
        <f t="shared" si="94"/>
        <v>MÁY LỌC KHÔNG KHÍ - HÚT ẨM - HÚT BỤINguyễn Viết Sơn - 94065</v>
      </c>
      <c r="G381" s="118" cm="1">
        <f t="array" ref="G381">IFERROR(INDEX(KB!$I$38:$AJ$50,MATCH(XL_DT_TD!E381,KB!$I$38:$I$50,0),MATCH(XL_DT_TD!D381,KB!$J$37:$AJ$37,0)+1),0)</f>
        <v>31.967999999999996</v>
      </c>
      <c r="H381" s="118" cm="1">
        <f t="array" ref="H381">IFERROR(INDEX(DATA_TĐ!$B$1:$AZ$19,MATCH(XL_DT_TD!E381,DATA_TĐ!B:B,0),MATCH(XL_DT_TD!C381,DATA_TĐ!$1:$1,0)-1),0)</f>
        <v>12.03</v>
      </c>
      <c r="I381" s="118">
        <f ca="1">H381/DAY(NOW()-1)*'Hieu Qua NV'!$J$1</f>
        <v>60.15</v>
      </c>
      <c r="J381" s="118">
        <f t="shared" si="97"/>
        <v>19.937999999999995</v>
      </c>
      <c r="K381" s="118">
        <f ca="1">J381/'Hieu Qua NV'!$J$2</f>
        <v>0.86686956521739111</v>
      </c>
      <c r="L381" s="119">
        <f t="shared" ca="1" si="93"/>
        <v>1.8815690690690692</v>
      </c>
      <c r="M381" s="118">
        <f ca="1">IFERROR(
INDEX(
KB!$I$55:$AJ$68,
MATCH(E381,KB!$I$55:$I$68,0),
MATCH(D381,KB!$I$55:$AJ$55,0)
),
0)</f>
        <v>8</v>
      </c>
      <c r="S381" s="669" cm="1">
        <f t="array" aca="1" ref="S381" ca="1">_xlfn.IFS(
CONFIG!$B$8="W1",H381-N381,
CONFIG!$B$8="W2",H381-O381,
CONFIG!$B$8="W3",H381-P381,
CONFIG!$B$8="W4",H381-Q381,
CONFIG!$B$8="W5",H381-R381
)</f>
        <v>12.03</v>
      </c>
      <c r="T381" s="652">
        <f t="shared" ca="1" si="92"/>
        <v>1.5037499999999999</v>
      </c>
    </row>
    <row r="382" spans="3:20">
      <c r="C382" s="116" t="str">
        <f>INDEX(KB!C:D,MATCH(D382,KB!D:D,0),1)</f>
        <v>MÁY LỌC KHÔNG KHÍ - HÚT ẨM - HÚT BỤI</v>
      </c>
      <c r="D382" s="116" t="s">
        <v>232</v>
      </c>
      <c r="E382" s="321" t="s">
        <v>15</v>
      </c>
      <c r="F382" s="116" t="str">
        <f t="shared" si="94"/>
        <v>MÁY LỌC KHÔNG KHÍ - HÚT ẨM - HÚT BỤINguyễn Trang Nhung - 25734</v>
      </c>
      <c r="G382" s="118" cm="1">
        <f t="array" ref="G382">IFERROR(INDEX(KB!$I$38:$AJ$50,MATCH(XL_DT_TD!E382,KB!$I$38:$I$50,0),MATCH(XL_DT_TD!D382,KB!$J$37:$AJ$37,0)+1),0)</f>
        <v>26.639999999999997</v>
      </c>
      <c r="H382" s="118" cm="1">
        <f t="array" ref="H382">IFERROR(INDEX(DATA_TĐ!$B$1:$AZ$19,MATCH(XL_DT_TD!E382,DATA_TĐ!B:B,0),MATCH(XL_DT_TD!C382,DATA_TĐ!$1:$1,0)-1),0)</f>
        <v>0</v>
      </c>
      <c r="I382" s="118">
        <f ca="1">H382/DAY(NOW()-1)*'Hieu Qua NV'!$J$1</f>
        <v>0</v>
      </c>
      <c r="J382" s="118">
        <f t="shared" si="97"/>
        <v>26.639999999999997</v>
      </c>
      <c r="K382" s="118">
        <f ca="1">J382/'Hieu Qua NV'!$J$2</f>
        <v>1.1582608695652172</v>
      </c>
      <c r="L382" s="119">
        <f t="shared" ca="1" si="93"/>
        <v>0</v>
      </c>
      <c r="M382" s="118">
        <f ca="1">IFERROR(
INDEX(
KB!$I$55:$AJ$68,
MATCH(E382,KB!$I$55:$I$68,0),
MATCH(D382,KB!$I$55:$AJ$55,0)
),
0)</f>
        <v>7</v>
      </c>
      <c r="S382" s="669" cm="1">
        <f t="array" aca="1" ref="S382" ca="1">_xlfn.IFS(
CONFIG!$B$8="W1",H382-N382,
CONFIG!$B$8="W2",H382-O382,
CONFIG!$B$8="W3",H382-P382,
CONFIG!$B$8="W4",H382-Q382,
CONFIG!$B$8="W5",H382-R382
)</f>
        <v>0</v>
      </c>
      <c r="T382" s="652">
        <f t="shared" ca="1" si="92"/>
        <v>0</v>
      </c>
    </row>
    <row r="383" spans="3:20">
      <c r="C383" s="116" t="str">
        <f>INDEX(KB!C:D,MATCH(D383,KB!D:D,0),1)</f>
        <v>MÁY LỌC KHÔNG KHÍ - HÚT ẨM - HÚT BỤI</v>
      </c>
      <c r="D383" s="116" t="s">
        <v>232</v>
      </c>
      <c r="E383" s="321" t="s">
        <v>151</v>
      </c>
      <c r="F383" s="116" t="str">
        <f t="shared" si="94"/>
        <v>MÁY LỌC KHÔNG KHÍ - HÚT ẨM - HÚT BỤITrần Huy Hoàn - 270828</v>
      </c>
      <c r="G383" s="118" cm="1">
        <f t="array" ref="G383">IFERROR(INDEX(KB!$I$38:$AJ$50,MATCH(XL_DT_TD!E383,KB!$I$38:$I$50,0),MATCH(XL_DT_TD!D383,KB!$J$37:$AJ$37,0)+1),0)</f>
        <v>26.639999999999997</v>
      </c>
      <c r="H383" s="118" cm="1">
        <f t="array" ref="H383">IFERROR(INDEX(DATA_TĐ!$B$1:$AZ$19,MATCH(XL_DT_TD!E383,DATA_TĐ!B:B,0),MATCH(XL_DT_TD!C383,DATA_TĐ!$1:$1,0)-1),0)</f>
        <v>0</v>
      </c>
      <c r="I383" s="118">
        <f ca="1">H383/DAY(NOW()-1)*'Hieu Qua NV'!$J$1</f>
        <v>0</v>
      </c>
      <c r="J383" s="118">
        <f t="shared" si="97"/>
        <v>26.639999999999997</v>
      </c>
      <c r="K383" s="118">
        <f ca="1">J383/'Hieu Qua NV'!$J$2</f>
        <v>1.1582608695652172</v>
      </c>
      <c r="L383" s="119">
        <f t="shared" ca="1" si="93"/>
        <v>0</v>
      </c>
      <c r="M383" s="118">
        <f ca="1">IFERROR(
INDEX(
KB!$I$55:$AJ$68,
MATCH(E383,KB!$I$55:$I$68,0),
MATCH(D383,KB!$I$55:$AJ$55,0)
),
0)</f>
        <v>7</v>
      </c>
      <c r="S383" s="669" cm="1">
        <f t="array" aca="1" ref="S383" ca="1">_xlfn.IFS(
CONFIG!$B$8="W1",H383-N383,
CONFIG!$B$8="W2",H383-O383,
CONFIG!$B$8="W3",H383-P383,
CONFIG!$B$8="W4",H383-Q383,
CONFIG!$B$8="W5",H383-R383
)</f>
        <v>0</v>
      </c>
      <c r="T383" s="652">
        <f t="shared" ca="1" si="92"/>
        <v>0</v>
      </c>
    </row>
    <row r="384" spans="3:20">
      <c r="C384" s="116" t="str">
        <f>INDEX(KB!C:D,MATCH(D384,KB!D:D,0),1)</f>
        <v>MÁY LỌC KHÔNG KHÍ - HÚT ẨM - HÚT BỤI</v>
      </c>
      <c r="D384" s="116" t="s">
        <v>232</v>
      </c>
      <c r="E384" s="321" t="s">
        <v>293</v>
      </c>
      <c r="F384" s="116" t="str">
        <f t="shared" si="94"/>
        <v>MÁY LỌC KHÔNG KHÍ - HÚT ẨM - HÚT BỤIPhạm Văn Thanh - 279935</v>
      </c>
      <c r="G384" s="118" cm="1">
        <f t="array" ref="G384">IFERROR(INDEX(KB!$I$38:$AJ$50,MATCH(XL_DT_TD!E384,KB!$I$38:$I$50,0),MATCH(XL_DT_TD!D384,KB!$J$37:$AJ$37,0)+1),0)</f>
        <v>17.760000000000002</v>
      </c>
      <c r="H384" s="118" cm="1">
        <f t="array" ref="H384">IFERROR(INDEX(DATA_TĐ!$B$1:$AZ$19,MATCH(XL_DT_TD!E384,DATA_TĐ!B:B,0),MATCH(XL_DT_TD!C384,DATA_TĐ!$1:$1,0)-1),0)</f>
        <v>0</v>
      </c>
      <c r="I384" s="118">
        <f ca="1">H384/DAY(NOW()-1)*'Hieu Qua NV'!$J$1</f>
        <v>0</v>
      </c>
      <c r="J384" s="118">
        <f t="shared" si="97"/>
        <v>17.760000000000002</v>
      </c>
      <c r="K384" s="118">
        <f ca="1">J384/'Hieu Qua NV'!$J$2</f>
        <v>0.77217391304347838</v>
      </c>
      <c r="L384" s="119">
        <f t="shared" ca="1" si="93"/>
        <v>0</v>
      </c>
      <c r="M384" s="118">
        <f ca="1">IFERROR(
INDEX(
KB!$I$55:$AJ$68,
MATCH(E384,KB!$I$55:$I$68,0),
MATCH(D384,KB!$I$55:$AJ$55,0)
),
0)</f>
        <v>4</v>
      </c>
      <c r="S384" s="669" cm="1">
        <f t="array" aca="1" ref="S384" ca="1">_xlfn.IFS(
CONFIG!$B$8="W1",H384-N384,
CONFIG!$B$8="W2",H384-O384,
CONFIG!$B$8="W3",H384-P384,
CONFIG!$B$8="W4",H384-Q384,
CONFIG!$B$8="W5",H384-R384
)</f>
        <v>0</v>
      </c>
      <c r="T384" s="652">
        <f t="shared" ca="1" si="92"/>
        <v>0</v>
      </c>
    </row>
    <row r="385" spans="3:20">
      <c r="C385" s="116" t="str">
        <f>INDEX(KB!C:D,MATCH(D385,KB!D:D,0),1)</f>
        <v>MÁY LỌC KHÔNG KHÍ - HÚT ẨM - HÚT BỤI</v>
      </c>
      <c r="D385" s="116" t="s">
        <v>232</v>
      </c>
      <c r="E385" s="321" t="s">
        <v>433</v>
      </c>
      <c r="F385" s="116" t="str">
        <f t="shared" si="94"/>
        <v>MÁY LỌC KHÔNG KHÍ - HÚT ẨM - HÚT BỤINguyễn Thành Đạt - 280855</v>
      </c>
      <c r="G385" s="118" cm="1">
        <f t="array" ref="G385">IFERROR(INDEX(KB!$I$38:$AJ$50,MATCH(XL_DT_TD!E385,KB!$I$38:$I$50,0),MATCH(XL_DT_TD!D385,KB!$J$37:$AJ$37,0)+1),0)</f>
        <v>17.760000000000002</v>
      </c>
      <c r="H385" s="118" cm="1">
        <f t="array" ref="H385">IFERROR(INDEX(DATA_TĐ!$B$1:$AZ$19,MATCH(XL_DT_TD!E385,DATA_TĐ!B:B,0),MATCH(XL_DT_TD!C385,DATA_TĐ!$1:$1,0)-1),0)</f>
        <v>0</v>
      </c>
      <c r="I385" s="118">
        <f ca="1">H385/DAY(NOW()-1)*'Hieu Qua NV'!$J$1</f>
        <v>0</v>
      </c>
      <c r="J385" s="118">
        <f t="shared" si="97"/>
        <v>17.760000000000002</v>
      </c>
      <c r="K385" s="118">
        <f ca="1">J385/'Hieu Qua NV'!$J$2</f>
        <v>0.77217391304347838</v>
      </c>
      <c r="L385" s="119">
        <f t="shared" ca="1" si="93"/>
        <v>0</v>
      </c>
      <c r="M385" s="118">
        <f ca="1">IFERROR(
INDEX(
KB!$I$55:$AJ$68,
MATCH(E385,KB!$I$55:$I$68,0),
MATCH(D385,KB!$I$55:$AJ$55,0)
),
0)</f>
        <v>4</v>
      </c>
      <c r="S385" s="669" cm="1">
        <f t="array" aca="1" ref="S385" ca="1">_xlfn.IFS(
CONFIG!$B$8="W1",H385-N385,
CONFIG!$B$8="W2",H385-O385,
CONFIG!$B$8="W3",H385-P385,
CONFIG!$B$8="W4",H385-Q385,
CONFIG!$B$8="W5",H385-R385
)</f>
        <v>0</v>
      </c>
      <c r="T385" s="652">
        <f t="shared" ca="1" si="92"/>
        <v>0</v>
      </c>
    </row>
    <row r="386" spans="3:20">
      <c r="C386" s="116" t="str">
        <f>INDEX(KB!C:D,MATCH(D386,KB!D:D,0),1)</f>
        <v>MÁY LỌC KHÔNG KHÍ - HÚT ẨM - HÚT BỤI</v>
      </c>
      <c r="D386" s="116" t="s">
        <v>232</v>
      </c>
      <c r="E386" s="321" t="s">
        <v>56</v>
      </c>
      <c r="F386" s="116" t="str">
        <f t="shared" si="94"/>
        <v>MÁY LỌC KHÔNG KHÍ - HÚT ẨM - HÚT BỤIĐỗ Văn Duân - 62025</v>
      </c>
      <c r="G386" s="118" cm="1">
        <f t="array" ref="G386">IFERROR(INDEX(KB!$I$38:$AJ$50,MATCH(XL_DT_TD!E386,KB!$I$38:$I$50,0),MATCH(XL_DT_TD!D386,KB!$J$37:$AJ$37,0)+1),0)</f>
        <v>39.071999999999996</v>
      </c>
      <c r="H386" s="118" cm="1">
        <f t="array" ref="H386">IFERROR(INDEX(DATA_TĐ!$B$1:$AZ$19,MATCH(XL_DT_TD!E386,DATA_TĐ!B:B,0),MATCH(XL_DT_TD!C386,DATA_TĐ!$1:$1,0)-1),0)</f>
        <v>3.58</v>
      </c>
      <c r="I386" s="118">
        <f ca="1">H386/DAY(NOW()-1)*'Hieu Qua NV'!$J$1</f>
        <v>17.899999999999999</v>
      </c>
      <c r="J386" s="118">
        <f t="shared" si="97"/>
        <v>35.491999999999997</v>
      </c>
      <c r="K386" s="118">
        <f ca="1">J386/'Hieu Qua NV'!$J$2</f>
        <v>1.5431304347826085</v>
      </c>
      <c r="L386" s="119">
        <f t="shared" ca="1" si="93"/>
        <v>0.45812858312858312</v>
      </c>
      <c r="M386" s="118">
        <f ca="1">IFERROR(
INDEX(
KB!$I$55:$AJ$68,
MATCH(E386,KB!$I$55:$I$68,0),
MATCH(D386,KB!$I$55:$AJ$55,0)
),
0)</f>
        <v>10</v>
      </c>
      <c r="S386" s="669" cm="1">
        <f t="array" aca="1" ref="S386" ca="1">_xlfn.IFS(
CONFIG!$B$8="W1",H386-N386,
CONFIG!$B$8="W2",H386-O386,
CONFIG!$B$8="W3",H386-P386,
CONFIG!$B$8="W4",H386-Q386,
CONFIG!$B$8="W5",H386-R386
)</f>
        <v>3.58</v>
      </c>
      <c r="T386" s="652">
        <f t="shared" ca="1" si="92"/>
        <v>0.35799999999999998</v>
      </c>
    </row>
    <row r="387" spans="3:20">
      <c r="C387" s="116" t="str">
        <f>INDEX(KB!C:D,MATCH(D387,KB!D:D,0),1)</f>
        <v>MÁY LỌC KHÔNG KHÍ - HÚT ẨM - HÚT BỤI</v>
      </c>
      <c r="D387" s="116" t="s">
        <v>232</v>
      </c>
      <c r="E387" s="321" t="s">
        <v>530</v>
      </c>
      <c r="F387" s="116" t="str">
        <f t="shared" si="94"/>
        <v>MÁY LỌC KHÔNG KHÍ - HÚT ẨM - HÚT BỤINhân viên Mới 1</v>
      </c>
      <c r="G387" s="118" cm="1">
        <f t="array" ref="G387">IFERROR(INDEX(KB!$I$38:$AJ$50,MATCH(XL_DT_TD!E387,KB!$I$38:$I$50,0),MATCH(XL_DT_TD!D387,KB!$J$37:$AJ$37,0)+1),0)</f>
        <v>0</v>
      </c>
      <c r="H387" s="118" cm="1">
        <f t="array" ref="H387">IFERROR(INDEX(DATA_TĐ!$B$1:$AZ$19,MATCH(XL_DT_TD!E387,DATA_TĐ!B:B,0),MATCH(XL_DT_TD!C387,DATA_TĐ!$1:$1,0)-1),0)</f>
        <v>0</v>
      </c>
      <c r="I387" s="118">
        <f ca="1">H387/DAY(NOW()-1)*'Hieu Qua NV'!$J$1</f>
        <v>0</v>
      </c>
      <c r="J387" s="118">
        <f t="shared" si="97"/>
        <v>0</v>
      </c>
      <c r="K387" s="118">
        <f ca="1">J387/'Hieu Qua NV'!$J$2</f>
        <v>0</v>
      </c>
      <c r="L387" s="119" t="e">
        <f t="shared" ca="1" si="93"/>
        <v>#DIV/0!</v>
      </c>
      <c r="M387" s="118">
        <f ca="1">IFERROR(
INDEX(
KB!$I$55:$AJ$68,
MATCH(E387,KB!$I$55:$I$68,0),
MATCH(D387,KB!$I$55:$AJ$55,0)
),
0)</f>
        <v>0</v>
      </c>
      <c r="S387" s="669" cm="1">
        <f t="array" aca="1" ref="S387" ca="1">_xlfn.IFS(
CONFIG!$B$8="W1",H387-N387,
CONFIG!$B$8="W2",H387-O387,
CONFIG!$B$8="W3",H387-P387,
CONFIG!$B$8="W4",H387-Q387,
CONFIG!$B$8="W5",H387-R387
)</f>
        <v>0</v>
      </c>
      <c r="T387" s="652">
        <f t="shared" ref="T387:T407" ca="1" si="108">IF(M387=0,0,S387/M387)</f>
        <v>0</v>
      </c>
    </row>
    <row r="388" spans="3:20">
      <c r="C388" s="116" t="str">
        <f>INDEX(KB!C:D,MATCH(D388,KB!D:D,0),1)</f>
        <v>MÁY LỌC KHÔNG KHÍ - HÚT ẨM - HÚT BỤI</v>
      </c>
      <c r="D388" s="116" t="s">
        <v>232</v>
      </c>
      <c r="E388" s="321" t="s">
        <v>560</v>
      </c>
      <c r="F388" s="116" t="str">
        <f t="shared" si="94"/>
        <v>MÁY LỌC KHÔNG KHÍ - HÚT ẨM - HÚT BỤINhân viên Mới 2</v>
      </c>
      <c r="G388" s="118" cm="1">
        <f t="array" ref="G388">IFERROR(INDEX(KB!$I$38:$AJ$50,MATCH(XL_DT_TD!E388,KB!$I$38:$I$50,0),MATCH(XL_DT_TD!D388,KB!$J$37:$AJ$37,0)+1),0)</f>
        <v>0</v>
      </c>
      <c r="H388" s="118" cm="1">
        <f t="array" ref="H388">IFERROR(INDEX(DATA_TĐ!$B$1:$AZ$19,MATCH(XL_DT_TD!E388,DATA_TĐ!B:B,0),MATCH(XL_DT_TD!C388,DATA_TĐ!$1:$1,0)-1),0)</f>
        <v>0</v>
      </c>
      <c r="I388" s="118">
        <f ca="1">H388/DAY(NOW()-1)*'Hieu Qua NV'!$J$1</f>
        <v>0</v>
      </c>
      <c r="J388" s="118">
        <f t="shared" si="97"/>
        <v>0</v>
      </c>
      <c r="K388" s="118">
        <f ca="1">J388/'Hieu Qua NV'!$J$2</f>
        <v>0</v>
      </c>
      <c r="L388" s="119" t="e">
        <f t="shared" ca="1" si="93"/>
        <v>#DIV/0!</v>
      </c>
      <c r="M388" s="118">
        <f ca="1">IFERROR(
INDEX(
KB!$I$55:$AJ$68,
MATCH(E388,KB!$I$55:$I$68,0),
MATCH(D388,KB!$I$55:$AJ$55,0)
),
0)</f>
        <v>0</v>
      </c>
      <c r="S388" s="669" cm="1">
        <f t="array" aca="1" ref="S388" ca="1">_xlfn.IFS(
CONFIG!$B$8="W1",H388-N388,
CONFIG!$B$8="W2",H388-O388,
CONFIG!$B$8="W3",H388-P388,
CONFIG!$B$8="W4",H388-Q388,
CONFIG!$B$8="W5",H388-R388
)</f>
        <v>0</v>
      </c>
      <c r="T388" s="652">
        <f t="shared" ca="1" si="108"/>
        <v>0</v>
      </c>
    </row>
    <row r="389" spans="3:20">
      <c r="C389" s="116" t="str">
        <f>INDEX(KB!C:D,MATCH(D389,KB!D:D,0),1)</f>
        <v>MÁY LỌC KHÔNG KHÍ - HÚT ẨM - HÚT BỤI</v>
      </c>
      <c r="D389" s="116" t="s">
        <v>232</v>
      </c>
      <c r="E389" s="117" t="s">
        <v>281</v>
      </c>
      <c r="F389" s="116" t="str">
        <f t="shared" si="94"/>
        <v>MÁY LỌC KHÔNG KHÍ - HÚT ẨM - HÚT BỤITrần Thị Nhung - 11082</v>
      </c>
      <c r="G389" s="118" cm="1">
        <f t="array" ref="G389">IFERROR(INDEX(KB!$I$38:$AJ$50,MATCH(XL_DT_TD!E389,KB!$I$38:$I$50,0),MATCH(XL_DT_TD!D389,KB!$J$37:$AJ$37,0)+1),0)</f>
        <v>0</v>
      </c>
      <c r="H389" s="118" cm="1">
        <f t="array" ref="H389">IFERROR(
  INDEX(DATA_TĐ!$B$36:$Z$47,
    MATCH(TRUE, INDEX(TRIM(DATA_TĐ!$B$36:$B$45)=TRIM(E389),0),0),
    MATCH(TRUE, INDEX(TRIM(DATA_TĐ!$B$36:$Z$36)=TRIM(C389),0),0)
  ),
0)</f>
        <v>0</v>
      </c>
      <c r="I389" s="118">
        <f ca="1">H389/DAY(NOW()-1)*'Hieu Qua NV'!$J$1</f>
        <v>0</v>
      </c>
      <c r="J389" s="118">
        <f t="shared" si="97"/>
        <v>0</v>
      </c>
      <c r="K389" s="118">
        <f ca="1">J389/'Hieu Qua NV'!$J$2</f>
        <v>0</v>
      </c>
      <c r="L389" s="119" t="e">
        <f t="shared" ca="1" si="93"/>
        <v>#DIV/0!</v>
      </c>
      <c r="M389" s="118">
        <f ca="1">IFERROR(
INDEX(
KB!$I$55:$AJ$68,
MATCH(E389,KB!$I$55:$I$68,0),
MATCH(D389,KB!$I$55:$AJ$55,0)
),
0)</f>
        <v>0</v>
      </c>
      <c r="S389" s="669" cm="1">
        <f t="array" aca="1" ref="S389" ca="1">_xlfn.IFS(
CONFIG!$B$8="W1",H389-N389,
CONFIG!$B$8="W2",H389-O389,
CONFIG!$B$8="W3",H389-P389,
CONFIG!$B$8="W4",H389-Q389,
CONFIG!$B$8="W5",H389-R389
)</f>
        <v>0</v>
      </c>
      <c r="T389" s="652">
        <f t="shared" ca="1" si="108"/>
        <v>0</v>
      </c>
    </row>
    <row r="390" spans="3:20">
      <c r="C390" s="116" t="str">
        <f>INDEX(KB!C:D,MATCH(D390,KB!D:D,0),1)</f>
        <v>MÁY LỌC KHÔNG KHÍ - HÚT ẨM - HÚT BỤI</v>
      </c>
      <c r="D390" s="116" t="s">
        <v>232</v>
      </c>
      <c r="E390" s="117" t="s">
        <v>282</v>
      </c>
      <c r="F390" s="116" t="str">
        <f t="shared" si="94"/>
        <v>MÁY LỌC KHÔNG KHÍ - HÚT ẨM - HÚT BỤINguyễn Thị Phương Oanh - 164808</v>
      </c>
      <c r="G390" s="118" cm="1">
        <f t="array" ref="G390">IFERROR(INDEX(KB!$I$38:$AJ$50,MATCH(XL_DT_TD!E390,KB!$I$38:$I$50,0),MATCH(XL_DT_TD!D390,KB!$J$37:$AJ$37,0)+1),0)</f>
        <v>0</v>
      </c>
      <c r="H390" s="118" cm="1">
        <f t="array" ref="H390">IFERROR(
  INDEX(DATA_TĐ!$B$36:$Z$47,
    MATCH(TRUE, INDEX(TRIM(DATA_TĐ!$B$36:$B$45)=TRIM(E390),0),0),
    MATCH(TRUE, INDEX(TRIM(DATA_TĐ!$B$36:$Z$36)=TRIM(C390),0),0)
  ),
0)</f>
        <v>0</v>
      </c>
      <c r="I390" s="118">
        <f ca="1">H390/DAY(NOW()-1)*'Hieu Qua NV'!$J$1</f>
        <v>0</v>
      </c>
      <c r="J390" s="118">
        <f t="shared" si="97"/>
        <v>0</v>
      </c>
      <c r="K390" s="118">
        <f ca="1">J390/'Hieu Qua NV'!$J$2</f>
        <v>0</v>
      </c>
      <c r="L390" s="119" t="e">
        <f t="shared" ca="1" si="93"/>
        <v>#DIV/0!</v>
      </c>
      <c r="M390" s="118">
        <f ca="1">IFERROR(
INDEX(
KB!$I$55:$AJ$68,
MATCH(E390,KB!$I$55:$I$68,0),
MATCH(D390,KB!$I$55:$AJ$55,0)
),
0)</f>
        <v>0</v>
      </c>
      <c r="S390" s="669" cm="1">
        <f t="array" aca="1" ref="S390" ca="1">_xlfn.IFS(
CONFIG!$B$8="W1",H390-N390,
CONFIG!$B$8="W2",H390-O390,
CONFIG!$B$8="W3",H390-P390,
CONFIG!$B$8="W4",H390-Q390,
CONFIG!$B$8="W5",H390-R390
)</f>
        <v>0</v>
      </c>
      <c r="T390" s="652">
        <f t="shared" ca="1" si="108"/>
        <v>0</v>
      </c>
    </row>
    <row r="391" spans="3:20">
      <c r="C391" s="116" t="str">
        <f>INDEX(KB!C:D,MATCH(D391,KB!D:D,0),1)</f>
        <v>MÁY LỌC KHÔNG KHÍ - HÚT ẨM - HÚT BỤI</v>
      </c>
      <c r="D391" s="116" t="s">
        <v>232</v>
      </c>
      <c r="E391" s="117" t="s">
        <v>283</v>
      </c>
      <c r="F391" s="116" t="str">
        <f t="shared" si="94"/>
        <v>MÁY LỌC KHÔNG KHÍ - HÚT ẨM - HÚT BỤINguyễn Anh Tài - 269055</v>
      </c>
      <c r="G391" s="118" cm="1">
        <f t="array" ref="G391">IFERROR(INDEX(KB!$I$38:$AJ$50,MATCH(XL_DT_TD!E391,KB!$I$38:$I$50,0),MATCH(XL_DT_TD!D391,KB!$J$37:$AJ$37,0)+1),0)</f>
        <v>0</v>
      </c>
      <c r="H391" s="118" cm="1">
        <f t="array" ref="H391">IFERROR(
  INDEX(DATA_TĐ!$B$36:$Z$47,
    MATCH(TRUE, INDEX(TRIM(DATA_TĐ!$B$36:$B$45)=TRIM(E391),0),0),
    MATCH(TRUE, INDEX(TRIM(DATA_TĐ!$B$36:$Z$36)=TRIM(C391),0),0)
  ),
0)</f>
        <v>0</v>
      </c>
      <c r="I391" s="118">
        <f ca="1">H391/DAY(NOW()-1)*'Hieu Qua NV'!$J$1</f>
        <v>0</v>
      </c>
      <c r="J391" s="118">
        <f t="shared" si="97"/>
        <v>0</v>
      </c>
      <c r="K391" s="118">
        <f ca="1">J391/'Hieu Qua NV'!$J$2</f>
        <v>0</v>
      </c>
      <c r="L391" s="119" t="e">
        <f t="shared" ca="1" si="93"/>
        <v>#DIV/0!</v>
      </c>
      <c r="M391" s="118">
        <f ca="1">IFERROR(
INDEX(
KB!$I$55:$AJ$68,
MATCH(E391,KB!$I$55:$I$68,0),
MATCH(D391,KB!$I$55:$AJ$55,0)
),
0)</f>
        <v>0</v>
      </c>
      <c r="S391" s="669" cm="1">
        <f t="array" aca="1" ref="S391" ca="1">_xlfn.IFS(
CONFIG!$B$8="W1",H391-N391,
CONFIG!$B$8="W2",H391-O391,
CONFIG!$B$8="W3",H391-P391,
CONFIG!$B$8="W4",H391-Q391,
CONFIG!$B$8="W5",H391-R391
)</f>
        <v>0</v>
      </c>
      <c r="T391" s="652">
        <f t="shared" ca="1" si="108"/>
        <v>0</v>
      </c>
    </row>
    <row r="392" spans="3:20" ht="18" customHeight="1">
      <c r="C392" s="116" t="str">
        <f>INDEX(KB!C:D,MATCH(D392,KB!D:D,0),1)</f>
        <v>MÁY LỌC KHÔNG KHÍ - HÚT ẨM - HÚT BỤI</v>
      </c>
      <c r="D392" s="116" t="s">
        <v>232</v>
      </c>
      <c r="E392" s="117" t="s">
        <v>284</v>
      </c>
      <c r="F392" s="116" t="str">
        <f t="shared" si="94"/>
        <v>MÁY LỌC KHÔNG KHÍ - HÚT ẨM - HÚT BỤILê Văn Hợp - 279884</v>
      </c>
      <c r="G392" s="118" cm="1">
        <f t="array" ref="G392">IFERROR(INDEX(KB!$I$38:$AJ$50,MATCH(XL_DT_TD!E392,KB!$I$38:$I$50,0),MATCH(XL_DT_TD!D392,KB!$J$37:$AJ$37,0)+1),0)</f>
        <v>0</v>
      </c>
      <c r="H392" s="118" cm="1">
        <f t="array" ref="H392">IFERROR(
  INDEX(DATA_TĐ!$B$36:$Z$47,
    MATCH(TRUE, INDEX(TRIM(DATA_TĐ!$B$36:$B$45)=TRIM(E392),0),0),
    MATCH(TRUE, INDEX(TRIM(DATA_TĐ!$B$36:$Z$36)=TRIM(C392),0),0)
  ),
0)</f>
        <v>0</v>
      </c>
      <c r="I392" s="118">
        <f ca="1">H392/DAY(NOW()-1)*'Hieu Qua NV'!$J$1</f>
        <v>0</v>
      </c>
      <c r="J392" s="118">
        <f t="shared" si="97"/>
        <v>0</v>
      </c>
      <c r="K392" s="118">
        <f ca="1">J392/'Hieu Qua NV'!$J$2</f>
        <v>0</v>
      </c>
      <c r="L392" s="119" t="e">
        <f t="shared" ca="1" si="93"/>
        <v>#DIV/0!</v>
      </c>
      <c r="M392" s="118">
        <f ca="1">IFERROR(
INDEX(
KB!$I$55:$AJ$68,
MATCH(E392,KB!$I$55:$I$68,0),
MATCH(D392,KB!$I$55:$AJ$55,0)
),
0)</f>
        <v>0</v>
      </c>
      <c r="S392" s="669" cm="1">
        <f t="array" aca="1" ref="S392" ca="1">_xlfn.IFS(
CONFIG!$B$8="W1",H392-N392,
CONFIG!$B$8="W2",H392-O392,
CONFIG!$B$8="W3",H392-P392,
CONFIG!$B$8="W4",H392-Q392,
CONFIG!$B$8="W5",H392-R392
)</f>
        <v>0</v>
      </c>
      <c r="T392" s="652">
        <f t="shared" ca="1" si="108"/>
        <v>0</v>
      </c>
    </row>
    <row r="393" spans="3:20">
      <c r="C393" s="120" t="str">
        <f>INDEX(KB!C:D,MATCH(D393,KB!D:D,0),1)</f>
        <v>MÁY LỌC KHÔNG KHÍ - HÚT ẨM - HÚT BỤI</v>
      </c>
      <c r="D393" s="120" t="s">
        <v>232</v>
      </c>
      <c r="E393" s="120" t="s">
        <v>20</v>
      </c>
      <c r="F393" s="121" t="str">
        <f t="shared" si="94"/>
        <v>MÁY LỌC KHÔNG KHÍ - HÚT ẨM - HÚT BỤITổng</v>
      </c>
      <c r="G393" s="122">
        <f t="shared" ref="G393" si="109">SUM(G380:G391)</f>
        <v>191.80799999999999</v>
      </c>
      <c r="H393" s="122">
        <f t="shared" ref="H393:I393" si="110">SUM(H380:H391)</f>
        <v>15.61</v>
      </c>
      <c r="I393" s="122">
        <f t="shared" ca="1" si="110"/>
        <v>78.05</v>
      </c>
      <c r="J393" s="122">
        <f t="shared" si="97"/>
        <v>176.19799999999998</v>
      </c>
      <c r="K393" s="122">
        <f ca="1">J393/'Hieu Qua NV'!$J$2</f>
        <v>7.6607826086956514</v>
      </c>
      <c r="L393" s="119">
        <f t="shared" ca="1" si="93"/>
        <v>0.40691733400066732</v>
      </c>
      <c r="M393" s="122">
        <f t="shared" ref="M393" ca="1" si="111">SUM(M380:M391)</f>
        <v>48</v>
      </c>
      <c r="S393" s="669" cm="1">
        <f t="array" aca="1" ref="S393" ca="1">_xlfn.IFS(
CONFIG!$B$8="W1",H393-N393,
CONFIG!$B$8="W2",H393-O393,
CONFIG!$B$8="W3",H393-P393,
CONFIG!$B$8="W4",H393-Q393,
CONFIG!$B$8="W5",H393-R393
)</f>
        <v>15.61</v>
      </c>
      <c r="T393" s="652">
        <f t="shared" ca="1" si="108"/>
        <v>0.32520833333333332</v>
      </c>
    </row>
    <row r="394" spans="3:20">
      <c r="C394" s="116" t="str">
        <f>INDEX(KB!C:D,MATCH(D394,KB!D:D,0),1)</f>
        <v>Vivo</v>
      </c>
      <c r="D394" s="116" t="s">
        <v>104</v>
      </c>
      <c r="E394" s="321" t="s">
        <v>57</v>
      </c>
      <c r="F394" s="116" t="str">
        <f>C394&amp;E394</f>
        <v>VivoNguyễn Thị Ngọc - 54026</v>
      </c>
      <c r="G394" s="118" cm="1">
        <f t="array" ref="G394">IFERROR(INDEX(KB!$I$38:$AJ$50,MATCH(XL_DT_TD!E394,KB!$I$38:$I$50,0),MATCH(XL_DT_TD!D394,KB!$J$37:$AJ$37,0)+1),0)</f>
        <v>2.9340000000000002</v>
      </c>
      <c r="H394" s="118" cm="1">
        <f t="array" ref="H394">IFERROR(INDEX(DATA_TĐ!$B$1:$AZ$19,MATCH(XL_DT_TD!E394,DATA_TĐ!B:B,0),MATCH(XL_DT_TD!C394,DATA_TĐ!$1:$1,0)-1),0)</f>
        <v>0</v>
      </c>
      <c r="I394" s="118">
        <f ca="1">H394/DAY(NOW()-1)*'Hieu Qua NV'!$J$1</f>
        <v>0</v>
      </c>
      <c r="J394" s="118">
        <f>G394-H394</f>
        <v>2.9340000000000002</v>
      </c>
      <c r="K394" s="118">
        <f ca="1">J394/'Hieu Qua NV'!$J$2</f>
        <v>0.12756521739130436</v>
      </c>
      <c r="L394" s="119">
        <f t="shared" ref="L394:L396" ca="1" si="112">I394/G394</f>
        <v>0</v>
      </c>
      <c r="M394" s="118">
        <f ca="1">IFERROR(
INDEX(
KB!$I$55:$AJ$68,
MATCH(E394,KB!$I$55:$I$68,0),
MATCH(D394,KB!$I$55:$AJ$55,0)
),
0)</f>
        <v>1</v>
      </c>
      <c r="S394" s="669" cm="1">
        <f t="array" aca="1" ref="S394" ca="1">_xlfn.IFS(
CONFIG!$B$8="W1",H394-N394,
CONFIG!$B$8="W2",H394-O394,
CONFIG!$B$8="W3",H394-P394,
CONFIG!$B$8="W4",H394-Q394,
CONFIG!$B$8="W5",H394-R394
)</f>
        <v>0</v>
      </c>
      <c r="T394" s="652">
        <f t="shared" ca="1" si="108"/>
        <v>0</v>
      </c>
    </row>
    <row r="395" spans="3:20">
      <c r="C395" s="116" t="str">
        <f>INDEX(KB!C:D,MATCH(D395,KB!D:D,0),1)</f>
        <v>Vivo</v>
      </c>
      <c r="D395" s="116" t="s">
        <v>104</v>
      </c>
      <c r="E395" s="321" t="s">
        <v>60</v>
      </c>
      <c r="F395" s="116" t="str">
        <f t="shared" ref="F395:F405" si="113">C395&amp;E395</f>
        <v>VivoNguyễn Viết Sơn - 94065</v>
      </c>
      <c r="G395" s="118" cm="1">
        <f t="array" ref="G395">IFERROR(INDEX(KB!$I$38:$AJ$50,MATCH(XL_DT_TD!E395,KB!$I$38:$I$50,0),MATCH(XL_DT_TD!D395,KB!$J$37:$AJ$37,0)+1),0)</f>
        <v>2.9340000000000002</v>
      </c>
      <c r="H395" s="118" cm="1">
        <f t="array" ref="H395">IFERROR(INDEX(DATA_TĐ!$B$1:$AZ$19,MATCH(XL_DT_TD!E395,DATA_TĐ!B:B,0),MATCH(XL_DT_TD!C395,DATA_TĐ!$1:$1,0)-1),0)</f>
        <v>0</v>
      </c>
      <c r="I395" s="118">
        <f ca="1">H395/DAY(NOW()-1)*'Hieu Qua NV'!$J$1</f>
        <v>0</v>
      </c>
      <c r="J395" s="118">
        <f t="shared" ref="J395:J403" si="114">G395-H395</f>
        <v>2.9340000000000002</v>
      </c>
      <c r="K395" s="118">
        <f ca="1">J395/'Hieu Qua NV'!$J$2</f>
        <v>0.12756521739130436</v>
      </c>
      <c r="L395" s="119">
        <f t="shared" ca="1" si="112"/>
        <v>0</v>
      </c>
      <c r="M395" s="118">
        <f ca="1">IFERROR(
INDEX(
KB!$I$55:$AJ$68,
MATCH(E395,KB!$I$55:$I$68,0),
MATCH(D395,KB!$I$55:$AJ$55,0)
),
0)</f>
        <v>1</v>
      </c>
      <c r="S395" s="669" cm="1">
        <f t="array" aca="1" ref="S395" ca="1">_xlfn.IFS(
CONFIG!$B$8="W1",H395-N395,
CONFIG!$B$8="W2",H395-O395,
CONFIG!$B$8="W3",H395-P395,
CONFIG!$B$8="W4",H395-Q395,
CONFIG!$B$8="W5",H395-R395
)</f>
        <v>0</v>
      </c>
      <c r="T395" s="652">
        <f t="shared" ca="1" si="108"/>
        <v>0</v>
      </c>
    </row>
    <row r="396" spans="3:20">
      <c r="C396" s="116" t="str">
        <f>INDEX(KB!C:D,MATCH(D396,KB!D:D,0),1)</f>
        <v>Vivo</v>
      </c>
      <c r="D396" s="116" t="s">
        <v>104</v>
      </c>
      <c r="E396" s="321" t="s">
        <v>15</v>
      </c>
      <c r="F396" s="116" t="str">
        <f t="shared" si="113"/>
        <v>VivoNguyễn Trang Nhung - 25734</v>
      </c>
      <c r="G396" s="118" cm="1">
        <f t="array" ref="G396">IFERROR(INDEX(KB!$I$38:$AJ$50,MATCH(XL_DT_TD!E396,KB!$I$38:$I$50,0),MATCH(XL_DT_TD!D396,KB!$J$37:$AJ$37,0)+1),0)</f>
        <v>2.9340000000000002</v>
      </c>
      <c r="H396" s="118" cm="1">
        <f t="array" ref="H396">IFERROR(INDEX(DATA_TĐ!$B$1:$AZ$19,MATCH(XL_DT_TD!E396,DATA_TĐ!B:B,0),MATCH(XL_DT_TD!C396,DATA_TĐ!$1:$1,0)-1),0)</f>
        <v>0</v>
      </c>
      <c r="I396" s="118">
        <f ca="1">H396/DAY(NOW()-1)*'Hieu Qua NV'!$J$1</f>
        <v>0</v>
      </c>
      <c r="J396" s="118">
        <f t="shared" si="114"/>
        <v>2.9340000000000002</v>
      </c>
      <c r="K396" s="118">
        <f ca="1">J396/'Hieu Qua NV'!$J$2</f>
        <v>0.12756521739130436</v>
      </c>
      <c r="L396" s="119">
        <f t="shared" ca="1" si="112"/>
        <v>0</v>
      </c>
      <c r="M396" s="118">
        <f ca="1">IFERROR(
INDEX(
KB!$I$55:$AJ$68,
MATCH(E396,KB!$I$55:$I$68,0),
MATCH(D396,KB!$I$55:$AJ$55,0)
),
0)</f>
        <v>1</v>
      </c>
      <c r="S396" s="669" cm="1">
        <f t="array" aca="1" ref="S396" ca="1">_xlfn.IFS(
CONFIG!$B$8="W1",H396-N396,
CONFIG!$B$8="W2",H396-O396,
CONFIG!$B$8="W3",H396-P396,
CONFIG!$B$8="W4",H396-Q396,
CONFIG!$B$8="W5",H396-R396
)</f>
        <v>0</v>
      </c>
      <c r="T396" s="652">
        <f t="shared" ca="1" si="108"/>
        <v>0</v>
      </c>
    </row>
    <row r="397" spans="3:20">
      <c r="C397" s="116" t="str">
        <f>INDEX(KB!C:D,MATCH(D397,KB!D:D,0),1)</f>
        <v>Vivo</v>
      </c>
      <c r="D397" s="116" t="s">
        <v>104</v>
      </c>
      <c r="E397" s="321" t="s">
        <v>151</v>
      </c>
      <c r="F397" s="116" t="str">
        <f t="shared" si="113"/>
        <v>VivoTrần Huy Hoàn - 270828</v>
      </c>
      <c r="G397" s="118" cm="1">
        <f t="array" ref="G397">IFERROR(INDEX(KB!$I$38:$AJ$50,MATCH(XL_DT_TD!E397,KB!$I$38:$I$50,0),MATCH(XL_DT_TD!D397,KB!$J$37:$AJ$37,0)+1),0)</f>
        <v>3.5860000000000003</v>
      </c>
      <c r="H397" s="118" cm="1">
        <f t="array" ref="H397">IFERROR(INDEX(DATA_TĐ!$B$1:$AZ$19,MATCH(XL_DT_TD!E397,DATA_TĐ!B:B,0),MATCH(XL_DT_TD!C397,DATA_TĐ!$1:$1,0)-1),0)</f>
        <v>0</v>
      </c>
      <c r="I397" s="118">
        <f ca="1">H397/DAY(NOW()-1)*'Hieu Qua NV'!$J$1</f>
        <v>0</v>
      </c>
      <c r="J397" s="118">
        <f t="shared" ref="J397:J402" si="115">G397-H397</f>
        <v>3.5860000000000003</v>
      </c>
      <c r="K397" s="118">
        <f ca="1">J397/'Hieu Qua NV'!$J$2</f>
        <v>0.15591304347826088</v>
      </c>
      <c r="L397" s="119">
        <f t="shared" ref="L397:L402" ca="1" si="116">I397/G397</f>
        <v>0</v>
      </c>
      <c r="M397" s="118">
        <f ca="1">IFERROR(
INDEX(
KB!$I$55:$AJ$68,
MATCH(E397,KB!$I$55:$I$68,0),
MATCH(D397,KB!$I$55:$AJ$55,0)
),
0)</f>
        <v>1</v>
      </c>
      <c r="S397" s="669" cm="1">
        <f t="array" aca="1" ref="S397" ca="1">_xlfn.IFS(
CONFIG!$B$8="W1",H397-N397,
CONFIG!$B$8="W2",H397-O397,
CONFIG!$B$8="W3",H397-P397,
CONFIG!$B$8="W4",H397-Q397,
CONFIG!$B$8="W5",H397-R397
)</f>
        <v>0</v>
      </c>
      <c r="T397" s="652">
        <f t="shared" ca="1" si="108"/>
        <v>0</v>
      </c>
    </row>
    <row r="398" spans="3:20">
      <c r="C398" s="116" t="str">
        <f>INDEX(KB!C:D,MATCH(D398,KB!D:D,0),1)</f>
        <v>Vivo</v>
      </c>
      <c r="D398" s="116" t="s">
        <v>104</v>
      </c>
      <c r="E398" s="321" t="s">
        <v>293</v>
      </c>
      <c r="F398" s="116" t="str">
        <f t="shared" si="113"/>
        <v>VivoPhạm Văn Thanh - 279935</v>
      </c>
      <c r="G398" s="118" cm="1">
        <f t="array" ref="G398">IFERROR(INDEX(KB!$I$38:$AJ$50,MATCH(XL_DT_TD!E398,KB!$I$38:$I$50,0),MATCH(XL_DT_TD!D398,KB!$J$37:$AJ$37,0)+1),0)</f>
        <v>2.4449999999999998</v>
      </c>
      <c r="H398" s="118" cm="1">
        <f t="array" ref="H398">IFERROR(INDEX(DATA_TĐ!$B$1:$AZ$19,MATCH(XL_DT_TD!E398,DATA_TĐ!B:B,0),MATCH(XL_DT_TD!C398,DATA_TĐ!$1:$1,0)-1),0)</f>
        <v>3.18</v>
      </c>
      <c r="I398" s="118">
        <f ca="1">H398/DAY(NOW()-1)*'Hieu Qua NV'!$J$1</f>
        <v>15.9</v>
      </c>
      <c r="J398" s="118">
        <f t="shared" si="115"/>
        <v>-0.73500000000000032</v>
      </c>
      <c r="K398" s="118">
        <f ca="1">J398/'Hieu Qua NV'!$J$2</f>
        <v>-3.1956521739130446E-2</v>
      </c>
      <c r="L398" s="119">
        <f t="shared" ca="1" si="116"/>
        <v>6.5030674846625773</v>
      </c>
      <c r="M398" s="118">
        <f ca="1">IFERROR(
INDEX(
KB!$I$55:$AJ$68,
MATCH(E398,KB!$I$55:$I$68,0),
MATCH(D398,KB!$I$55:$AJ$55,0)
),
0)</f>
        <v>1</v>
      </c>
      <c r="S398" s="669" cm="1">
        <f t="array" aca="1" ref="S398" ca="1">_xlfn.IFS(
CONFIG!$B$8="W1",H398-N398,
CONFIG!$B$8="W2",H398-O398,
CONFIG!$B$8="W3",H398-P398,
CONFIG!$B$8="W4",H398-Q398,
CONFIG!$B$8="W5",H398-R398
)</f>
        <v>3.18</v>
      </c>
      <c r="T398" s="652">
        <f t="shared" ca="1" si="108"/>
        <v>3.18</v>
      </c>
    </row>
    <row r="399" spans="3:20">
      <c r="C399" s="116" t="str">
        <f>INDEX(KB!C:D,MATCH(D399,KB!D:D,0),1)</f>
        <v>Vivo</v>
      </c>
      <c r="D399" s="116" t="s">
        <v>104</v>
      </c>
      <c r="E399" s="321" t="s">
        <v>433</v>
      </c>
      <c r="F399" s="116" t="str">
        <f t="shared" si="113"/>
        <v>VivoNguyễn Thành Đạt - 280855</v>
      </c>
      <c r="G399" s="118" cm="1">
        <f t="array" ref="G399">IFERROR(INDEX(KB!$I$38:$AJ$50,MATCH(XL_DT_TD!E399,KB!$I$38:$I$50,0),MATCH(XL_DT_TD!D399,KB!$J$37:$AJ$37,0)+1),0)</f>
        <v>2.4449999999999998</v>
      </c>
      <c r="H399" s="118" cm="1">
        <f t="array" ref="H399">IFERROR(INDEX(DATA_TĐ!$B$1:$AZ$19,MATCH(XL_DT_TD!E399,DATA_TĐ!B:B,0),MATCH(XL_DT_TD!C399,DATA_TĐ!$1:$1,0)-1),0)</f>
        <v>0</v>
      </c>
      <c r="I399" s="118">
        <f ca="1">H399/DAY(NOW()-1)*'Hieu Qua NV'!$J$1</f>
        <v>0</v>
      </c>
      <c r="J399" s="118">
        <f t="shared" si="115"/>
        <v>2.4449999999999998</v>
      </c>
      <c r="K399" s="118">
        <f ca="1">J399/'Hieu Qua NV'!$J$2</f>
        <v>0.10630434782608696</v>
      </c>
      <c r="L399" s="119">
        <f t="shared" ca="1" si="116"/>
        <v>0</v>
      </c>
      <c r="M399" s="118">
        <f ca="1">IFERROR(
INDEX(
KB!$I$55:$AJ$68,
MATCH(E399,KB!$I$55:$I$68,0),
MATCH(D399,KB!$I$55:$AJ$55,0)
),
0)</f>
        <v>1</v>
      </c>
      <c r="S399" s="669" cm="1">
        <f t="array" aca="1" ref="S399" ca="1">_xlfn.IFS(
CONFIG!$B$8="W1",H399-N399,
CONFIG!$B$8="W2",H399-O399,
CONFIG!$B$8="W3",H399-P399,
CONFIG!$B$8="W4",H399-Q399,
CONFIG!$B$8="W5",H399-R399
)</f>
        <v>0</v>
      </c>
      <c r="T399" s="652">
        <f t="shared" ca="1" si="108"/>
        <v>0</v>
      </c>
    </row>
    <row r="400" spans="3:20">
      <c r="C400" s="116" t="str">
        <f>INDEX(KB!C:D,MATCH(D400,KB!D:D,0),1)</f>
        <v>Vivo</v>
      </c>
      <c r="D400" s="116" t="s">
        <v>104</v>
      </c>
      <c r="E400" s="321" t="s">
        <v>56</v>
      </c>
      <c r="F400" s="116" t="str">
        <f t="shared" si="113"/>
        <v>VivoĐỗ Văn Duân - 62025</v>
      </c>
      <c r="G400" s="118" cm="1">
        <f t="array" ref="G400">IFERROR(INDEX(KB!$I$38:$AJ$50,MATCH(XL_DT_TD!E400,KB!$I$38:$I$50,0),MATCH(XL_DT_TD!D400,KB!$J$37:$AJ$37,0)+1),0)</f>
        <v>2.4449999999999998</v>
      </c>
      <c r="H400" s="118" cm="1">
        <f t="array" ref="H400">IFERROR(INDEX(DATA_TĐ!$B$1:$AZ$19,MATCH(XL_DT_TD!E400,DATA_TĐ!B:B,0),MATCH(XL_DT_TD!C400,DATA_TĐ!$1:$1,0)-1),0)</f>
        <v>0</v>
      </c>
      <c r="I400" s="118">
        <f ca="1">H400/DAY(NOW()-1)*'Hieu Qua NV'!$J$1</f>
        <v>0</v>
      </c>
      <c r="J400" s="118">
        <f t="shared" si="115"/>
        <v>2.4449999999999998</v>
      </c>
      <c r="K400" s="118">
        <f ca="1">J400/'Hieu Qua NV'!$J$2</f>
        <v>0.10630434782608696</v>
      </c>
      <c r="L400" s="119">
        <f t="shared" ca="1" si="116"/>
        <v>0</v>
      </c>
      <c r="M400" s="118">
        <f ca="1">IFERROR(
INDEX(
KB!$I$55:$AJ$68,
MATCH(E400,KB!$I$55:$I$68,0),
MATCH(D400,KB!$I$55:$AJ$55,0)
),
0)</f>
        <v>1</v>
      </c>
      <c r="S400" s="669" cm="1">
        <f t="array" aca="1" ref="S400" ca="1">_xlfn.IFS(
CONFIG!$B$8="W1",H400-N400,
CONFIG!$B$8="W2",H400-O400,
CONFIG!$B$8="W3",H400-P400,
CONFIG!$B$8="W4",H400-Q400,
CONFIG!$B$8="W5",H400-R400
)</f>
        <v>0</v>
      </c>
      <c r="T400" s="652">
        <f t="shared" ca="1" si="108"/>
        <v>0</v>
      </c>
    </row>
    <row r="401" spans="3:20">
      <c r="C401" s="116" t="str">
        <f>INDEX(KB!C:D,MATCH(D401,KB!D:D,0),1)</f>
        <v>Vivo</v>
      </c>
      <c r="D401" s="116" t="s">
        <v>104</v>
      </c>
      <c r="E401" s="321" t="s">
        <v>530</v>
      </c>
      <c r="F401" s="116" t="str">
        <f t="shared" si="113"/>
        <v>VivoNhân viên Mới 1</v>
      </c>
      <c r="G401" s="118" cm="1">
        <f t="array" ref="G401">IFERROR(INDEX(KB!$I$38:$AJ$50,MATCH(XL_DT_TD!E401,KB!$I$38:$I$50,0),MATCH(XL_DT_TD!D401,KB!$J$37:$AJ$37,0)+1),0)</f>
        <v>0</v>
      </c>
      <c r="H401" s="118" cm="1">
        <f t="array" ref="H401">IFERROR(INDEX(DATA_TĐ!$B$1:$AZ$19,MATCH(XL_DT_TD!E401,DATA_TĐ!B:B,0),MATCH(XL_DT_TD!C401,DATA_TĐ!$1:$1,0)-1),0)</f>
        <v>0</v>
      </c>
      <c r="I401" s="118">
        <f ca="1">H401/DAY(NOW()-1)*'Hieu Qua NV'!$J$1</f>
        <v>0</v>
      </c>
      <c r="J401" s="118">
        <f t="shared" si="115"/>
        <v>0</v>
      </c>
      <c r="K401" s="118">
        <f ca="1">J401/'Hieu Qua NV'!$J$2</f>
        <v>0</v>
      </c>
      <c r="L401" s="119" t="e">
        <f t="shared" ca="1" si="116"/>
        <v>#DIV/0!</v>
      </c>
      <c r="M401" s="118">
        <f ca="1">IFERROR(
INDEX(
KB!$I$55:$AJ$68,
MATCH(E401,KB!$I$55:$I$68,0),
MATCH(D401,KB!$I$55:$AJ$55,0)
),
0)</f>
        <v>0</v>
      </c>
      <c r="S401" s="669" cm="1">
        <f t="array" aca="1" ref="S401" ca="1">_xlfn.IFS(
CONFIG!$B$8="W1",H401-N401,
CONFIG!$B$8="W2",H401-O401,
CONFIG!$B$8="W3",H401-P401,
CONFIG!$B$8="W4",H401-Q401,
CONFIG!$B$8="W5",H401-R401
)</f>
        <v>0</v>
      </c>
      <c r="T401" s="652">
        <f t="shared" ca="1" si="108"/>
        <v>0</v>
      </c>
    </row>
    <row r="402" spans="3:20">
      <c r="C402" s="116" t="str">
        <f>INDEX(KB!C:D,MATCH(D402,KB!D:D,0),1)</f>
        <v>Vivo</v>
      </c>
      <c r="D402" s="116" t="s">
        <v>104</v>
      </c>
      <c r="E402" s="321" t="s">
        <v>560</v>
      </c>
      <c r="F402" s="116" t="str">
        <f t="shared" si="113"/>
        <v>VivoNhân viên Mới 2</v>
      </c>
      <c r="G402" s="118" cm="1">
        <f t="array" ref="G402">IFERROR(INDEX(KB!$I$38:$AJ$50,MATCH(XL_DT_TD!E402,KB!$I$38:$I$50,0),MATCH(XL_DT_TD!D402,KB!$J$37:$AJ$37,0)+1),0)</f>
        <v>0</v>
      </c>
      <c r="H402" s="118" cm="1">
        <f t="array" ref="H402">IFERROR(INDEX(DATA_TĐ!$B$1:$AZ$19,MATCH(XL_DT_TD!E402,DATA_TĐ!B:B,0),MATCH(XL_DT_TD!C402,DATA_TĐ!$1:$1,0)-1),0)</f>
        <v>0</v>
      </c>
      <c r="I402" s="118">
        <f ca="1">H402/DAY(NOW()-1)*'Hieu Qua NV'!$J$1</f>
        <v>0</v>
      </c>
      <c r="J402" s="118">
        <f t="shared" si="115"/>
        <v>0</v>
      </c>
      <c r="K402" s="118">
        <f ca="1">J402/'Hieu Qua NV'!$J$2</f>
        <v>0</v>
      </c>
      <c r="L402" s="119" t="e">
        <f t="shared" ca="1" si="116"/>
        <v>#DIV/0!</v>
      </c>
      <c r="M402" s="118">
        <f ca="1">IFERROR(
INDEX(
KB!$I$55:$AJ$68,
MATCH(E402,KB!$I$55:$I$68,0),
MATCH(D402,KB!$I$55:$AJ$55,0)
),
0)</f>
        <v>0</v>
      </c>
      <c r="S402" s="669" cm="1">
        <f t="array" aca="1" ref="S402" ca="1">_xlfn.IFS(
CONFIG!$B$8="W1",H402-N402,
CONFIG!$B$8="W2",H402-O402,
CONFIG!$B$8="W3",H402-P402,
CONFIG!$B$8="W4",H402-Q402,
CONFIG!$B$8="W5",H402-R402
)</f>
        <v>0</v>
      </c>
      <c r="T402" s="652">
        <f t="shared" ca="1" si="108"/>
        <v>0</v>
      </c>
    </row>
    <row r="403" spans="3:20">
      <c r="C403" s="116" t="str">
        <f>INDEX(KB!C:D,MATCH(D403,KB!D:D,0),1)</f>
        <v>Vivo</v>
      </c>
      <c r="D403" s="116" t="s">
        <v>104</v>
      </c>
      <c r="E403" s="117" t="s">
        <v>281</v>
      </c>
      <c r="F403" s="116" t="str">
        <f t="shared" si="113"/>
        <v>VivoTrần Thị Nhung - 11082</v>
      </c>
      <c r="G403" s="118" cm="1">
        <f t="array" ref="G403">IFERROR(INDEX(KB!$I$38:$AJ$50,MATCH(XL_DT_TD!E403,KB!$I$38:$I$50,0),MATCH(XL_DT_TD!D403,KB!$J$37:$AJ$37,0)+1),0)</f>
        <v>7.5949999999999989</v>
      </c>
      <c r="H403" s="118" cm="1">
        <f t="array" ref="H403">IFERROR(
  INDEX(DATA_TĐ!$B$36:$Z$47,
    MATCH(TRUE, INDEX(TRIM(DATA_TĐ!$B$36:$B$45)=TRIM(E403),0),0),
    MATCH(TRUE, INDEX(TRIM(DATA_TĐ!$B$36:$Z$36)=TRIM(C403),0),0)
  ),
0)</f>
        <v>0</v>
      </c>
      <c r="I403" s="118">
        <f ca="1">H403/DAY(NOW()-1)*'Hieu Qua NV'!$J$1</f>
        <v>0</v>
      </c>
      <c r="J403" s="118">
        <f t="shared" si="114"/>
        <v>7.5949999999999989</v>
      </c>
      <c r="K403" s="118">
        <f ca="1">J403/'Hieu Qua NV'!$J$2</f>
        <v>0.3302173913043478</v>
      </c>
      <c r="L403" s="119">
        <f t="shared" ref="L403:L408" ca="1" si="117">I403/G403</f>
        <v>0</v>
      </c>
      <c r="M403" s="118">
        <f ca="1">IFERROR(
INDEX(
KB!$I$55:$AJ$68,
MATCH(E403,KB!$I$55:$I$68,0),
MATCH(D403,KB!$I$55:$AJ$55,0)
),
0)</f>
        <v>2</v>
      </c>
      <c r="S403" s="669" cm="1">
        <f t="array" aca="1" ref="S403" ca="1">_xlfn.IFS(
CONFIG!$B$8="W1",H403-N403,
CONFIG!$B$8="W2",H403-O403,
CONFIG!$B$8="W3",H403-P403,
CONFIG!$B$8="W4",H403-Q403,
CONFIG!$B$8="W5",H403-R403
)</f>
        <v>0</v>
      </c>
      <c r="T403" s="652">
        <f t="shared" ca="1" si="108"/>
        <v>0</v>
      </c>
    </row>
    <row r="404" spans="3:20">
      <c r="C404" s="116" t="str">
        <f>INDEX(KB!C:D,MATCH(D404,KB!D:D,0),1)</f>
        <v>Vivo</v>
      </c>
      <c r="D404" s="116" t="s">
        <v>104</v>
      </c>
      <c r="E404" s="117" t="s">
        <v>282</v>
      </c>
      <c r="F404" s="116" t="str">
        <f t="shared" si="113"/>
        <v>VivoNguyễn Thị Phương Oanh - 164808</v>
      </c>
      <c r="G404" s="118" cm="1">
        <f t="array" ref="G404">IFERROR(INDEX(KB!$I$38:$AJ$50,MATCH(XL_DT_TD!E404,KB!$I$38:$I$50,0),MATCH(XL_DT_TD!D404,KB!$J$37:$AJ$37,0)+1),0)</f>
        <v>7.5949999999999989</v>
      </c>
      <c r="H404" s="118" cm="1">
        <f t="array" ref="H404">IFERROR(
  INDEX(DATA_TĐ!$B$36:$Z$47,
    MATCH(TRUE, INDEX(TRIM(DATA_TĐ!$B$36:$B$45)=TRIM(E404),0),0),
    MATCH(TRUE, INDEX(TRIM(DATA_TĐ!$B$36:$Z$36)=TRIM(C404),0),0)
  ),
0)</f>
        <v>0</v>
      </c>
      <c r="I404" s="118">
        <f ca="1">H404/DAY(NOW()-1)*'Hieu Qua NV'!$J$1</f>
        <v>0</v>
      </c>
      <c r="J404" s="118">
        <f t="shared" ref="J404:J406" si="118">G404-H404</f>
        <v>7.5949999999999989</v>
      </c>
      <c r="K404" s="118">
        <f ca="1">J404/'Hieu Qua NV'!$J$2</f>
        <v>0.3302173913043478</v>
      </c>
      <c r="L404" s="119">
        <f t="shared" ref="L404:L406" ca="1" si="119">I404/G404</f>
        <v>0</v>
      </c>
      <c r="M404" s="118">
        <f ca="1">IFERROR(
INDEX(
KB!$I$55:$AJ$68,
MATCH(E404,KB!$I$55:$I$68,0),
MATCH(D404,KB!$I$55:$AJ$55,0)
),
0)</f>
        <v>2</v>
      </c>
      <c r="S404" s="669" cm="1">
        <f t="array" aca="1" ref="S404" ca="1">_xlfn.IFS(
CONFIG!$B$8="W1",H404-N404,
CONFIG!$B$8="W2",H404-O404,
CONFIG!$B$8="W3",H404-P404,
CONFIG!$B$8="W4",H404-Q404,
CONFIG!$B$8="W5",H404-R404
)</f>
        <v>0</v>
      </c>
      <c r="T404" s="652">
        <f t="shared" ca="1" si="108"/>
        <v>0</v>
      </c>
    </row>
    <row r="405" spans="3:20">
      <c r="C405" s="116" t="str">
        <f>INDEX(KB!C:D,MATCH(D405,KB!D:D,0),1)</f>
        <v>Vivo</v>
      </c>
      <c r="D405" s="116" t="s">
        <v>104</v>
      </c>
      <c r="E405" s="117" t="s">
        <v>283</v>
      </c>
      <c r="F405" s="121" t="str">
        <f t="shared" si="113"/>
        <v>VivoNguyễn Anh Tài - 269055</v>
      </c>
      <c r="G405" s="118" cm="1">
        <f t="array" ref="G405">IFERROR(INDEX(KB!$I$38:$AJ$50,MATCH(XL_DT_TD!E405,KB!$I$38:$I$50,0),MATCH(XL_DT_TD!D405,KB!$J$37:$AJ$37,0)+1),0)</f>
        <v>6.51</v>
      </c>
      <c r="H405" s="118" cm="1">
        <f t="array" ref="H405">IFERROR(
  INDEX(DATA_TĐ!$B$36:$Z$47,
    MATCH(TRUE, INDEX(TRIM(DATA_TĐ!$B$36:$B$45)=TRIM(E405),0),0),
    MATCH(TRUE, INDEX(TRIM(DATA_TĐ!$B$36:$Z$36)=TRIM(C405),0),0)
  ),
0)</f>
        <v>0</v>
      </c>
      <c r="I405" s="118">
        <f ca="1">H405/DAY(NOW()-1)*'Hieu Qua NV'!$J$1</f>
        <v>0</v>
      </c>
      <c r="J405" s="118">
        <f t="shared" si="118"/>
        <v>6.51</v>
      </c>
      <c r="K405" s="118">
        <f ca="1">J405/'Hieu Qua NV'!$J$2</f>
        <v>0.28304347826086956</v>
      </c>
      <c r="L405" s="119">
        <f t="shared" ca="1" si="119"/>
        <v>0</v>
      </c>
      <c r="M405" s="118">
        <f ca="1">IFERROR(
INDEX(
KB!$I$55:$AJ$68,
MATCH(E405,KB!$I$55:$I$68,0),
MATCH(D405,KB!$I$55:$AJ$55,0)
),
0)</f>
        <v>2</v>
      </c>
      <c r="S405" s="669" cm="1">
        <f t="array" aca="1" ref="S405" ca="1">_xlfn.IFS(
CONFIG!$B$8="W1",H405-N405,
CONFIG!$B$8="W2",H405-O405,
CONFIG!$B$8="W3",H405-P405,
CONFIG!$B$8="W4",H405-Q405,
CONFIG!$B$8="W5",H405-R405
)</f>
        <v>0</v>
      </c>
      <c r="T405" s="652">
        <f t="shared" ca="1" si="108"/>
        <v>0</v>
      </c>
    </row>
    <row r="406" spans="3:20">
      <c r="C406" s="116" t="str">
        <f>INDEX(KB!C:D,MATCH(D406,KB!D:D,0),1)</f>
        <v>Vivo</v>
      </c>
      <c r="D406" s="116" t="s">
        <v>104</v>
      </c>
      <c r="E406" s="117" t="s">
        <v>284</v>
      </c>
      <c r="F406" s="116" t="str">
        <f>C406&amp;E406</f>
        <v>VivoLê Văn Hợp - 279884</v>
      </c>
      <c r="G406" s="118" cm="1">
        <f t="array" ref="G406">IFERROR(INDEX(KB!$I$38:$AJ$50,MATCH(XL_DT_TD!E406,KB!$I$38:$I$50,0),MATCH(XL_DT_TD!D406,KB!$J$37:$AJ$37,0)+1),0)</f>
        <v>5.4249999999999998</v>
      </c>
      <c r="H406" s="118" cm="1">
        <f t="array" ref="H406">IFERROR(
  INDEX(DATA_TĐ!$B$36:$Z$47,
    MATCH(TRUE, INDEX(TRIM(DATA_TĐ!$B$36:$B$45)=TRIM(E406),0),0),
    MATCH(TRUE, INDEX(TRIM(DATA_TĐ!$B$36:$Z$36)=TRIM(C406),0),0)
  ),
0)</f>
        <v>0</v>
      </c>
      <c r="I406" s="118">
        <f ca="1">H406/DAY(NOW()-1)*'Hieu Qua NV'!$J$1</f>
        <v>0</v>
      </c>
      <c r="J406" s="118">
        <f t="shared" si="118"/>
        <v>5.4249999999999998</v>
      </c>
      <c r="K406" s="118">
        <f ca="1">J406/'Hieu Qua NV'!$J$2</f>
        <v>0.2358695652173913</v>
      </c>
      <c r="L406" s="119">
        <f t="shared" ca="1" si="119"/>
        <v>0</v>
      </c>
      <c r="M406" s="118">
        <f ca="1">IFERROR(
INDEX(
KB!$I$55:$AJ$68,
MATCH(E406,KB!$I$55:$I$68,0),
MATCH(D406,KB!$I$55:$AJ$55,0)
),
0)</f>
        <v>1</v>
      </c>
      <c r="S406" s="669" cm="1">
        <f t="array" aca="1" ref="S406" ca="1">_xlfn.IFS(
CONFIG!$B$8="W1",H406-N406,
CONFIG!$B$8="W2",H406-O406,
CONFIG!$B$8="W3",H406-P406,
CONFIG!$B$8="W4",H406-Q406,
CONFIG!$B$8="W5",H406-R406
)</f>
        <v>0</v>
      </c>
      <c r="T406" s="652">
        <f t="shared" ca="1" si="108"/>
        <v>0</v>
      </c>
    </row>
    <row r="407" spans="3:20">
      <c r="C407" s="120" t="str">
        <f>INDEX(KB!C:D,MATCH(D407,KB!D:D,0),1)</f>
        <v>Vivo</v>
      </c>
      <c r="D407" s="120" t="s">
        <v>104</v>
      </c>
      <c r="E407" s="120" t="s">
        <v>20</v>
      </c>
      <c r="F407" s="121" t="str">
        <f t="shared" ref="F407" si="120">C407&amp;E407</f>
        <v>VivoTổng</v>
      </c>
      <c r="G407" s="122">
        <f t="shared" ref="G407:I407" si="121">SUM(G394:G405)</f>
        <v>41.422999999999995</v>
      </c>
      <c r="H407" s="122">
        <f t="shared" si="121"/>
        <v>3.18</v>
      </c>
      <c r="I407" s="122">
        <f t="shared" ca="1" si="121"/>
        <v>15.9</v>
      </c>
      <c r="J407" s="122">
        <f t="shared" ref="J407:J408" si="122">G407-H407</f>
        <v>38.242999999999995</v>
      </c>
      <c r="K407" s="122">
        <f ca="1">J407/'Hieu Qua NV'!$J$2</f>
        <v>1.6627391304347825</v>
      </c>
      <c r="L407" s="119">
        <f t="shared" ca="1" si="117"/>
        <v>0.38384472394563413</v>
      </c>
      <c r="M407" s="122">
        <f t="shared" ref="M407" ca="1" si="123">SUM(M394:M405)</f>
        <v>13</v>
      </c>
      <c r="S407" s="669" cm="1">
        <f t="array" aca="1" ref="S407" ca="1">_xlfn.IFS(
CONFIG!$B$8="W1",H407-N407,
CONFIG!$B$8="W2",H407-O407,
CONFIG!$B$8="W3",H407-P407,
CONFIG!$B$8="W4",H407-Q407,
CONFIG!$B$8="W5",H407-R407
)</f>
        <v>3.18</v>
      </c>
      <c r="T407" s="652">
        <f t="shared" ca="1" si="108"/>
        <v>0.24461538461538462</v>
      </c>
    </row>
    <row r="408" spans="3:20">
      <c r="C408" s="116" t="str">
        <f>INDEX(KB!C:D,MATCH(D408,KB!D:D,0),1)</f>
        <v>Doanh thu</v>
      </c>
      <c r="D408" s="116" t="s">
        <v>556</v>
      </c>
      <c r="E408" s="321" t="s">
        <v>57</v>
      </c>
      <c r="F408" s="116" t="str">
        <f>C408&amp;E408</f>
        <v>Doanh thuNguyễn Thị Ngọc - 54026</v>
      </c>
      <c r="G408" s="118" cm="1">
        <f t="array" ref="G408">IFERROR(INDEX(KB!$I$38:$AJ$50,MATCH(XL_DT_TD!E408,KB!$I$38:$I$50,0),MATCH(XL_DT_TD!D408,KB!$J$37:$AJ$37,0)+1),0)</f>
        <v>875</v>
      </c>
      <c r="H408" s="118">
        <f>SUMIFS('DATA DT'!D:D,'DATA DT'!B:B,XL_DT_TD!E408)</f>
        <v>178.93</v>
      </c>
      <c r="I408" s="118">
        <f ca="1">H408/DAY(NOW()-1)*'Hieu Qua NV'!$J$1</f>
        <v>894.65000000000009</v>
      </c>
      <c r="J408" s="118">
        <f t="shared" si="122"/>
        <v>696.06999999999994</v>
      </c>
      <c r="K408" s="118">
        <f ca="1">J408/'Hieu Qua NV'!$J$2</f>
        <v>30.263913043478258</v>
      </c>
      <c r="L408" s="119">
        <f t="shared" ca="1" si="117"/>
        <v>1.022457142857143</v>
      </c>
      <c r="M408" s="118">
        <f ca="1">IFERROR(
INDEX(
KB!$I$55:$AJ$68,
MATCH(E408,KB!$I$55:$I$68,0),
MATCH(D408,KB!$I$55:$AJ$55,0)
),
0)</f>
        <v>219</v>
      </c>
      <c r="S408" s="669" cm="1">
        <f t="array" aca="1" ref="S408" ca="1">_xlfn.IFS(
CONFIG!$B$8="W1",H408-N408,
CONFIG!$B$8="W2",H408-O408,
CONFIG!$B$8="W3",H408-P408,
CONFIG!$B$8="W4",H408-Q408,
CONFIG!$B$8="W5",H408-R408
)</f>
        <v>178.93</v>
      </c>
      <c r="T408" s="652">
        <f t="shared" ref="T408:T435" ca="1" si="124">IF(M408=0,0,S408/M408)</f>
        <v>0.8170319634703197</v>
      </c>
    </row>
    <row r="409" spans="3:20">
      <c r="C409" s="116" t="str">
        <f>INDEX(KB!C:D,MATCH(D409,KB!D:D,0),1)</f>
        <v>Doanh thu</v>
      </c>
      <c r="D409" s="116" t="s">
        <v>556</v>
      </c>
      <c r="E409" s="321" t="s">
        <v>60</v>
      </c>
      <c r="F409" s="116" t="str">
        <f t="shared" ref="F409:F419" si="125">C409&amp;E409</f>
        <v>Doanh thuNguyễn Viết Sơn - 94065</v>
      </c>
      <c r="G409" s="118" cm="1">
        <f t="array" ref="G409">IFERROR(INDEX(KB!$I$38:$AJ$50,MATCH(XL_DT_TD!E409,KB!$I$38:$I$50,0),MATCH(XL_DT_TD!D409,KB!$J$37:$AJ$37,0)+1),0)</f>
        <v>1260</v>
      </c>
      <c r="H409" s="118">
        <f>SUMIFS('DATA DT'!D:D,'DATA DT'!B:B,XL_DT_TD!E409)</f>
        <v>238.28</v>
      </c>
      <c r="I409" s="118">
        <f ca="1">H409/DAY(NOW()-1)*'Hieu Qua NV'!$J$1</f>
        <v>1191.3999999999999</v>
      </c>
      <c r="J409" s="118">
        <f t="shared" ref="J409:J420" si="126">G409-H409</f>
        <v>1021.72</v>
      </c>
      <c r="K409" s="118">
        <f ca="1">J409/'Hieu Qua NV'!$J$2</f>
        <v>44.422608695652173</v>
      </c>
      <c r="L409" s="119">
        <f t="shared" ref="L409:L420" ca="1" si="127">I409/G409</f>
        <v>0.94555555555555548</v>
      </c>
      <c r="M409" s="118">
        <f ca="1">IFERROR(
INDEX(
KB!$I$55:$AJ$68,
MATCH(E409,KB!$I$55:$I$68,0),
MATCH(D409,KB!$I$55:$AJ$55,0)
),
0)</f>
        <v>315</v>
      </c>
      <c r="S409" s="669" cm="1">
        <f t="array" aca="1" ref="S409" ca="1">_xlfn.IFS(
CONFIG!$B$8="W1",H409-N409,
CONFIG!$B$8="W2",H409-O409,
CONFIG!$B$8="W3",H409-P409,
CONFIG!$B$8="W4",H409-Q409,
CONFIG!$B$8="W5",H409-R409
)</f>
        <v>238.28</v>
      </c>
      <c r="T409" s="652">
        <f t="shared" ca="1" si="124"/>
        <v>0.75644444444444447</v>
      </c>
    </row>
    <row r="410" spans="3:20">
      <c r="C410" s="116" t="str">
        <f>INDEX(KB!C:D,MATCH(D410,KB!D:D,0),1)</f>
        <v>Doanh thu</v>
      </c>
      <c r="D410" s="116" t="s">
        <v>556</v>
      </c>
      <c r="E410" s="321" t="s">
        <v>15</v>
      </c>
      <c r="F410" s="116" t="str">
        <f t="shared" si="125"/>
        <v>Doanh thuNguyễn Trang Nhung - 25734</v>
      </c>
      <c r="G410" s="118" cm="1">
        <f t="array" ref="G410">IFERROR(INDEX(KB!$I$38:$AJ$50,MATCH(XL_DT_TD!E410,KB!$I$38:$I$50,0),MATCH(XL_DT_TD!D410,KB!$J$37:$AJ$37,0)+1),0)</f>
        <v>980.00000000000011</v>
      </c>
      <c r="H410" s="118">
        <f>SUMIFS('DATA DT'!D:D,'DATA DT'!B:B,XL_DT_TD!E410)</f>
        <v>102.59</v>
      </c>
      <c r="I410" s="118">
        <f ca="1">H410/DAY(NOW()-1)*'Hieu Qua NV'!$J$1</f>
        <v>512.94999999999993</v>
      </c>
      <c r="J410" s="118">
        <f t="shared" si="126"/>
        <v>877.41000000000008</v>
      </c>
      <c r="K410" s="118">
        <f ca="1">J410/'Hieu Qua NV'!$J$2</f>
        <v>38.14826086956522</v>
      </c>
      <c r="L410" s="119">
        <f t="shared" ca="1" si="127"/>
        <v>0.5234183673469387</v>
      </c>
      <c r="M410" s="118">
        <f ca="1">IFERROR(
INDEX(
KB!$I$55:$AJ$68,
MATCH(E410,KB!$I$55:$I$68,0),
MATCH(D410,KB!$I$55:$AJ$55,0)
),
0)</f>
        <v>245</v>
      </c>
      <c r="S410" s="669" cm="1">
        <f t="array" aca="1" ref="S410" ca="1">_xlfn.IFS(
CONFIG!$B$8="W1",H410-N410,
CONFIG!$B$8="W2",H410-O410,
CONFIG!$B$8="W3",H410-P410,
CONFIG!$B$8="W4",H410-Q410,
CONFIG!$B$8="W5",H410-R410
)</f>
        <v>102.59</v>
      </c>
      <c r="T410" s="652">
        <f t="shared" ca="1" si="124"/>
        <v>0.41873469387755102</v>
      </c>
    </row>
    <row r="411" spans="3:20">
      <c r="C411" s="116" t="str">
        <f>INDEX(KB!C:D,MATCH(D411,KB!D:D,0),1)</f>
        <v>Doanh thu</v>
      </c>
      <c r="D411" s="116" t="s">
        <v>556</v>
      </c>
      <c r="E411" s="321" t="s">
        <v>151</v>
      </c>
      <c r="F411" s="116" t="str">
        <f t="shared" si="125"/>
        <v>Doanh thuTrần Huy Hoàn - 270828</v>
      </c>
      <c r="G411" s="118" cm="1">
        <f t="array" ref="G411">IFERROR(INDEX(KB!$I$38:$AJ$50,MATCH(XL_DT_TD!E411,KB!$I$38:$I$50,0),MATCH(XL_DT_TD!D411,KB!$J$37:$AJ$37,0)+1),0)</f>
        <v>1050</v>
      </c>
      <c r="H411" s="118">
        <f>SUMIFS('DATA DT'!D:D,'DATA DT'!B:B,XL_DT_TD!E411)</f>
        <v>80.64</v>
      </c>
      <c r="I411" s="118">
        <f ca="1">H411/DAY(NOW()-1)*'Hieu Qua NV'!$J$1</f>
        <v>403.2</v>
      </c>
      <c r="J411" s="118">
        <f t="shared" si="126"/>
        <v>969.36</v>
      </c>
      <c r="K411" s="118">
        <f ca="1">J411/'Hieu Qua NV'!$J$2</f>
        <v>42.146086956521742</v>
      </c>
      <c r="L411" s="119">
        <f t="shared" ca="1" si="127"/>
        <v>0.38400000000000001</v>
      </c>
      <c r="M411" s="118">
        <f ca="1">IFERROR(
INDEX(
KB!$I$55:$AJ$68,
MATCH(E411,KB!$I$55:$I$68,0),
MATCH(D411,KB!$I$55:$AJ$55,0)
),
0)</f>
        <v>263</v>
      </c>
      <c r="S411" s="669" cm="1">
        <f t="array" aca="1" ref="S411" ca="1">_xlfn.IFS(
CONFIG!$B$8="W1",H411-N411,
CONFIG!$B$8="W2",H411-O411,
CONFIG!$B$8="W3",H411-P411,
CONFIG!$B$8="W4",H411-Q411,
CONFIG!$B$8="W5",H411-R411
)</f>
        <v>80.64</v>
      </c>
      <c r="T411" s="652">
        <f t="shared" ca="1" si="124"/>
        <v>0.30661596958174903</v>
      </c>
    </row>
    <row r="412" spans="3:20">
      <c r="C412" s="116" t="str">
        <f>INDEX(KB!C:D,MATCH(D412,KB!D:D,0),1)</f>
        <v>Doanh thu</v>
      </c>
      <c r="D412" s="116" t="s">
        <v>556</v>
      </c>
      <c r="E412" s="321" t="s">
        <v>293</v>
      </c>
      <c r="F412" s="116" t="str">
        <f t="shared" si="125"/>
        <v>Doanh thuPhạm Văn Thanh - 279935</v>
      </c>
      <c r="G412" s="118" cm="1">
        <f t="array" ref="G412">IFERROR(INDEX(KB!$I$38:$AJ$50,MATCH(XL_DT_TD!E412,KB!$I$38:$I$50,0),MATCH(XL_DT_TD!D412,KB!$J$37:$AJ$37,0)+1),0)</f>
        <v>840</v>
      </c>
      <c r="H412" s="118">
        <f>SUMIFS('DATA DT'!D:D,'DATA DT'!B:B,XL_DT_TD!E412)</f>
        <v>48.2</v>
      </c>
      <c r="I412" s="118">
        <f ca="1">H412/DAY(NOW()-1)*'Hieu Qua NV'!$J$1</f>
        <v>241</v>
      </c>
      <c r="J412" s="118">
        <f t="shared" si="126"/>
        <v>791.8</v>
      </c>
      <c r="K412" s="118">
        <f ca="1">J412/'Hieu Qua NV'!$J$2</f>
        <v>34.426086956521736</v>
      </c>
      <c r="L412" s="119">
        <f t="shared" ca="1" si="127"/>
        <v>0.28690476190476188</v>
      </c>
      <c r="M412" s="118">
        <f ca="1">IFERROR(
INDEX(
KB!$I$55:$AJ$68,
MATCH(E412,KB!$I$55:$I$68,0),
MATCH(D412,KB!$I$55:$AJ$55,0)
),
0)</f>
        <v>210</v>
      </c>
      <c r="S412" s="669" cm="1">
        <f t="array" aca="1" ref="S412" ca="1">_xlfn.IFS(
CONFIG!$B$8="W1",H412-N412,
CONFIG!$B$8="W2",H412-O412,
CONFIG!$B$8="W3",H412-P412,
CONFIG!$B$8="W4",H412-Q412,
CONFIG!$B$8="W5",H412-R412
)</f>
        <v>48.2</v>
      </c>
      <c r="T412" s="652">
        <f t="shared" ca="1" si="124"/>
        <v>0.22952380952380955</v>
      </c>
    </row>
    <row r="413" spans="3:20">
      <c r="C413" s="116" t="str">
        <f>INDEX(KB!C:D,MATCH(D413,KB!D:D,0),1)</f>
        <v>Doanh thu</v>
      </c>
      <c r="D413" s="116" t="s">
        <v>556</v>
      </c>
      <c r="E413" s="321" t="s">
        <v>433</v>
      </c>
      <c r="F413" s="116" t="str">
        <f t="shared" si="125"/>
        <v>Doanh thuNguyễn Thành Đạt - 280855</v>
      </c>
      <c r="G413" s="118" cm="1">
        <f t="array" ref="G413">IFERROR(INDEX(KB!$I$38:$AJ$50,MATCH(XL_DT_TD!E413,KB!$I$38:$I$50,0),MATCH(XL_DT_TD!D413,KB!$J$37:$AJ$37,0)+1),0)</f>
        <v>840</v>
      </c>
      <c r="H413" s="118">
        <f>SUMIFS('DATA DT'!D:D,'DATA DT'!B:B,XL_DT_TD!E413)</f>
        <v>74.97</v>
      </c>
      <c r="I413" s="118">
        <f ca="1">H413/DAY(NOW()-1)*'Hieu Qua NV'!$J$1</f>
        <v>374.84999999999997</v>
      </c>
      <c r="J413" s="118">
        <f t="shared" si="126"/>
        <v>765.03</v>
      </c>
      <c r="K413" s="118">
        <f ca="1">J413/'Hieu Qua NV'!$J$2</f>
        <v>33.262173913043476</v>
      </c>
      <c r="L413" s="119">
        <f t="shared" ca="1" si="127"/>
        <v>0.44624999999999998</v>
      </c>
      <c r="M413" s="118">
        <f ca="1">IFERROR(
INDEX(
KB!$I$55:$AJ$68,
MATCH(E413,KB!$I$55:$I$68,0),
MATCH(D413,KB!$I$55:$AJ$55,0)
),
0)</f>
        <v>210</v>
      </c>
      <c r="S413" s="669" cm="1">
        <f t="array" aca="1" ref="S413" ca="1">_xlfn.IFS(
CONFIG!$B$8="W1",H413-N413,
CONFIG!$B$8="W2",H413-O413,
CONFIG!$B$8="W3",H413-P413,
CONFIG!$B$8="W4",H413-Q413,
CONFIG!$B$8="W5",H413-R413
)</f>
        <v>74.97</v>
      </c>
      <c r="T413" s="652">
        <f t="shared" ca="1" si="124"/>
        <v>0.35699999999999998</v>
      </c>
    </row>
    <row r="414" spans="3:20">
      <c r="C414" s="116" t="str">
        <f>INDEX(KB!C:D,MATCH(D414,KB!D:D,0),1)</f>
        <v>Doanh thu</v>
      </c>
      <c r="D414" s="116" t="s">
        <v>556</v>
      </c>
      <c r="E414" s="321" t="s">
        <v>56</v>
      </c>
      <c r="F414" s="116" t="str">
        <f t="shared" si="125"/>
        <v>Doanh thuĐỗ Văn Duân - 62025</v>
      </c>
      <c r="G414" s="118" cm="1">
        <f t="array" ref="G414">IFERROR(INDEX(KB!$I$38:$AJ$50,MATCH(XL_DT_TD!E414,KB!$I$38:$I$50,0),MATCH(XL_DT_TD!D414,KB!$J$37:$AJ$37,0)+1),0)</f>
        <v>1400</v>
      </c>
      <c r="H414" s="118">
        <f>SUMIFS('DATA DT'!D:D,'DATA DT'!B:B,XL_DT_TD!E414)</f>
        <v>298.97000000000003</v>
      </c>
      <c r="I414" s="118">
        <f ca="1">H414/DAY(NOW()-1)*'Hieu Qua NV'!$J$1</f>
        <v>1494.8500000000001</v>
      </c>
      <c r="J414" s="118">
        <f t="shared" si="126"/>
        <v>1101.03</v>
      </c>
      <c r="K414" s="118">
        <f ca="1">J414/'Hieu Qua NV'!$J$2</f>
        <v>47.87086956521739</v>
      </c>
      <c r="L414" s="119">
        <f t="shared" ca="1" si="127"/>
        <v>1.0677500000000002</v>
      </c>
      <c r="M414" s="118">
        <f ca="1">IFERROR(
INDEX(
KB!$I$55:$AJ$68,
MATCH(E414,KB!$I$55:$I$68,0),
MATCH(D414,KB!$I$55:$AJ$55,0)
),
0)</f>
        <v>350</v>
      </c>
      <c r="S414" s="669" cm="1">
        <f t="array" aca="1" ref="S414" ca="1">_xlfn.IFS(
CONFIG!$B$8="W1",H414-N414,
CONFIG!$B$8="W2",H414-O414,
CONFIG!$B$8="W3",H414-P414,
CONFIG!$B$8="W4",H414-Q414,
CONFIG!$B$8="W5",H414-R414
)</f>
        <v>298.97000000000003</v>
      </c>
      <c r="T414" s="652">
        <f t="shared" ca="1" si="124"/>
        <v>0.85420000000000007</v>
      </c>
    </row>
    <row r="415" spans="3:20">
      <c r="C415" s="116" t="str">
        <f>INDEX(KB!C:D,MATCH(D415,KB!D:D,0),1)</f>
        <v>Doanh thu</v>
      </c>
      <c r="D415" s="116" t="s">
        <v>556</v>
      </c>
      <c r="E415" s="321" t="s">
        <v>530</v>
      </c>
      <c r="F415" s="116" t="str">
        <f t="shared" si="125"/>
        <v>Doanh thuNhân viên Mới 1</v>
      </c>
      <c r="G415" s="118" cm="1">
        <f t="array" ref="G415">IFERROR(INDEX(KB!$I$38:$AJ$50,MATCH(XL_DT_TD!E415,KB!$I$38:$I$50,0),MATCH(XL_DT_TD!D415,KB!$J$37:$AJ$37,0)+1),0)</f>
        <v>0</v>
      </c>
      <c r="H415" s="118">
        <f>SUMIFS('DATA DT'!D:D,'DATA DT'!B:B,XL_DT_TD!E415)</f>
        <v>0</v>
      </c>
      <c r="I415" s="118">
        <f ca="1">H415/DAY(NOW()-1)*'Hieu Qua NV'!$J$1</f>
        <v>0</v>
      </c>
      <c r="J415" s="118">
        <f t="shared" si="126"/>
        <v>0</v>
      </c>
      <c r="K415" s="118">
        <f ca="1">J415/'Hieu Qua NV'!$J$2</f>
        <v>0</v>
      </c>
      <c r="L415" s="119" t="e">
        <f t="shared" ca="1" si="127"/>
        <v>#DIV/0!</v>
      </c>
      <c r="M415" s="118">
        <f ca="1">IFERROR(
INDEX(
KB!$I$55:$AJ$68,
MATCH(E415,KB!$I$55:$I$68,0),
MATCH(D415,KB!$I$55:$AJ$55,0)
),
0)</f>
        <v>0</v>
      </c>
      <c r="S415" s="669" cm="1">
        <f t="array" aca="1" ref="S415" ca="1">_xlfn.IFS(
CONFIG!$B$8="W1",H415-N415,
CONFIG!$B$8="W2",H415-O415,
CONFIG!$B$8="W3",H415-P415,
CONFIG!$B$8="W4",H415-Q415,
CONFIG!$B$8="W5",H415-R415
)</f>
        <v>0</v>
      </c>
      <c r="T415" s="652">
        <f t="shared" ca="1" si="124"/>
        <v>0</v>
      </c>
    </row>
    <row r="416" spans="3:20">
      <c r="C416" s="116" t="str">
        <f>INDEX(KB!C:D,MATCH(D416,KB!D:D,0),1)</f>
        <v>Doanh thu</v>
      </c>
      <c r="D416" s="116" t="s">
        <v>556</v>
      </c>
      <c r="E416" s="321" t="s">
        <v>560</v>
      </c>
      <c r="F416" s="116" t="str">
        <f t="shared" si="125"/>
        <v>Doanh thuNhân viên Mới 2</v>
      </c>
      <c r="G416" s="118" cm="1">
        <f t="array" ref="G416">IFERROR(INDEX(KB!$I$38:$AJ$50,MATCH(XL_DT_TD!E416,KB!$I$38:$I$50,0),MATCH(XL_DT_TD!D416,KB!$J$37:$AJ$37,0)+1),0)</f>
        <v>0</v>
      </c>
      <c r="H416" s="118">
        <f>SUMIFS('DATA DT'!D:D,'DATA DT'!B:B,XL_DT_TD!E416)</f>
        <v>0</v>
      </c>
      <c r="I416" s="118">
        <f ca="1">H416/DAY(NOW()-1)*'Hieu Qua NV'!$J$1</f>
        <v>0</v>
      </c>
      <c r="J416" s="118">
        <f t="shared" si="126"/>
        <v>0</v>
      </c>
      <c r="K416" s="118">
        <f ca="1">J416/'Hieu Qua NV'!$J$2</f>
        <v>0</v>
      </c>
      <c r="L416" s="119" t="e">
        <f t="shared" ca="1" si="127"/>
        <v>#DIV/0!</v>
      </c>
      <c r="M416" s="118">
        <f ca="1">IFERROR(
INDEX(
KB!$I$55:$AJ$68,
MATCH(E416,KB!$I$55:$I$68,0),
MATCH(D416,KB!$I$55:$AJ$55,0)
),
0)</f>
        <v>0</v>
      </c>
      <c r="S416" s="669" cm="1">
        <f t="array" aca="1" ref="S416" ca="1">_xlfn.IFS(
CONFIG!$B$8="W1",H416-N416,
CONFIG!$B$8="W2",H416-O416,
CONFIG!$B$8="W3",H416-P416,
CONFIG!$B$8="W4",H416-Q416,
CONFIG!$B$8="W5",H416-R416
)</f>
        <v>0</v>
      </c>
      <c r="T416" s="652">
        <f t="shared" ca="1" si="124"/>
        <v>0</v>
      </c>
    </row>
    <row r="417" spans="1:20">
      <c r="C417" s="116" t="str">
        <f>INDEX(KB!C:D,MATCH(D417,KB!D:D,0),1)</f>
        <v>Doanh thu</v>
      </c>
      <c r="D417" s="116" t="s">
        <v>556</v>
      </c>
      <c r="E417" s="117" t="s">
        <v>281</v>
      </c>
      <c r="F417" s="116" t="str">
        <f t="shared" si="125"/>
        <v>Doanh thuTrần Thị Nhung - 11082</v>
      </c>
      <c r="G417" s="118" cm="1">
        <f t="array" ref="G417">IFERROR(INDEX(KB!$I$38:$AJ$50,MATCH(XL_DT_TD!E417,KB!$I$38:$I$50,0),MATCH(XL_DT_TD!D417,KB!$J$37:$AJ$37,0)+1),0)</f>
        <v>1350</v>
      </c>
      <c r="H417" s="118">
        <f>SUMIFS('DATA DT'!D:D,'DATA DT'!B:B,XL_DT_TD!E417)</f>
        <v>124</v>
      </c>
      <c r="I417" s="118">
        <f ca="1">H417/DAY(NOW()-1)*'Hieu Qua NV'!$J$1</f>
        <v>620</v>
      </c>
      <c r="J417" s="118">
        <f t="shared" si="126"/>
        <v>1226</v>
      </c>
      <c r="K417" s="118">
        <f ca="1">J417/'Hieu Qua NV'!$J$2</f>
        <v>53.304347826086953</v>
      </c>
      <c r="L417" s="119">
        <f t="shared" ca="1" si="127"/>
        <v>0.45925925925925926</v>
      </c>
      <c r="M417" s="118">
        <f ca="1">IFERROR(
INDEX(
KB!$I$55:$AJ$68,
MATCH(E417,KB!$I$55:$I$68,0),
MATCH(D417,KB!$I$55:$AJ$55,0)
),
0)</f>
        <v>338</v>
      </c>
      <c r="S417" s="669" cm="1">
        <f t="array" aca="1" ref="S417" ca="1">_xlfn.IFS(
CONFIG!$B$8="W1",H417-N417,
CONFIG!$B$8="W2",H417-O417,
CONFIG!$B$8="W3",H417-P417,
CONFIG!$B$8="W4",H417-Q417,
CONFIG!$B$8="W5",H417-R417
)</f>
        <v>124</v>
      </c>
      <c r="T417" s="652">
        <f t="shared" ca="1" si="124"/>
        <v>0.36686390532544377</v>
      </c>
    </row>
    <row r="418" spans="1:20">
      <c r="A418" s="12"/>
      <c r="C418" s="116" t="str">
        <f>INDEX(KB!C:D,MATCH(D418,KB!D:D,0),1)</f>
        <v>Doanh thu</v>
      </c>
      <c r="D418" s="116" t="s">
        <v>556</v>
      </c>
      <c r="E418" s="117" t="s">
        <v>282</v>
      </c>
      <c r="F418" s="116" t="str">
        <f t="shared" si="125"/>
        <v>Doanh thuNguyễn Thị Phương Oanh - 164808</v>
      </c>
      <c r="G418" s="118" cm="1">
        <f t="array" ref="G418">IFERROR(INDEX(KB!$I$38:$AJ$50,MATCH(XL_DT_TD!E418,KB!$I$38:$I$50,0),MATCH(XL_DT_TD!D418,KB!$J$37:$AJ$37,0)+1),0)</f>
        <v>1500</v>
      </c>
      <c r="H418" s="118">
        <f>SUMIFS('DATA DT'!D:D,'DATA DT'!B:B,XL_DT_TD!E418)</f>
        <v>76.959999999999994</v>
      </c>
      <c r="I418" s="118">
        <f ca="1">H418/DAY(NOW()-1)*'Hieu Qua NV'!$J$1</f>
        <v>384.8</v>
      </c>
      <c r="J418" s="118">
        <f t="shared" si="126"/>
        <v>1423.04</v>
      </c>
      <c r="K418" s="118">
        <f ca="1">J418/'Hieu Qua NV'!$J$2</f>
        <v>61.871304347826083</v>
      </c>
      <c r="L418" s="119">
        <f t="shared" ca="1" si="127"/>
        <v>0.25653333333333334</v>
      </c>
      <c r="M418" s="118">
        <f ca="1">IFERROR(
INDEX(
KB!$I$55:$AJ$68,
MATCH(E418,KB!$I$55:$I$68,0),
MATCH(D418,KB!$I$55:$AJ$55,0)
),
0)</f>
        <v>375</v>
      </c>
      <c r="S418" s="669" cm="1">
        <f t="array" aca="1" ref="S418" ca="1">_xlfn.IFS(
CONFIG!$B$8="W1",H418-N418,
CONFIG!$B$8="W2",H418-O418,
CONFIG!$B$8="W3",H418-P418,
CONFIG!$B$8="W4",H418-Q418,
CONFIG!$B$8="W5",H418-R418
)</f>
        <v>76.959999999999994</v>
      </c>
      <c r="T418" s="652">
        <f t="shared" ca="1" si="124"/>
        <v>0.20522666666666664</v>
      </c>
    </row>
    <row r="419" spans="1:20">
      <c r="C419" s="116" t="str">
        <f>INDEX(KB!C:D,MATCH(D419,KB!D:D,0),1)</f>
        <v>Doanh thu</v>
      </c>
      <c r="D419" s="116" t="s">
        <v>556</v>
      </c>
      <c r="E419" s="117" t="s">
        <v>283</v>
      </c>
      <c r="F419" s="121" t="str">
        <f t="shared" si="125"/>
        <v>Doanh thuNguyễn Anh Tài - 269055</v>
      </c>
      <c r="G419" s="118" cm="1">
        <f t="array" ref="G419">IFERROR(INDEX(KB!$I$38:$AJ$50,MATCH(XL_DT_TD!E419,KB!$I$38:$I$50,0),MATCH(XL_DT_TD!D419,KB!$J$37:$AJ$37,0)+1),0)</f>
        <v>1250</v>
      </c>
      <c r="H419" s="118">
        <f>SUMIFS('DATA DT'!D:D,'DATA DT'!B:B,XL_DT_TD!E419)</f>
        <v>69.67</v>
      </c>
      <c r="I419" s="118">
        <f ca="1">H419/DAY(NOW()-1)*'Hieu Qua NV'!$J$1</f>
        <v>348.34999999999997</v>
      </c>
      <c r="J419" s="118">
        <f t="shared" si="126"/>
        <v>1180.33</v>
      </c>
      <c r="K419" s="118">
        <f ca="1">J419/'Hieu Qua NV'!$J$2</f>
        <v>51.318695652173908</v>
      </c>
      <c r="L419" s="119">
        <f t="shared" ca="1" si="127"/>
        <v>0.27867999999999998</v>
      </c>
      <c r="M419" s="118">
        <f ca="1">IFERROR(
INDEX(
KB!$I$55:$AJ$68,
MATCH(E419,KB!$I$55:$I$68,0),
MATCH(D419,KB!$I$55:$AJ$55,0)
),
0)</f>
        <v>313</v>
      </c>
      <c r="S419" s="669" cm="1">
        <f t="array" aca="1" ref="S419" ca="1">_xlfn.IFS(
CONFIG!$B$8="W1",H419-N419,
CONFIG!$B$8="W2",H419-O419,
CONFIG!$B$8="W3",H419-P419,
CONFIG!$B$8="W4",H419-Q419,
CONFIG!$B$8="W5",H419-R419
)</f>
        <v>69.67</v>
      </c>
      <c r="T419" s="652">
        <f t="shared" ca="1" si="124"/>
        <v>0.22258785942492013</v>
      </c>
    </row>
    <row r="420" spans="1:20">
      <c r="C420" s="116" t="str">
        <f>INDEX(KB!C:D,MATCH(D420,KB!D:D,0),1)</f>
        <v>Doanh thu</v>
      </c>
      <c r="D420" s="116" t="s">
        <v>556</v>
      </c>
      <c r="E420" s="117" t="s">
        <v>284</v>
      </c>
      <c r="F420" s="116" t="str">
        <f>C420&amp;E420</f>
        <v>Doanh thuLê Văn Hợp - 279884</v>
      </c>
      <c r="G420" s="118" cm="1">
        <f t="array" ref="G420">IFERROR(INDEX(KB!$I$38:$AJ$50,MATCH(XL_DT_TD!E420,KB!$I$38:$I$50,0),MATCH(XL_DT_TD!D420,KB!$J$37:$AJ$37,0)+1),0)</f>
        <v>1000</v>
      </c>
      <c r="H420" s="118">
        <f>SUMIFS('DATA DT'!D:D,'DATA DT'!B:B,XL_DT_TD!E420)</f>
        <v>108.89</v>
      </c>
      <c r="I420" s="118">
        <f ca="1">H420/DAY(NOW()-1)*'Hieu Qua NV'!$J$1</f>
        <v>544.45000000000005</v>
      </c>
      <c r="J420" s="118">
        <f t="shared" si="126"/>
        <v>891.11</v>
      </c>
      <c r="K420" s="118">
        <f ca="1">J420/'Hieu Qua NV'!$J$2</f>
        <v>38.743913043478258</v>
      </c>
      <c r="L420" s="119">
        <f t="shared" ca="1" si="127"/>
        <v>0.5444500000000001</v>
      </c>
      <c r="M420" s="118">
        <f ca="1">IFERROR(
INDEX(
KB!$I$55:$AJ$68,
MATCH(E420,KB!$I$55:$I$68,0),
MATCH(D420,KB!$I$55:$AJ$55,0)
),
0)</f>
        <v>250</v>
      </c>
      <c r="S420" s="669" cm="1">
        <f t="array" aca="1" ref="S420" ca="1">_xlfn.IFS(
CONFIG!$B$8="W1",H420-N420,
CONFIG!$B$8="W2",H420-O420,
CONFIG!$B$8="W3",H420-P420,
CONFIG!$B$8="W4",H420-Q420,
CONFIG!$B$8="W5",H420-R420
)</f>
        <v>108.89</v>
      </c>
      <c r="T420" s="652">
        <f t="shared" ca="1" si="124"/>
        <v>0.43556</v>
      </c>
    </row>
    <row r="421" spans="1:20">
      <c r="C421" s="120" t="str">
        <f>INDEX(KB!C:D,MATCH(D421,KB!D:D,0),1)</f>
        <v>Doanh thu</v>
      </c>
      <c r="D421" s="116" t="s">
        <v>556</v>
      </c>
      <c r="E421" s="120" t="s">
        <v>20</v>
      </c>
      <c r="F421" s="121" t="str">
        <f t="shared" ref="F421" si="128">C421&amp;E421</f>
        <v>Doanh thuTổng</v>
      </c>
      <c r="G421" s="122">
        <f t="shared" ref="G421:I421" si="129">SUM(G408:G419)</f>
        <v>11345</v>
      </c>
      <c r="H421" s="122">
        <f t="shared" si="129"/>
        <v>1293.2100000000003</v>
      </c>
      <c r="I421" s="122">
        <f t="shared" ca="1" si="129"/>
        <v>6466.05</v>
      </c>
      <c r="J421" s="122">
        <f t="shared" ref="J421:J422" si="130">G421-H421</f>
        <v>10051.789999999999</v>
      </c>
      <c r="K421" s="122">
        <f ca="1">J421/'Hieu Qua NV'!$J$2</f>
        <v>437.0343478260869</v>
      </c>
      <c r="L421" s="119">
        <f t="shared" ref="L421:L435" ca="1" si="131">I421/G421</f>
        <v>0.56994711326575587</v>
      </c>
      <c r="M421" s="122">
        <f t="shared" ref="M421" ca="1" si="132">SUM(M408:M419)</f>
        <v>2838</v>
      </c>
      <c r="S421" s="669" cm="1">
        <f t="array" aca="1" ref="S421" ca="1">_xlfn.IFS(
CONFIG!$B$8="W1",H421-N421,
CONFIG!$B$8="W2",H421-O421,
CONFIG!$B$8="W3",H421-P421,
CONFIG!$B$8="W4",H421-Q421,
CONFIG!$B$8="W5",H421-R421
)</f>
        <v>1293.2100000000003</v>
      </c>
      <c r="T421" s="652">
        <f t="shared" ca="1" si="124"/>
        <v>0.45567653276955611</v>
      </c>
    </row>
    <row r="422" spans="1:20">
      <c r="B422" s="12" t="s">
        <v>202</v>
      </c>
      <c r="C422" s="116" t="str">
        <f>INDEX(KB!C:D,MATCH(D422,KB!D:D,0),1)</f>
        <v>Trả Chậm</v>
      </c>
      <c r="D422" s="116" t="s">
        <v>557</v>
      </c>
      <c r="E422" s="321" t="s">
        <v>57</v>
      </c>
      <c r="F422" s="116" t="str">
        <f>C422&amp;E422</f>
        <v>Trả ChậmNguyễn Thị Ngọc - 54026</v>
      </c>
      <c r="G422" s="118" cm="1">
        <f t="array" ref="G422">IFERROR(INDEX(KB!$I$38:$AJ$50,MATCH(XL_DT_TD!E422,KB!$I$38:$I$50,0),MATCH(XL_DT_TD!D422,KB!$J$37:$AJ$37,0)+1),0)</f>
        <v>262.5</v>
      </c>
      <c r="H422" s="118">
        <f>SUMIFS('DATA DT'!P:P,'DATA DT'!B:B,XL_DT_TD!B422)/100*SUMIFS('DATA DT'!O:O,'DATA DT'!B:B,XL_DT_TD!B422)</f>
        <v>23.091145000000001</v>
      </c>
      <c r="I422" s="118">
        <f ca="1">H422/DAY(NOW()-1)*'Hieu Qua NV'!$J$1</f>
        <v>115.45572500000002</v>
      </c>
      <c r="J422" s="118">
        <f t="shared" si="130"/>
        <v>239.40885499999999</v>
      </c>
      <c r="K422" s="118">
        <f ca="1">J422/'Hieu Qua NV'!$J$2</f>
        <v>10.409080652173913</v>
      </c>
      <c r="L422" s="119">
        <f t="shared" ca="1" si="131"/>
        <v>0.43983133333333341</v>
      </c>
      <c r="M422" s="118">
        <f ca="1">IFERROR(
INDEX(
KB!$I$55:$AJ$68,
MATCH(E422,KB!$I$55:$I$68,0),
MATCH(D422,KB!$I$55:$AJ$55,0)
),
0)</f>
        <v>66</v>
      </c>
      <c r="S422" s="669" cm="1">
        <f t="array" aca="1" ref="S422" ca="1">_xlfn.IFS(
CONFIG!$B$8="W1",H422-N422,
CONFIG!$B$8="W2",H422-O422,
CONFIG!$B$8="W3",H422-P422,
CONFIG!$B$8="W4",H422-Q422,
CONFIG!$B$8="W5",H422-R422
)</f>
        <v>23.091145000000001</v>
      </c>
      <c r="T422" s="652">
        <f t="shared" ca="1" si="124"/>
        <v>0.34986583333333332</v>
      </c>
    </row>
    <row r="423" spans="1:20">
      <c r="B423" s="12" t="s">
        <v>205</v>
      </c>
      <c r="C423" s="116" t="str">
        <f>INDEX(KB!C:D,MATCH(D423,KB!D:D,0),1)</f>
        <v>Trả Chậm</v>
      </c>
      <c r="D423" s="116" t="s">
        <v>557</v>
      </c>
      <c r="E423" s="321" t="s">
        <v>60</v>
      </c>
      <c r="F423" s="116" t="str">
        <f t="shared" ref="F423:F433" si="133">C423&amp;E423</f>
        <v>Trả ChậmNguyễn Viết Sơn - 94065</v>
      </c>
      <c r="G423" s="118" cm="1">
        <f t="array" ref="G423">IFERROR(INDEX(KB!$I$38:$AJ$50,MATCH(XL_DT_TD!E423,KB!$I$38:$I$50,0),MATCH(XL_DT_TD!D423,KB!$J$37:$AJ$37,0)+1),0)</f>
        <v>420</v>
      </c>
      <c r="H423" s="118">
        <f>SUMIFS('DATA DT'!P:P,'DATA DT'!B:B,XL_DT_TD!B423)/100*SUMIFS('DATA DT'!O:O,'DATA DT'!B:B,XL_DT_TD!B423)</f>
        <v>17.857364</v>
      </c>
      <c r="I423" s="118">
        <f ca="1">H423/DAY(NOW()-1)*'Hieu Qua NV'!$J$1</f>
        <v>89.286820000000006</v>
      </c>
      <c r="J423" s="118">
        <f t="shared" ref="J423:J434" si="134">G423-H423</f>
        <v>402.14263599999998</v>
      </c>
      <c r="K423" s="118">
        <f ca="1">J423/'Hieu Qua NV'!$J$2</f>
        <v>17.484462434782607</v>
      </c>
      <c r="L423" s="119">
        <f t="shared" ref="L423:L434" ca="1" si="135">I423/G423</f>
        <v>0.21258766666666667</v>
      </c>
      <c r="M423" s="118">
        <f ca="1">IFERROR(
INDEX(
KB!$I$55:$AJ$68,
MATCH(E423,KB!$I$55:$I$68,0),
MATCH(D423,KB!$I$55:$AJ$55,0)
),
0)</f>
        <v>105</v>
      </c>
      <c r="S423" s="669" cm="1">
        <f t="array" aca="1" ref="S423" ca="1">_xlfn.IFS(
CONFIG!$B$8="W1",H423-N423,
CONFIG!$B$8="W2",H423-O423,
CONFIG!$B$8="W3",H423-P423,
CONFIG!$B$8="W4",H423-Q423,
CONFIG!$B$8="W5",H423-R423
)</f>
        <v>17.857364</v>
      </c>
      <c r="T423" s="652">
        <f t="shared" ca="1" si="124"/>
        <v>0.17007013333333335</v>
      </c>
    </row>
    <row r="424" spans="1:20">
      <c r="B424" s="12" t="s">
        <v>45</v>
      </c>
      <c r="C424" s="116" t="str">
        <f>INDEX(KB!C:D,MATCH(D424,KB!D:D,0),1)</f>
        <v>Trả Chậm</v>
      </c>
      <c r="D424" s="116" t="s">
        <v>557</v>
      </c>
      <c r="E424" s="321" t="s">
        <v>15</v>
      </c>
      <c r="F424" s="116" t="str">
        <f t="shared" si="133"/>
        <v>Trả ChậmNguyễn Trang Nhung - 25734</v>
      </c>
      <c r="G424" s="118" cm="1">
        <f t="array" ref="G424">IFERROR(INDEX(KB!$I$38:$AJ$50,MATCH(XL_DT_TD!E424,KB!$I$38:$I$50,0),MATCH(XL_DT_TD!D424,KB!$J$37:$AJ$37,0)+1),0)</f>
        <v>294</v>
      </c>
      <c r="H424" s="118">
        <f>SUMIFS('DATA DT'!P:P,'DATA DT'!B:B,XL_DT_TD!B424)/100*SUMIFS('DATA DT'!O:O,'DATA DT'!B:B,XL_DT_TD!B424)</f>
        <v>11.78018</v>
      </c>
      <c r="I424" s="118">
        <f ca="1">H424/DAY(NOW()-1)*'Hieu Qua NV'!$J$1</f>
        <v>58.9009</v>
      </c>
      <c r="J424" s="118">
        <f t="shared" si="134"/>
        <v>282.21982000000003</v>
      </c>
      <c r="K424" s="118">
        <f ca="1">J424/'Hieu Qua NV'!$J$2</f>
        <v>12.270426956521741</v>
      </c>
      <c r="L424" s="119">
        <f t="shared" ca="1" si="135"/>
        <v>0.20034319727891156</v>
      </c>
      <c r="M424" s="118">
        <f ca="1">IFERROR(
INDEX(
KB!$I$55:$AJ$68,
MATCH(E424,KB!$I$55:$I$68,0),
MATCH(D424,KB!$I$55:$AJ$55,0)
),
0)</f>
        <v>74</v>
      </c>
      <c r="S424" s="669" cm="1">
        <f t="array" aca="1" ref="S424" ca="1">_xlfn.IFS(
CONFIG!$B$8="W1",H424-N424,
CONFIG!$B$8="W2",H424-O424,
CONFIG!$B$8="W3",H424-P424,
CONFIG!$B$8="W4",H424-Q424,
CONFIG!$B$8="W5",H424-R424
)</f>
        <v>11.78018</v>
      </c>
      <c r="T424" s="652">
        <f t="shared" ca="1" si="124"/>
        <v>0.15919162162162162</v>
      </c>
    </row>
    <row r="425" spans="1:20">
      <c r="A425" s="12"/>
      <c r="B425" s="12" t="s">
        <v>201</v>
      </c>
      <c r="C425" s="116" t="str">
        <f>INDEX(KB!C:D,MATCH(D425,KB!D:D,0),1)</f>
        <v>Trả Chậm</v>
      </c>
      <c r="D425" s="116" t="s">
        <v>557</v>
      </c>
      <c r="E425" s="321" t="s">
        <v>151</v>
      </c>
      <c r="F425" s="116" t="str">
        <f t="shared" si="133"/>
        <v>Trả ChậmTrần Huy Hoàn - 270828</v>
      </c>
      <c r="G425" s="118" cm="1">
        <f t="array" ref="G425">IFERROR(INDEX(KB!$I$38:$AJ$50,MATCH(XL_DT_TD!E425,KB!$I$38:$I$50,0),MATCH(XL_DT_TD!D425,KB!$J$37:$AJ$37,0)+1),0)</f>
        <v>315</v>
      </c>
      <c r="H425" s="118">
        <f>SUMIFS('DATA DT'!P:P,'DATA DT'!B:B,XL_DT_TD!B425)/100*SUMIFS('DATA DT'!O:O,'DATA DT'!B:B,XL_DT_TD!B425)</f>
        <v>0</v>
      </c>
      <c r="I425" s="118">
        <f ca="1">H425/DAY(NOW()-1)*'Hieu Qua NV'!$J$1</f>
        <v>0</v>
      </c>
      <c r="J425" s="118">
        <f t="shared" si="134"/>
        <v>315</v>
      </c>
      <c r="K425" s="118">
        <f ca="1">J425/'Hieu Qua NV'!$J$2</f>
        <v>13.695652173913043</v>
      </c>
      <c r="L425" s="119">
        <f t="shared" ca="1" si="135"/>
        <v>0</v>
      </c>
      <c r="M425" s="118">
        <f ca="1">IFERROR(
INDEX(
KB!$I$55:$AJ$68,
MATCH(E425,KB!$I$55:$I$68,0),
MATCH(D425,KB!$I$55:$AJ$55,0)
),
0)</f>
        <v>79</v>
      </c>
      <c r="S425" s="669" cm="1">
        <f t="array" aca="1" ref="S425" ca="1">_xlfn.IFS(
CONFIG!$B$8="W1",H425-N425,
CONFIG!$B$8="W2",H425-O425,
CONFIG!$B$8="W3",H425-P425,
CONFIG!$B$8="W4",H425-Q425,
CONFIG!$B$8="W5",H425-R425
)</f>
        <v>0</v>
      </c>
      <c r="T425" s="652">
        <f t="shared" ca="1" si="124"/>
        <v>0</v>
      </c>
    </row>
    <row r="426" spans="1:20">
      <c r="B426" s="12" t="s">
        <v>409</v>
      </c>
      <c r="C426" s="116" t="str">
        <f>INDEX(KB!C:D,MATCH(D426,KB!D:D,0),1)</f>
        <v>Trả Chậm</v>
      </c>
      <c r="D426" s="116" t="s">
        <v>557</v>
      </c>
      <c r="E426" s="321" t="s">
        <v>293</v>
      </c>
      <c r="F426" s="116" t="str">
        <f t="shared" si="133"/>
        <v>Trả ChậmPhạm Văn Thanh - 279935</v>
      </c>
      <c r="G426" s="118" cm="1">
        <f t="array" ref="G426">IFERROR(INDEX(KB!$I$38:$AJ$50,MATCH(XL_DT_TD!E426,KB!$I$38:$I$50,0),MATCH(XL_DT_TD!D426,KB!$J$37:$AJ$37,0)+1),0)</f>
        <v>252</v>
      </c>
      <c r="H426" s="118">
        <f>SUMIFS('DATA DT'!P:P,'DATA DT'!B:B,XL_DT_TD!B426)/100*SUMIFS('DATA DT'!O:O,'DATA DT'!B:B,XL_DT_TD!B426)</f>
        <v>6.2679330000000002</v>
      </c>
      <c r="I426" s="118">
        <f ca="1">H426/DAY(NOW()-1)*'Hieu Qua NV'!$J$1</f>
        <v>31.339665</v>
      </c>
      <c r="J426" s="118">
        <f t="shared" si="134"/>
        <v>245.732067</v>
      </c>
      <c r="K426" s="118">
        <f ca="1">J426/'Hieu Qua NV'!$J$2</f>
        <v>10.684002913043479</v>
      </c>
      <c r="L426" s="119">
        <f t="shared" ca="1" si="135"/>
        <v>0.12436375</v>
      </c>
      <c r="M426" s="118">
        <f ca="1">IFERROR(
INDEX(
KB!$I$55:$AJ$68,
MATCH(E426,KB!$I$55:$I$68,0),
MATCH(D426,KB!$I$55:$AJ$55,0)
),
0)</f>
        <v>63</v>
      </c>
      <c r="S426" s="669" cm="1">
        <f t="array" aca="1" ref="S426" ca="1">_xlfn.IFS(
CONFIG!$B$8="W1",H426-N426,
CONFIG!$B$8="W2",H426-O426,
CONFIG!$B$8="W3",H426-P426,
CONFIG!$B$8="W4",H426-Q426,
CONFIG!$B$8="W5",H426-R426
)</f>
        <v>6.2679330000000002</v>
      </c>
      <c r="T426" s="652">
        <f t="shared" ca="1" si="124"/>
        <v>9.949100000000001E-2</v>
      </c>
    </row>
    <row r="427" spans="1:20">
      <c r="A427" s="12"/>
      <c r="B427" s="12" t="s">
        <v>434</v>
      </c>
      <c r="C427" s="116" t="str">
        <f>INDEX(KB!C:D,MATCH(D427,KB!D:D,0),1)</f>
        <v>Trả Chậm</v>
      </c>
      <c r="D427" s="116" t="s">
        <v>557</v>
      </c>
      <c r="E427" s="321" t="s">
        <v>433</v>
      </c>
      <c r="F427" s="116" t="str">
        <f t="shared" si="133"/>
        <v>Trả ChậmNguyễn Thành Đạt - 280855</v>
      </c>
      <c r="G427" s="118" cm="1">
        <f t="array" ref="G427">IFERROR(INDEX(KB!$I$38:$AJ$50,MATCH(XL_DT_TD!E427,KB!$I$38:$I$50,0),MATCH(XL_DT_TD!D427,KB!$J$37:$AJ$37,0)+1),0)</f>
        <v>252</v>
      </c>
      <c r="H427" s="118">
        <f>SUMIFS('DATA DT'!P:P,'DATA DT'!B:B,XL_DT_TD!B427)/100*SUMIFS('DATA DT'!O:O,'DATA DT'!B:B,XL_DT_TD!B427)</f>
        <v>4.8206340000000001</v>
      </c>
      <c r="I427" s="118">
        <f ca="1">H427/DAY(NOW()-1)*'Hieu Qua NV'!$J$1</f>
        <v>24.103169999999999</v>
      </c>
      <c r="J427" s="118">
        <f t="shared" si="134"/>
        <v>247.17936599999999</v>
      </c>
      <c r="K427" s="118">
        <f ca="1">J427/'Hieu Qua NV'!$J$2</f>
        <v>10.746928956521739</v>
      </c>
      <c r="L427" s="119">
        <f t="shared" ca="1" si="135"/>
        <v>9.5647499999999996E-2</v>
      </c>
      <c r="M427" s="118">
        <f ca="1">IFERROR(
INDEX(
KB!$I$55:$AJ$68,
MATCH(E427,KB!$I$55:$I$68,0),
MATCH(D427,KB!$I$55:$AJ$55,0)
),
0)</f>
        <v>63</v>
      </c>
      <c r="S427" s="669" cm="1">
        <f t="array" aca="1" ref="S427" ca="1">_xlfn.IFS(
CONFIG!$B$8="W1",H427-N427,
CONFIG!$B$8="W2",H427-O427,
CONFIG!$B$8="W3",H427-P427,
CONFIG!$B$8="W4",H427-Q427,
CONFIG!$B$8="W5",H427-R427
)</f>
        <v>4.8206340000000001</v>
      </c>
      <c r="T427" s="652">
        <f t="shared" ca="1" si="124"/>
        <v>7.6518000000000003E-2</v>
      </c>
    </row>
    <row r="428" spans="1:20">
      <c r="A428" s="12"/>
      <c r="B428" s="12" t="s">
        <v>203</v>
      </c>
      <c r="C428" s="116" t="str">
        <f>INDEX(KB!C:D,MATCH(D428,KB!D:D,0),1)</f>
        <v>Trả Chậm</v>
      </c>
      <c r="D428" s="116" t="s">
        <v>557</v>
      </c>
      <c r="E428" s="321" t="s">
        <v>56</v>
      </c>
      <c r="F428" s="116" t="str">
        <f t="shared" si="133"/>
        <v>Trả ChậmĐỗ Văn Duân - 62025</v>
      </c>
      <c r="G428" s="118" cm="1">
        <f t="array" ref="G428">IFERROR(INDEX(KB!$I$38:$AJ$50,MATCH(XL_DT_TD!E428,KB!$I$38:$I$50,0),MATCH(XL_DT_TD!D428,KB!$J$37:$AJ$37,0)+1),0)</f>
        <v>420</v>
      </c>
      <c r="H428" s="118">
        <f>SUMIFS('DATA DT'!P:P,'DATA DT'!B:B,XL_DT_TD!B428)/100*SUMIFS('DATA DT'!O:O,'DATA DT'!B:B,XL_DT_TD!B428)</f>
        <v>28.128477999999998</v>
      </c>
      <c r="I428" s="118">
        <f ca="1">H428/DAY(NOW()-1)*'Hieu Qua NV'!$J$1</f>
        <v>140.64238999999998</v>
      </c>
      <c r="J428" s="118">
        <f t="shared" si="134"/>
        <v>391.87152200000003</v>
      </c>
      <c r="K428" s="118">
        <f ca="1">J428/'Hieu Qua NV'!$J$2</f>
        <v>17.037892260869565</v>
      </c>
      <c r="L428" s="119">
        <f t="shared" ca="1" si="135"/>
        <v>0.33486283333333328</v>
      </c>
      <c r="M428" s="118">
        <f ca="1">IFERROR(
INDEX(
KB!$I$55:$AJ$68,
MATCH(E428,KB!$I$55:$I$68,0),
MATCH(D428,KB!$I$55:$AJ$55,0)
),
0)</f>
        <v>105</v>
      </c>
      <c r="S428" s="669" cm="1">
        <f t="array" aca="1" ref="S428" ca="1">_xlfn.IFS(
CONFIG!$B$8="W1",H428-N428,
CONFIG!$B$8="W2",H428-O428,
CONFIG!$B$8="W3",H428-P428,
CONFIG!$B$8="W4",H428-Q428,
CONFIG!$B$8="W5",H428-R428
)</f>
        <v>28.128477999999998</v>
      </c>
      <c r="T428" s="652">
        <f t="shared" ca="1" si="124"/>
        <v>0.26789026666666665</v>
      </c>
    </row>
    <row r="429" spans="1:20">
      <c r="B429" s="12"/>
      <c r="C429" s="116" t="str">
        <f>INDEX(KB!C:D,MATCH(D429,KB!D:D,0),1)</f>
        <v>Trả Chậm</v>
      </c>
      <c r="D429" s="116" t="s">
        <v>557</v>
      </c>
      <c r="E429" s="321" t="s">
        <v>530</v>
      </c>
      <c r="F429" s="116" t="str">
        <f t="shared" si="133"/>
        <v>Trả ChậmNhân viên Mới 1</v>
      </c>
      <c r="G429" s="118" cm="1">
        <f t="array" ref="G429">IFERROR(INDEX(KB!$I$38:$AJ$50,MATCH(XL_DT_TD!E429,KB!$I$38:$I$50,0),MATCH(XL_DT_TD!D429,KB!$J$37:$AJ$37,0)+1),0)</f>
        <v>0</v>
      </c>
      <c r="H429" s="118">
        <f>SUMIFS('DATA DT'!P:P,'DATA DT'!B:B,XL_DT_TD!B429)/100*SUMIFS('DATA DT'!O:O,'DATA DT'!B:B,XL_DT_TD!B429)</f>
        <v>0</v>
      </c>
      <c r="I429" s="118">
        <f ca="1">H429/DAY(NOW()-1)*'Hieu Qua NV'!$J$1</f>
        <v>0</v>
      </c>
      <c r="J429" s="118">
        <f t="shared" si="134"/>
        <v>0</v>
      </c>
      <c r="K429" s="118">
        <f ca="1">J429/'Hieu Qua NV'!$J$2</f>
        <v>0</v>
      </c>
      <c r="L429" s="119" t="e">
        <f t="shared" ca="1" si="135"/>
        <v>#DIV/0!</v>
      </c>
      <c r="M429" s="118">
        <f ca="1">IFERROR(
INDEX(
KB!$I$55:$AJ$68,
MATCH(E429,KB!$I$55:$I$68,0),
MATCH(D429,KB!$I$55:$AJ$55,0)
),
0)</f>
        <v>0</v>
      </c>
      <c r="S429" s="669" cm="1">
        <f t="array" aca="1" ref="S429" ca="1">_xlfn.IFS(
CONFIG!$B$8="W1",H429-N429,
CONFIG!$B$8="W2",H429-O429,
CONFIG!$B$8="W3",H429-P429,
CONFIG!$B$8="W4",H429-Q429,
CONFIG!$B$8="W5",H429-R429
)</f>
        <v>0</v>
      </c>
      <c r="T429" s="652">
        <f t="shared" ca="1" si="124"/>
        <v>0</v>
      </c>
    </row>
    <row r="430" spans="1:20">
      <c r="B430" s="12"/>
      <c r="C430" s="116" t="str">
        <f>INDEX(KB!C:D,MATCH(D430,KB!D:D,0),1)</f>
        <v>Trả Chậm</v>
      </c>
      <c r="D430" s="116" t="s">
        <v>557</v>
      </c>
      <c r="E430" s="321" t="s">
        <v>560</v>
      </c>
      <c r="F430" s="116" t="str">
        <f t="shared" si="133"/>
        <v>Trả ChậmNhân viên Mới 2</v>
      </c>
      <c r="G430" s="118" cm="1">
        <f t="array" ref="G430">IFERROR(INDEX(KB!$I$38:$AJ$50,MATCH(XL_DT_TD!E430,KB!$I$38:$I$50,0),MATCH(XL_DT_TD!D430,KB!$J$37:$AJ$37,0)+1),0)</f>
        <v>0</v>
      </c>
      <c r="H430" s="118">
        <f>SUMIFS('DATA DT'!P:P,'DATA DT'!B:B,XL_DT_TD!B430)/100*SUMIFS('DATA DT'!O:O,'DATA DT'!B:B,XL_DT_TD!B430)</f>
        <v>0</v>
      </c>
      <c r="I430" s="118">
        <f ca="1">H430/DAY(NOW()-1)*'Hieu Qua NV'!$J$1</f>
        <v>0</v>
      </c>
      <c r="J430" s="118">
        <f t="shared" si="134"/>
        <v>0</v>
      </c>
      <c r="K430" s="118">
        <f ca="1">J430/'Hieu Qua NV'!$J$2</f>
        <v>0</v>
      </c>
      <c r="L430" s="119" t="e">
        <f t="shared" ca="1" si="135"/>
        <v>#DIV/0!</v>
      </c>
      <c r="M430" s="118">
        <f ca="1">IFERROR(
INDEX(
KB!$I$55:$AJ$68,
MATCH(E430,KB!$I$55:$I$68,0),
MATCH(D430,KB!$I$55:$AJ$55,0)
),
0)</f>
        <v>0</v>
      </c>
      <c r="S430" s="669" cm="1">
        <f t="array" aca="1" ref="S430" ca="1">_xlfn.IFS(
CONFIG!$B$8="W1",H430-N430,
CONFIG!$B$8="W2",H430-O430,
CONFIG!$B$8="W3",H430-P430,
CONFIG!$B$8="W4",H430-Q430,
CONFIG!$B$8="W5",H430-R430
)</f>
        <v>0</v>
      </c>
      <c r="T430" s="652">
        <f t="shared" ca="1" si="124"/>
        <v>0</v>
      </c>
    </row>
    <row r="431" spans="1:20" ht="17">
      <c r="B431" s="23" t="s">
        <v>285</v>
      </c>
      <c r="C431" s="116" t="str">
        <f>INDEX(KB!C:D,MATCH(D431,KB!D:D,0),1)</f>
        <v>Trả Chậm</v>
      </c>
      <c r="D431" s="116" t="s">
        <v>557</v>
      </c>
      <c r="E431" s="117" t="s">
        <v>281</v>
      </c>
      <c r="F431" s="116" t="str">
        <f t="shared" si="133"/>
        <v>Trả ChậmTrần Thị Nhung - 11082</v>
      </c>
      <c r="G431" s="118" cm="1">
        <f t="array" ref="G431">IFERROR(INDEX(KB!$I$38:$AJ$50,MATCH(XL_DT_TD!E431,KB!$I$38:$I$50,0),MATCH(XL_DT_TD!D431,KB!$J$37:$AJ$37,0)+1),0)</f>
        <v>540</v>
      </c>
      <c r="H431" s="118">
        <f>SUMIFS('DATA DT'!P:P,'DATA DT'!B:B,XL_DT_TD!B431)/100*SUMIFS('DATA DT'!O:O,'DATA DT'!B:B,XL_DT_TD!B431)</f>
        <v>39.806720999999996</v>
      </c>
      <c r="I431" s="118">
        <f ca="1">H431/DAY(NOW()-1)*'Hieu Qua NV'!$J$1</f>
        <v>199.03360499999997</v>
      </c>
      <c r="J431" s="118">
        <f t="shared" si="134"/>
        <v>500.19327900000002</v>
      </c>
      <c r="K431" s="118">
        <f ca="1">J431/'Hieu Qua NV'!$J$2</f>
        <v>21.747533869565217</v>
      </c>
      <c r="L431" s="119">
        <f t="shared" ca="1" si="135"/>
        <v>0.36858074999999996</v>
      </c>
      <c r="M431" s="118">
        <f ca="1">IFERROR(
INDEX(
KB!$I$55:$AJ$68,
MATCH(E431,KB!$I$55:$I$68,0),
MATCH(D431,KB!$I$55:$AJ$55,0)
),
0)</f>
        <v>135</v>
      </c>
      <c r="S431" s="669" cm="1">
        <f t="array" aca="1" ref="S431" ca="1">_xlfn.IFS(
CONFIG!$B$8="W1",H431-N431,
CONFIG!$B$8="W2",H431-O431,
CONFIG!$B$8="W3",H431-P431,
CONFIG!$B$8="W4",H431-Q431,
CONFIG!$B$8="W5",H431-R431
)</f>
        <v>39.806720999999996</v>
      </c>
      <c r="T431" s="652">
        <f t="shared" ca="1" si="124"/>
        <v>0.29486459999999998</v>
      </c>
    </row>
    <row r="432" spans="1:20" ht="17">
      <c r="B432" s="23" t="s">
        <v>286</v>
      </c>
      <c r="C432" s="116" t="str">
        <f>INDEX(KB!C:D,MATCH(D432,KB!D:D,0),1)</f>
        <v>Trả Chậm</v>
      </c>
      <c r="D432" s="116" t="s">
        <v>557</v>
      </c>
      <c r="E432" s="117" t="s">
        <v>282</v>
      </c>
      <c r="F432" s="116" t="str">
        <f t="shared" si="133"/>
        <v>Trả ChậmNguyễn Thị Phương Oanh - 164808</v>
      </c>
      <c r="G432" s="118" cm="1">
        <f t="array" ref="G432">IFERROR(INDEX(KB!$I$38:$AJ$50,MATCH(XL_DT_TD!E432,KB!$I$38:$I$50,0),MATCH(XL_DT_TD!D432,KB!$J$37:$AJ$37,0)+1),0)</f>
        <v>600</v>
      </c>
      <c r="H432" s="118">
        <f>SUMIFS('DATA DT'!P:P,'DATA DT'!B:B,XL_DT_TD!B432)/100*SUMIFS('DATA DT'!O:O,'DATA DT'!B:B,XL_DT_TD!B432)</f>
        <v>11.070576000000001</v>
      </c>
      <c r="I432" s="118">
        <f ca="1">H432/DAY(NOW()-1)*'Hieu Qua NV'!$J$1</f>
        <v>55.352879999999999</v>
      </c>
      <c r="J432" s="118">
        <f t="shared" si="134"/>
        <v>588.92942400000004</v>
      </c>
      <c r="K432" s="118">
        <f ca="1">J432/'Hieu Qua NV'!$J$2</f>
        <v>25.605627130434783</v>
      </c>
      <c r="L432" s="119">
        <f t="shared" ca="1" si="135"/>
        <v>9.2254799999999998E-2</v>
      </c>
      <c r="M432" s="118">
        <f ca="1">IFERROR(
INDEX(
KB!$I$55:$AJ$68,
MATCH(E432,KB!$I$55:$I$68,0),
MATCH(D432,KB!$I$55:$AJ$55,0)
),
0)</f>
        <v>150</v>
      </c>
      <c r="S432" s="669" cm="1">
        <f t="array" aca="1" ref="S432" ca="1">_xlfn.IFS(
CONFIG!$B$8="W1",H432-N432,
CONFIG!$B$8="W2",H432-O432,
CONFIG!$B$8="W3",H432-P432,
CONFIG!$B$8="W4",H432-Q432,
CONFIG!$B$8="W5",H432-R432
)</f>
        <v>11.070576000000001</v>
      </c>
      <c r="T432" s="652">
        <f t="shared" ca="1" si="124"/>
        <v>7.3803840000000009E-2</v>
      </c>
    </row>
    <row r="433" spans="1:20" ht="17">
      <c r="A433" s="12"/>
      <c r="B433" s="23" t="s">
        <v>287</v>
      </c>
      <c r="C433" s="116" t="str">
        <f>INDEX(KB!C:D,MATCH(D433,KB!D:D,0),1)</f>
        <v>Trả Chậm</v>
      </c>
      <c r="D433" s="116" t="s">
        <v>557</v>
      </c>
      <c r="E433" s="117" t="s">
        <v>283</v>
      </c>
      <c r="F433" s="121" t="str">
        <f t="shared" si="133"/>
        <v>Trả ChậmNguyễn Anh Tài - 269055</v>
      </c>
      <c r="G433" s="118" cm="1">
        <f t="array" ref="G433">IFERROR(INDEX(KB!$I$38:$AJ$50,MATCH(XL_DT_TD!E433,KB!$I$38:$I$50,0),MATCH(XL_DT_TD!D433,KB!$J$37:$AJ$37,0)+1),0)</f>
        <v>500</v>
      </c>
      <c r="H433" s="118">
        <f>SUMIFS('DATA DT'!P:P,'DATA DT'!B:B,XL_DT_TD!B433)/100*SUMIFS('DATA DT'!O:O,'DATA DT'!B:B,XL_DT_TD!B433)</f>
        <v>5.7315860000000001</v>
      </c>
      <c r="I433" s="118">
        <f ca="1">H433/DAY(NOW()-1)*'Hieu Qua NV'!$J$1</f>
        <v>28.65793</v>
      </c>
      <c r="J433" s="118">
        <f t="shared" si="134"/>
        <v>494.26841400000001</v>
      </c>
      <c r="K433" s="118">
        <f ca="1">J433/'Hieu Qua NV'!$J$2</f>
        <v>21.489931043478261</v>
      </c>
      <c r="L433" s="119">
        <f t="shared" ca="1" si="135"/>
        <v>5.7315860000000003E-2</v>
      </c>
      <c r="M433" s="118">
        <f ca="1">IFERROR(
INDEX(
KB!$I$55:$AJ$68,
MATCH(E433,KB!$I$55:$I$68,0),
MATCH(D433,KB!$I$55:$AJ$55,0)
),
0)</f>
        <v>125</v>
      </c>
      <c r="S433" s="669" cm="1">
        <f t="array" aca="1" ref="S433" ca="1">_xlfn.IFS(
CONFIG!$B$8="W1",H433-N433,
CONFIG!$B$8="W2",H433-O433,
CONFIG!$B$8="W3",H433-P433,
CONFIG!$B$8="W4",H433-Q433,
CONFIG!$B$8="W5",H433-R433
)</f>
        <v>5.7315860000000001</v>
      </c>
      <c r="T433" s="652">
        <f t="shared" ca="1" si="124"/>
        <v>4.5852688000000003E-2</v>
      </c>
    </row>
    <row r="434" spans="1:20" ht="17">
      <c r="A434"/>
      <c r="B434" s="23" t="s">
        <v>410</v>
      </c>
      <c r="C434" s="116" t="str">
        <f>INDEX(KB!C:D,MATCH(D434,KB!D:D,0),1)</f>
        <v>Trả Chậm</v>
      </c>
      <c r="D434" s="116" t="s">
        <v>557</v>
      </c>
      <c r="E434" s="117" t="s">
        <v>284</v>
      </c>
      <c r="F434" s="116" t="str">
        <f>C434&amp;E434</f>
        <v>Trả ChậmLê Văn Hợp - 279884</v>
      </c>
      <c r="G434" s="118" cm="1">
        <f t="array" ref="G434">IFERROR(INDEX(KB!$I$38:$AJ$50,MATCH(XL_DT_TD!E434,KB!$I$38:$I$50,0),MATCH(XL_DT_TD!D434,KB!$J$37:$AJ$37,0)+1),0)</f>
        <v>400</v>
      </c>
      <c r="H434" s="118">
        <f>SUMIFS('DATA DT'!P:P,'DATA DT'!B:B,XL_DT_TD!B434)/100*SUMIFS('DATA DT'!O:O,'DATA DT'!B:B,XL_DT_TD!B434)</f>
        <v>26.725629999999995</v>
      </c>
      <c r="I434" s="118">
        <f ca="1">H434/DAY(NOW()-1)*'Hieu Qua NV'!$J$1</f>
        <v>133.62814999999998</v>
      </c>
      <c r="J434" s="118">
        <f t="shared" si="134"/>
        <v>373.27436999999998</v>
      </c>
      <c r="K434" s="118">
        <f ca="1">J434/'Hieu Qua NV'!$J$2</f>
        <v>16.229320434782608</v>
      </c>
      <c r="L434" s="119">
        <f t="shared" ca="1" si="135"/>
        <v>0.33407037499999992</v>
      </c>
      <c r="M434" s="118">
        <f ca="1">IFERROR(
INDEX(
KB!$I$55:$AJ$68,
MATCH(E434,KB!$I$55:$I$68,0),
MATCH(D434,KB!$I$55:$AJ$55,0)
),
0)</f>
        <v>100</v>
      </c>
      <c r="S434" s="669" cm="1">
        <f t="array" aca="1" ref="S434" ca="1">_xlfn.IFS(
CONFIG!$B$8="W1",H434-N434,
CONFIG!$B$8="W2",H434-O434,
CONFIG!$B$8="W3",H434-P434,
CONFIG!$B$8="W4",H434-Q434,
CONFIG!$B$8="W5",H434-R434
)</f>
        <v>26.725629999999995</v>
      </c>
      <c r="T434" s="652">
        <f t="shared" ca="1" si="124"/>
        <v>0.26725629999999995</v>
      </c>
    </row>
    <row r="435" spans="1:20">
      <c r="A435"/>
      <c r="C435" s="120" t="str">
        <f>INDEX(KB!C:D,MATCH(D435,KB!D:D,0),1)</f>
        <v>Trả Chậm</v>
      </c>
      <c r="D435" s="116" t="s">
        <v>557</v>
      </c>
      <c r="E435" s="120" t="s">
        <v>20</v>
      </c>
      <c r="F435" s="121" t="str">
        <f t="shared" ref="F435" si="136">C435&amp;E435</f>
        <v>Trả ChậmTổng</v>
      </c>
      <c r="G435" s="122">
        <f t="shared" ref="G435:I435" si="137">SUM(G422:G433)</f>
        <v>3855.5</v>
      </c>
      <c r="H435" s="122">
        <f t="shared" si="137"/>
        <v>148.55461699999998</v>
      </c>
      <c r="I435" s="122">
        <f t="shared" ca="1" si="137"/>
        <v>742.77308499999992</v>
      </c>
      <c r="J435" s="122">
        <f t="shared" ref="J435" si="138">G435-H435</f>
        <v>3706.9453830000002</v>
      </c>
      <c r="K435" s="122">
        <f ca="1">J435/'Hieu Qua NV'!$J$2</f>
        <v>161.17153839130435</v>
      </c>
      <c r="L435" s="119">
        <f t="shared" ca="1" si="131"/>
        <v>0.19265285566074436</v>
      </c>
      <c r="M435" s="122">
        <f t="shared" ref="M435" ca="1" si="139">SUM(M422:M433)</f>
        <v>965</v>
      </c>
      <c r="S435" s="669" cm="1">
        <f t="array" aca="1" ref="S435" ca="1">_xlfn.IFS(
CONFIG!$B$8="W1",H435-N435,
CONFIG!$B$8="W2",H435-O435,
CONFIG!$B$8="W3",H435-P435,
CONFIG!$B$8="W4",H435-Q435,
CONFIG!$B$8="W5",H435-R435
)</f>
        <v>148.55461699999998</v>
      </c>
      <c r="T435" s="652">
        <f t="shared" ca="1" si="124"/>
        <v>0.15394260829015541</v>
      </c>
    </row>
    <row r="436" spans="1:20">
      <c r="A436"/>
    </row>
    <row r="437" spans="1:20">
      <c r="A437"/>
    </row>
    <row r="438" spans="1:20" ht="17">
      <c r="A438" s="604"/>
    </row>
    <row r="439" spans="1:20" ht="17">
      <c r="A439" s="23"/>
    </row>
    <row r="440" spans="1:20" ht="17">
      <c r="A440" s="23"/>
    </row>
  </sheetData>
  <autoFilter ref="B1:R407" xr:uid="{2F7EE77F-EA0C-4A46-85D6-3FEFE40CE7AF}"/>
  <customSheetViews>
    <customSheetView guid="{FEB50EEF-352C-B844-A6F4-33499875B85A}" showAutoFilter="1" hiddenColumns="1">
      <pane ySplit="1" topLeftCell="A208" activePane="bottomLeft" state="frozen"/>
      <selection pane="bottomLeft" activeCell="P222" sqref="P222"/>
      <pageMargins left="0.7" right="0.7" top="0.75" bottom="0.75" header="0.3" footer="0.3"/>
      <pageSetup orientation="portrait" r:id="rId1"/>
      <autoFilter ref="B1:T216" xr:uid="{CF001E05-81E0-BA4C-97EA-EB965A89C520}"/>
    </customSheetView>
  </customSheetViews>
  <phoneticPr fontId="45" type="noConversion"/>
  <conditionalFormatting sqref="L2:L435">
    <cfRule type="cellIs" dxfId="1" priority="9" operator="lessThan">
      <formula>1</formula>
    </cfRule>
  </conditionalFormatting>
  <conditionalFormatting sqref="Q3:R14">
    <cfRule type="containsErrors" dxfId="0" priority="12">
      <formula>ISERROR(Q3)</formula>
    </cfRule>
  </conditionalFormatting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F0BF9-44FA-9D4F-B48A-C9C1B23F1D22}">
  <sheetPr codeName="Sheet10"/>
  <dimension ref="A1:S55"/>
  <sheetViews>
    <sheetView tabSelected="1" zoomScale="80" zoomScaleNormal="80" workbookViewId="0">
      <selection activeCell="K1" sqref="K1:R24"/>
    </sheetView>
  </sheetViews>
  <sheetFormatPr baseColWidth="10" defaultColWidth="11" defaultRowHeight="12"/>
  <cols>
    <col min="1" max="1" width="29.5" style="306" customWidth="1"/>
    <col min="2" max="2" width="9.83203125" style="306" bestFit="1" customWidth="1"/>
    <col min="3" max="3" width="10.1640625" style="306" bestFit="1" customWidth="1"/>
    <col min="4" max="5" width="15.1640625" style="306" bestFit="1" customWidth="1"/>
    <col min="6" max="6" width="16" style="306" bestFit="1" customWidth="1"/>
    <col min="7" max="7" width="25.6640625" style="306" bestFit="1" customWidth="1"/>
    <col min="8" max="8" width="1.83203125" style="306" hidden="1" customWidth="1"/>
    <col min="9" max="9" width="11.5" style="611" customWidth="1"/>
    <col min="10" max="10" width="1" style="313" customWidth="1"/>
    <col min="11" max="11" width="31.6640625" style="306" customWidth="1"/>
    <col min="12" max="13" width="10.1640625" style="306" bestFit="1" customWidth="1"/>
    <col min="14" max="14" width="21" style="306" bestFit="1" customWidth="1"/>
    <col min="15" max="15" width="15.83203125" style="306" bestFit="1" customWidth="1"/>
    <col min="16" max="16" width="22.33203125" style="306" bestFit="1" customWidth="1"/>
    <col min="17" max="17" width="25.6640625" style="306" bestFit="1" customWidth="1"/>
    <col min="18" max="18" width="0.5" style="306" customWidth="1"/>
    <col min="19" max="19" width="10.6640625" style="611" customWidth="1"/>
    <col min="20" max="16384" width="11" style="306"/>
  </cols>
  <sheetData>
    <row r="1" spans="1:19" ht="17">
      <c r="A1" s="13" t="s">
        <v>23</v>
      </c>
      <c r="B1" s="13" t="s">
        <v>19</v>
      </c>
      <c r="C1" s="13" t="s">
        <v>12</v>
      </c>
      <c r="D1" s="13" t="s">
        <v>65</v>
      </c>
      <c r="E1" s="13" t="s">
        <v>66</v>
      </c>
      <c r="F1" s="13" t="s">
        <v>21</v>
      </c>
      <c r="G1" s="13" t="s">
        <v>22</v>
      </c>
      <c r="H1" s="964"/>
      <c r="I1" s="609">
        <f>IFERROR(VLOOKUP(A1,KB!$C$2:$E$37,3,0),)</f>
        <v>0</v>
      </c>
      <c r="J1" s="322"/>
      <c r="K1" s="13" t="s">
        <v>23</v>
      </c>
      <c r="L1" s="13" t="s">
        <v>19</v>
      </c>
      <c r="M1" s="13" t="s">
        <v>12</v>
      </c>
      <c r="N1" s="13" t="s">
        <v>65</v>
      </c>
      <c r="O1" s="13" t="s">
        <v>66</v>
      </c>
      <c r="P1" s="13" t="s">
        <v>21</v>
      </c>
      <c r="Q1" s="13" t="s">
        <v>22</v>
      </c>
      <c r="R1" s="964"/>
      <c r="S1" s="609" t="str">
        <f>IFERROR(VLOOKUP(K1,Table4[[Nhóm Thi Đua]:[Ghi chú]],3,0),"")</f>
        <v/>
      </c>
    </row>
    <row r="2" spans="1:19" ht="17">
      <c r="A2" s="12" t="s">
        <v>20</v>
      </c>
      <c r="B2" s="12">
        <v>33</v>
      </c>
      <c r="C2" s="12">
        <v>338</v>
      </c>
      <c r="D2" s="33">
        <v>9.7699999999999995E-2</v>
      </c>
      <c r="E2" s="12"/>
      <c r="F2" s="12"/>
      <c r="G2" s="12"/>
      <c r="H2" s="12"/>
      <c r="I2" s="609">
        <f>IFERROR(VLOOKUP(A2,KB!$C$2:$E$37,3,0),)</f>
        <v>0</v>
      </c>
      <c r="J2" s="323"/>
      <c r="K2" s="12" t="s">
        <v>20</v>
      </c>
      <c r="L2" s="12">
        <v>135</v>
      </c>
      <c r="M2" s="12">
        <v>863</v>
      </c>
      <c r="N2" s="33">
        <v>0.15640000000000001</v>
      </c>
      <c r="O2" s="12"/>
      <c r="P2" s="12"/>
      <c r="Q2" s="12"/>
      <c r="R2" s="12"/>
      <c r="S2" s="609" t="str">
        <f>IFERROR(VLOOKUP(K2,Table4[[Nhóm Thi Đua]:[Ghi chú]],3,0),"")</f>
        <v/>
      </c>
    </row>
    <row r="3" spans="1:19" ht="16">
      <c r="A3" s="12" t="s">
        <v>501</v>
      </c>
      <c r="B3" s="12">
        <v>1</v>
      </c>
      <c r="C3" s="12">
        <v>5</v>
      </c>
      <c r="D3" s="32">
        <v>0.2</v>
      </c>
      <c r="E3" s="32">
        <v>1</v>
      </c>
      <c r="F3" s="12">
        <v>42</v>
      </c>
      <c r="G3" s="12"/>
      <c r="H3" s="12"/>
      <c r="I3" s="609">
        <f>IFERROR(VLOOKUP(A3,KB!$C$2:$E$37,3,0),)</f>
        <v>0</v>
      </c>
      <c r="J3" s="608"/>
      <c r="K3" s="12" t="s">
        <v>501</v>
      </c>
      <c r="L3" s="12">
        <v>2</v>
      </c>
      <c r="M3" s="12">
        <v>32</v>
      </c>
      <c r="N3" s="33">
        <v>6.25E-2</v>
      </c>
      <c r="O3" s="33">
        <v>0.3125</v>
      </c>
      <c r="P3" s="12">
        <v>73</v>
      </c>
      <c r="Q3" s="46" t="s">
        <v>237</v>
      </c>
      <c r="R3" s="12"/>
      <c r="S3" s="609">
        <f>IFERROR(VLOOKUP(K3,Table4[[Nhóm Thi Đua]:[Ghi chú]],3,0),"")</f>
        <v>0</v>
      </c>
    </row>
    <row r="4" spans="1:19" ht="18" customHeight="1">
      <c r="A4" s="12" t="s">
        <v>502</v>
      </c>
      <c r="B4" s="12">
        <v>1</v>
      </c>
      <c r="C4" s="12">
        <v>16</v>
      </c>
      <c r="D4" s="33">
        <v>6.25E-2</v>
      </c>
      <c r="E4" s="33">
        <v>0.3125</v>
      </c>
      <c r="F4" s="12">
        <v>223</v>
      </c>
      <c r="G4" s="46" t="s">
        <v>237</v>
      </c>
      <c r="H4" s="12"/>
      <c r="I4" s="609" t="str">
        <f>IFERROR(VLOOKUP(A4,KB!$C$2:$E$37,3,0),)</f>
        <v>VIP</v>
      </c>
      <c r="J4" s="322"/>
      <c r="K4" s="12" t="s">
        <v>502</v>
      </c>
      <c r="L4" s="12">
        <v>8</v>
      </c>
      <c r="M4" s="12">
        <v>71</v>
      </c>
      <c r="N4" s="33">
        <v>0.11269999999999999</v>
      </c>
      <c r="O4" s="33">
        <v>0.56340000000000001</v>
      </c>
      <c r="P4" s="12">
        <v>193</v>
      </c>
      <c r="Q4" s="12"/>
      <c r="R4" s="12"/>
      <c r="S4" s="609" t="str">
        <f>IFERROR(VLOOKUP(K4,Table4[[Nhóm Thi Đua]:[Ghi chú]],3,0),"")</f>
        <v>VIP</v>
      </c>
    </row>
    <row r="5" spans="1:19" ht="16">
      <c r="A5" s="12" t="s">
        <v>503</v>
      </c>
      <c r="B5" s="12">
        <v>0</v>
      </c>
      <c r="C5" s="12">
        <v>14</v>
      </c>
      <c r="D5" s="32">
        <v>0</v>
      </c>
      <c r="E5" s="32">
        <v>0</v>
      </c>
      <c r="F5" s="12">
        <v>0</v>
      </c>
      <c r="G5" s="12"/>
      <c r="H5" s="12"/>
      <c r="I5" s="609">
        <f>IFERROR(VLOOKUP(A5,KB!$C$2:$E$37,3,0),)</f>
        <v>0</v>
      </c>
      <c r="J5" s="322"/>
      <c r="K5" s="12" t="s">
        <v>503</v>
      </c>
      <c r="L5" s="12">
        <v>5</v>
      </c>
      <c r="M5" s="12">
        <v>16</v>
      </c>
      <c r="N5" s="33">
        <v>0.3125</v>
      </c>
      <c r="O5" s="49">
        <v>1.5625</v>
      </c>
      <c r="P5" s="12">
        <v>3</v>
      </c>
      <c r="Q5" s="393" t="s">
        <v>346</v>
      </c>
      <c r="R5" s="12"/>
      <c r="S5" s="609">
        <f>IFERROR(VLOOKUP(K5,Table4[[Nhóm Thi Đua]:[Ghi chú]],3,0),"")</f>
        <v>0</v>
      </c>
    </row>
    <row r="6" spans="1:19" ht="17">
      <c r="A6" s="12" t="s">
        <v>114</v>
      </c>
      <c r="B6" s="12">
        <v>4</v>
      </c>
      <c r="C6" s="12">
        <v>53</v>
      </c>
      <c r="D6" s="33">
        <v>7.5499999999999998E-2</v>
      </c>
      <c r="E6" s="33">
        <v>0.37740000000000001</v>
      </c>
      <c r="F6" s="12">
        <v>183</v>
      </c>
      <c r="G6" s="12"/>
      <c r="H6" s="12"/>
      <c r="I6" s="609" t="str">
        <f>IFERROR(VLOOKUP(A6,KB!$C$2:$E$37,3,0),)</f>
        <v>X</v>
      </c>
      <c r="J6" s="322"/>
      <c r="K6" s="12" t="s">
        <v>114</v>
      </c>
      <c r="L6" s="12">
        <v>1</v>
      </c>
      <c r="M6" s="12">
        <v>37</v>
      </c>
      <c r="N6" s="33">
        <v>2.7E-2</v>
      </c>
      <c r="O6" s="33">
        <v>0.1351</v>
      </c>
      <c r="P6" s="12">
        <v>214</v>
      </c>
      <c r="Q6" s="46" t="s">
        <v>237</v>
      </c>
      <c r="R6" s="12"/>
      <c r="S6" s="609" t="str">
        <f>IFERROR(VLOOKUP(K6,Table4[[Nhóm Thi Đua]:[Ghi chú]],3,0),"")</f>
        <v>X</v>
      </c>
    </row>
    <row r="7" spans="1:19" ht="16">
      <c r="A7" s="12" t="s">
        <v>504</v>
      </c>
      <c r="B7" s="12">
        <v>0</v>
      </c>
      <c r="C7" s="12">
        <v>5</v>
      </c>
      <c r="D7" s="32">
        <v>0</v>
      </c>
      <c r="E7" s="32">
        <v>0</v>
      </c>
      <c r="F7" s="12">
        <v>0</v>
      </c>
      <c r="G7" s="12"/>
      <c r="H7" s="12"/>
      <c r="I7" s="609">
        <f>IFERROR(VLOOKUP(A7,KB!$C$2:$E$37,3,0),)</f>
        <v>0</v>
      </c>
      <c r="J7" s="322"/>
      <c r="K7" s="12" t="s">
        <v>504</v>
      </c>
      <c r="L7" s="12">
        <v>0</v>
      </c>
      <c r="M7" s="12">
        <v>4</v>
      </c>
      <c r="N7" s="32">
        <v>0</v>
      </c>
      <c r="O7" s="32">
        <v>0</v>
      </c>
      <c r="P7" s="12">
        <v>0</v>
      </c>
      <c r="Q7" s="12"/>
      <c r="R7" s="12"/>
      <c r="S7" s="609">
        <f>IFERROR(VLOOKUP(K7,Table4[[Nhóm Thi Đua]:[Ghi chú]],3,0),"")</f>
        <v>0</v>
      </c>
    </row>
    <row r="8" spans="1:19" ht="16">
      <c r="A8" s="12" t="s">
        <v>505</v>
      </c>
      <c r="B8" s="12">
        <v>27</v>
      </c>
      <c r="C8" s="12">
        <v>226</v>
      </c>
      <c r="D8" s="33">
        <v>0.1196</v>
      </c>
      <c r="E8" s="33">
        <v>0.59799999999999998</v>
      </c>
      <c r="F8" s="12">
        <v>384</v>
      </c>
      <c r="G8" s="12"/>
      <c r="H8" s="12"/>
      <c r="I8" s="609">
        <f>IFERROR(VLOOKUP(A8,KB!$C$2:$E$37,3,0),)</f>
        <v>0</v>
      </c>
      <c r="J8" s="322"/>
      <c r="K8" s="12" t="s">
        <v>505</v>
      </c>
      <c r="L8" s="12">
        <v>113</v>
      </c>
      <c r="M8" s="12">
        <v>677</v>
      </c>
      <c r="N8" s="33">
        <v>0.1668</v>
      </c>
      <c r="O8" s="33">
        <v>0.83399999999999996</v>
      </c>
      <c r="P8" s="12">
        <v>278</v>
      </c>
      <c r="Q8" s="12"/>
      <c r="R8" s="12"/>
      <c r="S8" s="609">
        <f>IFERROR(VLOOKUP(K8,Table4[[Nhóm Thi Đua]:[Ghi chú]],3,0),"")</f>
        <v>0</v>
      </c>
    </row>
    <row r="9" spans="1:19" ht="17">
      <c r="A9" s="12" t="s">
        <v>506</v>
      </c>
      <c r="B9" s="12">
        <v>0</v>
      </c>
      <c r="C9" s="12">
        <v>19</v>
      </c>
      <c r="D9" s="32">
        <v>0</v>
      </c>
      <c r="E9" s="32">
        <v>0</v>
      </c>
      <c r="F9" s="12">
        <v>0</v>
      </c>
      <c r="G9" s="12"/>
      <c r="H9" s="12"/>
      <c r="I9" s="609" t="str">
        <f>IFERROR(VLOOKUP(A9,KB!$C$2:$E$37,3,0),)</f>
        <v>X</v>
      </c>
      <c r="J9" s="322"/>
      <c r="K9" s="12" t="s">
        <v>506</v>
      </c>
      <c r="L9" s="12">
        <v>6</v>
      </c>
      <c r="M9" s="12">
        <v>26</v>
      </c>
      <c r="N9" s="33">
        <v>0.23080000000000001</v>
      </c>
      <c r="O9" s="49">
        <v>1.1537999999999999</v>
      </c>
      <c r="P9" s="12">
        <v>108</v>
      </c>
      <c r="Q9" s="12"/>
      <c r="R9" s="12"/>
      <c r="S9" s="609" t="str">
        <f>IFERROR(VLOOKUP(K9,Table4[[Nhóm Thi Đua]:[Ghi chú]],3,0),"")</f>
        <v>X</v>
      </c>
    </row>
    <row r="10" spans="1:19" ht="17">
      <c r="A10" s="13" t="s">
        <v>23</v>
      </c>
      <c r="B10" s="13" t="s">
        <v>24</v>
      </c>
      <c r="C10" s="13" t="s">
        <v>12</v>
      </c>
      <c r="D10" s="13" t="s">
        <v>65</v>
      </c>
      <c r="E10" s="13" t="s">
        <v>66</v>
      </c>
      <c r="F10" s="13" t="s">
        <v>21</v>
      </c>
      <c r="G10" s="13" t="s">
        <v>22</v>
      </c>
      <c r="H10" s="964"/>
      <c r="I10" s="609">
        <f>IFERROR(VLOOKUP(A10,KB!$C$2:$E$37,3,0),)</f>
        <v>0</v>
      </c>
      <c r="J10" s="322"/>
      <c r="K10" s="13" t="s">
        <v>23</v>
      </c>
      <c r="L10" s="13" t="s">
        <v>24</v>
      </c>
      <c r="M10" s="13" t="s">
        <v>12</v>
      </c>
      <c r="N10" s="13" t="s">
        <v>65</v>
      </c>
      <c r="O10" s="13" t="s">
        <v>66</v>
      </c>
      <c r="P10" s="13" t="s">
        <v>21</v>
      </c>
      <c r="Q10" s="13" t="s">
        <v>22</v>
      </c>
      <c r="R10" s="964"/>
      <c r="S10" s="609" t="str">
        <f>IFERROR(VLOOKUP(K10,Table4[[Nhóm Thi Đua]:[Ghi chú]],3,0),"")</f>
        <v/>
      </c>
    </row>
    <row r="11" spans="1:19" ht="17">
      <c r="A11" s="12" t="s">
        <v>20</v>
      </c>
      <c r="B11" s="48">
        <v>1965.64</v>
      </c>
      <c r="C11" s="48">
        <v>8224.24</v>
      </c>
      <c r="D11" s="33">
        <v>0.23899999999999999</v>
      </c>
      <c r="E11" s="12"/>
      <c r="F11" s="12"/>
      <c r="G11" s="12"/>
      <c r="H11" s="12"/>
      <c r="I11" s="609">
        <f>IFERROR(VLOOKUP(A11,KB!$C$2:$E$37,3,0),)</f>
        <v>0</v>
      </c>
      <c r="J11" s="322"/>
      <c r="K11" s="12" t="s">
        <v>20</v>
      </c>
      <c r="L11" s="12">
        <v>394.7</v>
      </c>
      <c r="M11" s="48">
        <v>3295.63</v>
      </c>
      <c r="N11" s="33">
        <v>0.1198</v>
      </c>
      <c r="O11" s="12"/>
      <c r="P11" s="12"/>
      <c r="Q11" s="12"/>
      <c r="R11" s="12"/>
      <c r="S11" s="609" t="str">
        <f>IFERROR(VLOOKUP(K11,Table4[[Nhóm Thi Đua]:[Ghi chú]],3,0),"")</f>
        <v/>
      </c>
    </row>
    <row r="12" spans="1:19" ht="17">
      <c r="A12" s="12" t="s">
        <v>494</v>
      </c>
      <c r="B12" s="12">
        <v>380.31</v>
      </c>
      <c r="C12" s="12">
        <v>781.84</v>
      </c>
      <c r="D12" s="33">
        <v>0.4864</v>
      </c>
      <c r="E12" s="49">
        <v>2.3092000000000001</v>
      </c>
      <c r="F12" s="12">
        <v>42</v>
      </c>
      <c r="G12" s="12"/>
      <c r="H12" s="12"/>
      <c r="I12" s="609" t="str">
        <f>IFERROR(VLOOKUP(A12,KB!$C$2:$E$37,3,0),)</f>
        <v>X</v>
      </c>
      <c r="J12" s="322"/>
      <c r="K12" s="12" t="s">
        <v>507</v>
      </c>
      <c r="L12" s="12">
        <v>0</v>
      </c>
      <c r="M12" s="12">
        <v>5.2</v>
      </c>
      <c r="N12" s="32">
        <v>0</v>
      </c>
      <c r="O12" s="32">
        <v>0</v>
      </c>
      <c r="P12" s="12">
        <v>0</v>
      </c>
      <c r="Q12" s="12"/>
      <c r="R12" s="12"/>
      <c r="S12" s="609">
        <f>IFERROR(VLOOKUP(K12,Table4[[Nhóm Thi Đua]:[Ghi chú]],3,0),"")</f>
        <v>0</v>
      </c>
    </row>
    <row r="13" spans="1:19" ht="17">
      <c r="A13" s="12" t="s">
        <v>222</v>
      </c>
      <c r="B13" s="12">
        <v>208.83</v>
      </c>
      <c r="C13" s="48">
        <v>1122.5</v>
      </c>
      <c r="D13" s="33">
        <v>0.186</v>
      </c>
      <c r="E13" s="33">
        <v>0.88319999999999999</v>
      </c>
      <c r="F13" s="12">
        <v>172</v>
      </c>
      <c r="G13" s="12"/>
      <c r="H13" s="12"/>
      <c r="I13" s="609" t="str">
        <f>IFERROR(VLOOKUP(A13,KB!$C$2:$E$37,3,0),)</f>
        <v>VIP</v>
      </c>
      <c r="J13" s="322"/>
      <c r="K13" s="12" t="s">
        <v>176</v>
      </c>
      <c r="L13" s="12">
        <v>2.36</v>
      </c>
      <c r="M13" s="12">
        <v>108.8</v>
      </c>
      <c r="N13" s="33">
        <v>2.1700000000000001E-2</v>
      </c>
      <c r="O13" s="33">
        <v>0.10290000000000001</v>
      </c>
      <c r="P13" s="12">
        <v>205</v>
      </c>
      <c r="Q13" s="12"/>
      <c r="R13" s="12"/>
      <c r="S13" s="609" t="str">
        <f>IFERROR(VLOOKUP(K13,Table4[[Nhóm Thi Đua]:[Ghi chú]],3,0),"")</f>
        <v>X</v>
      </c>
    </row>
    <row r="14" spans="1:19" ht="17">
      <c r="A14" s="12" t="s">
        <v>217</v>
      </c>
      <c r="B14" s="12">
        <v>15.96</v>
      </c>
      <c r="C14" s="12">
        <v>103.7</v>
      </c>
      <c r="D14" s="33">
        <v>0.15390000000000001</v>
      </c>
      <c r="E14" s="33">
        <v>0.73060000000000003</v>
      </c>
      <c r="F14" s="12">
        <v>145</v>
      </c>
      <c r="G14" s="12"/>
      <c r="H14" s="12"/>
      <c r="I14" s="609">
        <f>IFERROR(VLOOKUP(A14,KB!$C$2:$E$37,3,0),)</f>
        <v>0</v>
      </c>
      <c r="J14" s="322"/>
      <c r="K14" s="12" t="s">
        <v>508</v>
      </c>
      <c r="L14" s="12">
        <v>174.86</v>
      </c>
      <c r="M14" s="48">
        <v>1452.6</v>
      </c>
      <c r="N14" s="33">
        <v>0.12039999999999999</v>
      </c>
      <c r="O14" s="33">
        <v>0.57150000000000001</v>
      </c>
      <c r="P14" s="12">
        <v>326</v>
      </c>
      <c r="Q14" s="12"/>
      <c r="R14" s="12"/>
      <c r="S14" s="609" t="str">
        <f>IFERROR(VLOOKUP(K14,Table4[[Nhóm Thi Đua]:[Ghi chú]],3,0),"")</f>
        <v>VIP</v>
      </c>
    </row>
    <row r="15" spans="1:19" ht="17">
      <c r="A15" s="12" t="s">
        <v>507</v>
      </c>
      <c r="B15" s="12">
        <v>0</v>
      </c>
      <c r="C15" s="12">
        <v>215.8</v>
      </c>
      <c r="D15" s="32">
        <v>0</v>
      </c>
      <c r="E15" s="32">
        <v>0</v>
      </c>
      <c r="F15" s="12">
        <v>0</v>
      </c>
      <c r="G15" s="12"/>
      <c r="H15" s="12"/>
      <c r="I15" s="609">
        <f>IFERROR(VLOOKUP(A15,KB!$C$2:$E$37,3,0),)</f>
        <v>0</v>
      </c>
      <c r="J15" s="322"/>
      <c r="K15" s="12" t="s">
        <v>509</v>
      </c>
      <c r="L15" s="12">
        <v>4.71</v>
      </c>
      <c r="M15" s="12">
        <v>21.7</v>
      </c>
      <c r="N15" s="33">
        <v>0.2172</v>
      </c>
      <c r="O15" s="49">
        <v>1.0310999999999999</v>
      </c>
      <c r="P15" s="12">
        <v>212</v>
      </c>
      <c r="Q15" s="12"/>
      <c r="R15" s="12"/>
      <c r="S15" s="609" t="str">
        <f>IFERROR(VLOOKUP(K15,Table4[[Nhóm Thi Đua]:[Ghi chú]],3,0),"")</f>
        <v>VIP</v>
      </c>
    </row>
    <row r="16" spans="1:19" ht="17">
      <c r="A16" s="12" t="s">
        <v>176</v>
      </c>
      <c r="B16" s="12">
        <v>1.55</v>
      </c>
      <c r="C16" s="12">
        <v>28.1</v>
      </c>
      <c r="D16" s="33">
        <v>5.5300000000000002E-2</v>
      </c>
      <c r="E16" s="33">
        <v>0.26250000000000001</v>
      </c>
      <c r="F16" s="12">
        <v>140</v>
      </c>
      <c r="G16" s="12"/>
      <c r="H16" s="12"/>
      <c r="I16" s="609" t="str">
        <f>IFERROR(VLOOKUP(A16,KB!$C$2:$E$37,3,0),)</f>
        <v>X</v>
      </c>
      <c r="J16" s="322"/>
      <c r="K16" s="12" t="s">
        <v>103</v>
      </c>
      <c r="L16" s="12">
        <v>5.64</v>
      </c>
      <c r="M16" s="12">
        <v>39.74</v>
      </c>
      <c r="N16" s="33">
        <v>0.1419</v>
      </c>
      <c r="O16" s="33">
        <v>0.67359999999999998</v>
      </c>
      <c r="P16" s="12">
        <v>148</v>
      </c>
      <c r="Q16" s="12"/>
      <c r="R16" s="12"/>
      <c r="S16" s="609" t="str">
        <f>IFERROR(VLOOKUP(K16,Table4[[Nhóm Thi Đua]:[Ghi chú]],3,0),"")</f>
        <v>X</v>
      </c>
    </row>
    <row r="17" spans="1:19" ht="17">
      <c r="A17" s="12" t="s">
        <v>515</v>
      </c>
      <c r="B17" s="12">
        <v>253.94</v>
      </c>
      <c r="C17" s="12">
        <v>438.57</v>
      </c>
      <c r="D17" s="33">
        <v>0.57899999999999996</v>
      </c>
      <c r="E17" s="49">
        <v>2.7486999999999999</v>
      </c>
      <c r="F17" s="12">
        <v>24</v>
      </c>
      <c r="G17" s="393" t="s">
        <v>346</v>
      </c>
      <c r="H17" s="12"/>
      <c r="I17" s="609">
        <f>IFERROR(VLOOKUP(A17,KB!$C$2:$E$37,3,0),)</f>
        <v>0</v>
      </c>
      <c r="J17" s="322"/>
      <c r="K17" s="12" t="s">
        <v>225</v>
      </c>
      <c r="L17" s="12">
        <v>0</v>
      </c>
      <c r="M17" s="12">
        <v>8.1999999999999993</v>
      </c>
      <c r="N17" s="32">
        <v>0</v>
      </c>
      <c r="O17" s="32">
        <v>0</v>
      </c>
      <c r="P17" s="12">
        <v>0</v>
      </c>
      <c r="Q17" s="12"/>
      <c r="R17" s="12"/>
      <c r="S17" s="609" t="str">
        <f>IFERROR(VLOOKUP(K17,Table4[[Nhóm Thi Đua]:[Ghi chú]],3,0),"")</f>
        <v>X</v>
      </c>
    </row>
    <row r="18" spans="1:19" ht="17">
      <c r="A18" s="12" t="s">
        <v>516</v>
      </c>
      <c r="B18" s="12">
        <v>57.67</v>
      </c>
      <c r="C18" s="12">
        <v>95.4</v>
      </c>
      <c r="D18" s="33">
        <v>0.60450000000000004</v>
      </c>
      <c r="E18" s="49">
        <v>2.8696999999999999</v>
      </c>
      <c r="F18" s="12">
        <v>29</v>
      </c>
      <c r="G18" s="12"/>
      <c r="H18" s="12"/>
      <c r="I18" s="609" t="str">
        <f>IFERROR(VLOOKUP(A18,KB!$C$2:$E$37,3,0),)</f>
        <v>x</v>
      </c>
      <c r="J18" s="322"/>
      <c r="K18" s="12" t="s">
        <v>510</v>
      </c>
      <c r="L18" s="12">
        <v>61.27</v>
      </c>
      <c r="M18" s="12">
        <v>389.9</v>
      </c>
      <c r="N18" s="33">
        <v>0.15709999999999999</v>
      </c>
      <c r="O18" s="33">
        <v>0.746</v>
      </c>
      <c r="P18" s="12">
        <v>222</v>
      </c>
      <c r="Q18" s="12"/>
      <c r="R18" s="12"/>
      <c r="S18" s="609" t="str">
        <f>IFERROR(VLOOKUP(K18,Table4[[Nhóm Thi Đua]:[Ghi chú]],3,0),"")</f>
        <v>VIP</v>
      </c>
    </row>
    <row r="19" spans="1:19" ht="17">
      <c r="A19" s="12" t="s">
        <v>517</v>
      </c>
      <c r="B19" s="12">
        <v>9.1199999999999992</v>
      </c>
      <c r="C19" s="12">
        <v>69.599999999999994</v>
      </c>
      <c r="D19" s="33">
        <v>0.13100000000000001</v>
      </c>
      <c r="E19" s="33">
        <v>0.62180000000000002</v>
      </c>
      <c r="F19" s="12">
        <v>188</v>
      </c>
      <c r="G19" s="12"/>
      <c r="H19" s="12"/>
      <c r="I19" s="609" t="str">
        <f>IFERROR(VLOOKUP(A19,KB!$C$2:$E$37,3,0),)</f>
        <v>VIP</v>
      </c>
      <c r="J19" s="322"/>
      <c r="K19" s="12" t="s">
        <v>511</v>
      </c>
      <c r="L19" s="12">
        <v>62.24</v>
      </c>
      <c r="M19" s="12">
        <v>496.7</v>
      </c>
      <c r="N19" s="33">
        <v>0.12529999999999999</v>
      </c>
      <c r="O19" s="33">
        <v>0.59489999999999998</v>
      </c>
      <c r="P19" s="12">
        <v>335</v>
      </c>
      <c r="Q19" s="12"/>
      <c r="R19" s="12"/>
      <c r="S19" s="609" t="str">
        <f>IFERROR(VLOOKUP(K19,Table4[[Nhóm Thi Đua]:[Ghi chú]],3,0),"")</f>
        <v>VIP</v>
      </c>
    </row>
    <row r="20" spans="1:19" ht="17">
      <c r="A20" s="12" t="s">
        <v>177</v>
      </c>
      <c r="B20" s="12">
        <v>3.15</v>
      </c>
      <c r="C20" s="12">
        <v>23</v>
      </c>
      <c r="D20" s="33">
        <v>0.1371</v>
      </c>
      <c r="E20" s="33">
        <v>0.65080000000000005</v>
      </c>
      <c r="F20" s="12">
        <v>55</v>
      </c>
      <c r="G20" s="46" t="s">
        <v>237</v>
      </c>
      <c r="H20" s="12"/>
      <c r="I20" s="609">
        <f>IFERROR(VLOOKUP(A20,KB!$C$2:$E$37,3,0),)</f>
        <v>0</v>
      </c>
      <c r="J20" s="322"/>
      <c r="K20" s="12" t="s">
        <v>226</v>
      </c>
      <c r="L20" s="12">
        <v>0</v>
      </c>
      <c r="M20" s="12">
        <v>42</v>
      </c>
      <c r="N20" s="32">
        <v>0</v>
      </c>
      <c r="O20" s="32">
        <v>0</v>
      </c>
      <c r="P20" s="12">
        <v>0</v>
      </c>
      <c r="Q20" s="12"/>
      <c r="R20" s="12"/>
      <c r="S20" s="609" t="str">
        <f>IFERROR(VLOOKUP(K20,Table4[[Nhóm Thi Đua]:[Ghi chú]],3,0),"")</f>
        <v>X</v>
      </c>
    </row>
    <row r="21" spans="1:19" ht="17">
      <c r="A21" s="12" t="s">
        <v>518</v>
      </c>
      <c r="B21" s="12">
        <v>0</v>
      </c>
      <c r="C21" s="12">
        <v>43</v>
      </c>
      <c r="D21" s="32">
        <v>0</v>
      </c>
      <c r="E21" s="32">
        <v>0</v>
      </c>
      <c r="F21" s="12">
        <v>0</v>
      </c>
      <c r="G21" s="12"/>
      <c r="H21" s="12"/>
      <c r="I21" s="609">
        <f>IFERROR(VLOOKUP(A21,KB!$C$2:$E$37,3,0),)</f>
        <v>0</v>
      </c>
      <c r="J21" s="322"/>
      <c r="K21" s="12" t="s">
        <v>512</v>
      </c>
      <c r="L21" s="12">
        <v>2.89</v>
      </c>
      <c r="M21" s="12">
        <v>88.2</v>
      </c>
      <c r="N21" s="33">
        <v>3.2800000000000003E-2</v>
      </c>
      <c r="O21" s="33">
        <v>0.15559999999999999</v>
      </c>
      <c r="P21" s="12">
        <v>144</v>
      </c>
      <c r="Q21" s="46" t="s">
        <v>237</v>
      </c>
      <c r="R21" s="12"/>
      <c r="S21" s="609" t="str">
        <f>IFERROR(VLOOKUP(K21,Table4[[Nhóm Thi Đua]:[Ghi chú]],3,0),"")</f>
        <v>X</v>
      </c>
    </row>
    <row r="22" spans="1:19" ht="17">
      <c r="A22" s="12" t="s">
        <v>519</v>
      </c>
      <c r="B22" s="12">
        <v>98.16</v>
      </c>
      <c r="C22" s="12">
        <v>718.2</v>
      </c>
      <c r="D22" s="33">
        <v>0.13669999999999999</v>
      </c>
      <c r="E22" s="33">
        <v>0.64880000000000004</v>
      </c>
      <c r="F22" s="12">
        <v>214</v>
      </c>
      <c r="G22" s="12"/>
      <c r="H22" s="12"/>
      <c r="I22" s="609" t="str">
        <f>IFERROR(VLOOKUP(A22,KB!$C$2:$E$37,3,0),)</f>
        <v>VIP</v>
      </c>
      <c r="J22" s="322"/>
      <c r="K22" s="12" t="s">
        <v>513</v>
      </c>
      <c r="L22" s="12">
        <v>0.99</v>
      </c>
      <c r="M22" s="12">
        <v>4</v>
      </c>
      <c r="N22" s="33">
        <v>0.24790000000000001</v>
      </c>
      <c r="O22" s="49">
        <v>1.177</v>
      </c>
      <c r="P22" s="12">
        <v>46</v>
      </c>
      <c r="Q22" s="12"/>
      <c r="R22" s="12"/>
      <c r="S22" s="609">
        <f>IFERROR(VLOOKUP(K22,Table4[[Nhóm Thi Đua]:[Ghi chú]],3,0),"")</f>
        <v>0</v>
      </c>
    </row>
    <row r="23" spans="1:19" ht="17">
      <c r="A23" s="12" t="s">
        <v>520</v>
      </c>
      <c r="B23" s="12">
        <v>105.41</v>
      </c>
      <c r="C23" s="12">
        <v>809.1</v>
      </c>
      <c r="D23" s="33">
        <v>0.1303</v>
      </c>
      <c r="E23" s="33">
        <v>0.61850000000000005</v>
      </c>
      <c r="F23" s="12">
        <v>153</v>
      </c>
      <c r="G23" s="12"/>
      <c r="H23" s="12"/>
      <c r="I23" s="609" t="str">
        <f>IFERROR(VLOOKUP(A23,KB!$C$2:$E$37,3,0),)</f>
        <v>VIP</v>
      </c>
      <c r="J23" s="322"/>
      <c r="K23" s="12" t="s">
        <v>514</v>
      </c>
      <c r="L23" s="12">
        <v>79.739999999999995</v>
      </c>
      <c r="M23" s="12">
        <v>638.6</v>
      </c>
      <c r="N23" s="33">
        <v>0.1249</v>
      </c>
      <c r="O23" s="33">
        <v>0.59279999999999999</v>
      </c>
      <c r="P23" s="12">
        <v>339</v>
      </c>
      <c r="Q23" s="12"/>
      <c r="R23" s="12"/>
      <c r="S23" s="609" t="str">
        <f>IFERROR(VLOOKUP(K23,Table4[[Nhóm Thi Đua]:[Ghi chú]],3,0),"")</f>
        <v>VIP</v>
      </c>
    </row>
    <row r="24" spans="1:19" ht="17">
      <c r="A24" s="12" t="s">
        <v>508</v>
      </c>
      <c r="B24" s="12">
        <v>63.35</v>
      </c>
      <c r="C24" s="12">
        <v>225.9</v>
      </c>
      <c r="D24" s="33">
        <v>0.28039999999999998</v>
      </c>
      <c r="E24" s="49">
        <v>1.3312999999999999</v>
      </c>
      <c r="F24" s="12">
        <v>31</v>
      </c>
      <c r="G24" s="12"/>
      <c r="H24" s="12"/>
      <c r="I24" s="609" t="str">
        <f>IFERROR(VLOOKUP(A24,KB!$C$2:$E$37,3,0),)</f>
        <v>VIP</v>
      </c>
      <c r="J24" s="322"/>
      <c r="K24" t="s">
        <v>309</v>
      </c>
      <c r="L24"/>
      <c r="M24"/>
      <c r="N24"/>
      <c r="O24"/>
      <c r="P24"/>
      <c r="Q24"/>
      <c r="R24"/>
      <c r="S24" s="609"/>
    </row>
    <row r="25" spans="1:19" ht="17">
      <c r="A25" s="12" t="s">
        <v>509</v>
      </c>
      <c r="B25" s="12">
        <v>3.18</v>
      </c>
      <c r="C25" s="12">
        <v>16.3</v>
      </c>
      <c r="D25" s="33">
        <v>0.1948</v>
      </c>
      <c r="E25" s="33">
        <v>0.92500000000000004</v>
      </c>
      <c r="F25" s="12">
        <v>227</v>
      </c>
      <c r="G25" s="12"/>
      <c r="H25" s="12"/>
      <c r="I25" s="609" t="str">
        <f>IFERROR(VLOOKUP(A25,KB!$C$2:$E$37,3,0),)</f>
        <v>VIP</v>
      </c>
      <c r="J25" s="322"/>
      <c r="K25" s="12"/>
      <c r="L25" s="12"/>
      <c r="M25" s="12"/>
      <c r="N25" s="33"/>
      <c r="O25" s="33"/>
      <c r="P25" s="12"/>
      <c r="Q25" s="12"/>
      <c r="R25" s="12"/>
      <c r="S25" s="609"/>
    </row>
    <row r="26" spans="1:19" ht="17">
      <c r="A26" s="12" t="s">
        <v>103</v>
      </c>
      <c r="B26" s="12">
        <v>6.47</v>
      </c>
      <c r="C26" s="12">
        <v>10.55</v>
      </c>
      <c r="D26" s="33">
        <v>0.61370000000000002</v>
      </c>
      <c r="E26" s="49">
        <v>2.9134000000000002</v>
      </c>
      <c r="F26" s="12">
        <v>20</v>
      </c>
      <c r="G26" s="393" t="s">
        <v>346</v>
      </c>
      <c r="H26" s="12"/>
      <c r="I26" s="609" t="str">
        <f>IFERROR(VLOOKUP(A26,KB!$C$2:$E$37,3,0),)</f>
        <v>X</v>
      </c>
      <c r="J26" s="322"/>
      <c r="K26"/>
      <c r="L26"/>
      <c r="M26"/>
      <c r="N26"/>
      <c r="O26"/>
      <c r="P26"/>
      <c r="Q26"/>
      <c r="R26"/>
      <c r="S26" s="609"/>
    </row>
    <row r="27" spans="1:19" ht="17">
      <c r="A27" s="12" t="s">
        <v>225</v>
      </c>
      <c r="B27" s="12">
        <v>0</v>
      </c>
      <c r="C27" s="12">
        <v>15</v>
      </c>
      <c r="D27" s="32">
        <v>0</v>
      </c>
      <c r="E27" s="32">
        <v>0</v>
      </c>
      <c r="F27" s="12">
        <v>0</v>
      </c>
      <c r="G27" s="12"/>
      <c r="H27" s="12"/>
      <c r="I27" s="609" t="str">
        <f>IFERROR(VLOOKUP(A27,KB!$C$2:$E$37,3,0),)</f>
        <v>X</v>
      </c>
      <c r="J27" s="322"/>
      <c r="K27" s="12"/>
      <c r="L27" s="12"/>
      <c r="M27" s="12"/>
      <c r="N27" s="49"/>
      <c r="O27" s="49"/>
      <c r="P27" s="12"/>
      <c r="Q27" s="12"/>
      <c r="R27" s="12"/>
      <c r="S27" s="609"/>
    </row>
    <row r="28" spans="1:19" ht="16">
      <c r="A28" s="12" t="s">
        <v>521</v>
      </c>
      <c r="B28" s="12">
        <v>0</v>
      </c>
      <c r="C28" s="12">
        <v>80.27</v>
      </c>
      <c r="D28" s="32">
        <v>0</v>
      </c>
      <c r="E28" s="32">
        <v>0</v>
      </c>
      <c r="F28" s="12">
        <v>0</v>
      </c>
      <c r="G28" s="12"/>
      <c r="H28" s="12"/>
      <c r="I28" s="609">
        <f>IFERROR(VLOOKUP(A28,KB!$C$2:$E$37,3,0),)</f>
        <v>0</v>
      </c>
      <c r="J28" s="322"/>
      <c r="K28"/>
      <c r="L28"/>
      <c r="M28"/>
      <c r="N28"/>
      <c r="O28"/>
      <c r="P28"/>
      <c r="Q28"/>
      <c r="R28"/>
      <c r="S28" s="609"/>
    </row>
    <row r="29" spans="1:19" ht="17">
      <c r="A29" s="12" t="s">
        <v>522</v>
      </c>
      <c r="B29" s="12">
        <v>57.55</v>
      </c>
      <c r="C29" s="12">
        <v>243.2</v>
      </c>
      <c r="D29" s="33">
        <v>0.2366</v>
      </c>
      <c r="E29" s="49">
        <v>1.1233</v>
      </c>
      <c r="F29" s="12">
        <v>92</v>
      </c>
      <c r="G29" s="12"/>
      <c r="H29" s="12"/>
      <c r="I29" s="609" t="str">
        <f>IFERROR(VLOOKUP(A29,KB!$C$2:$E$37,3,0),)</f>
        <v>VIP</v>
      </c>
      <c r="J29" s="322"/>
      <c r="K29" s="307"/>
      <c r="L29" s="307"/>
      <c r="M29" s="307"/>
      <c r="N29" s="309"/>
      <c r="O29" s="311"/>
      <c r="P29" s="307"/>
      <c r="Q29" s="307"/>
      <c r="R29" s="307"/>
      <c r="S29" s="609"/>
    </row>
    <row r="30" spans="1:19" ht="16">
      <c r="A30" s="12" t="s">
        <v>523</v>
      </c>
      <c r="B30" s="12">
        <v>47.58</v>
      </c>
      <c r="C30" s="12">
        <v>169.34</v>
      </c>
      <c r="D30" s="33">
        <v>0.28100000000000003</v>
      </c>
      <c r="E30" s="49">
        <v>1.3339000000000001</v>
      </c>
      <c r="F30" s="12">
        <v>171</v>
      </c>
      <c r="G30" s="12"/>
      <c r="H30" s="12"/>
      <c r="I30" s="609">
        <f>IFERROR(VLOOKUP(A30,KB!$C$2:$E$37,3,0),)</f>
        <v>0</v>
      </c>
      <c r="J30" s="322"/>
      <c r="K30" s="307"/>
      <c r="L30" s="307"/>
      <c r="M30" s="307"/>
      <c r="N30" s="309"/>
      <c r="O30" s="309"/>
      <c r="P30" s="307"/>
      <c r="Q30" s="307"/>
      <c r="R30" s="307"/>
      <c r="S30" s="609"/>
    </row>
    <row r="31" spans="1:19" ht="17">
      <c r="A31" s="12" t="s">
        <v>223</v>
      </c>
      <c r="B31" s="12">
        <v>15.6</v>
      </c>
      <c r="C31" s="12">
        <v>177.6</v>
      </c>
      <c r="D31" s="33">
        <v>8.7900000000000006E-2</v>
      </c>
      <c r="E31" s="33">
        <v>0.41710000000000003</v>
      </c>
      <c r="F31" s="12">
        <v>129</v>
      </c>
      <c r="G31" s="12"/>
      <c r="H31" s="12"/>
      <c r="I31" s="609" t="str">
        <f>IFERROR(VLOOKUP(A31,KB!$C$2:$E$37,3,0),)</f>
        <v>X</v>
      </c>
      <c r="J31" s="322"/>
      <c r="K31" s="307"/>
      <c r="L31" s="307"/>
      <c r="M31" s="307"/>
      <c r="N31" s="310"/>
      <c r="O31" s="310"/>
      <c r="P31" s="307"/>
      <c r="Q31" s="307"/>
      <c r="R31" s="307"/>
      <c r="S31" s="609"/>
    </row>
    <row r="32" spans="1:19" ht="17">
      <c r="A32" s="12" t="s">
        <v>510</v>
      </c>
      <c r="B32" s="12">
        <v>40.159999999999997</v>
      </c>
      <c r="C32" s="12">
        <v>258.7</v>
      </c>
      <c r="D32" s="33">
        <v>0.1552</v>
      </c>
      <c r="E32" s="33">
        <v>0.7369</v>
      </c>
      <c r="F32" s="12">
        <v>224</v>
      </c>
      <c r="G32" s="12"/>
      <c r="H32" s="12"/>
      <c r="I32" s="609" t="str">
        <f>IFERROR(VLOOKUP(A32,KB!$C$2:$E$37,3,0),)</f>
        <v>VIP</v>
      </c>
      <c r="J32" s="322"/>
      <c r="K32" s="307"/>
      <c r="L32" s="307"/>
      <c r="M32" s="307"/>
      <c r="N32" s="309"/>
      <c r="O32" s="309"/>
      <c r="P32" s="307"/>
      <c r="Q32" s="307"/>
      <c r="R32" s="307"/>
      <c r="S32" s="609"/>
    </row>
    <row r="33" spans="1:19" ht="17">
      <c r="A33" s="12" t="s">
        <v>511</v>
      </c>
      <c r="B33" s="12">
        <v>70.47</v>
      </c>
      <c r="C33" s="12">
        <v>440.6</v>
      </c>
      <c r="D33" s="33">
        <v>0.15989999999999999</v>
      </c>
      <c r="E33" s="33">
        <v>0.75929999999999997</v>
      </c>
      <c r="F33" s="12">
        <v>294</v>
      </c>
      <c r="G33" s="12"/>
      <c r="H33" s="12"/>
      <c r="I33" s="609" t="str">
        <f>IFERROR(VLOOKUP(A33,KB!$C$2:$E$37,3,0),)</f>
        <v>VIP</v>
      </c>
      <c r="J33" s="322"/>
      <c r="K33" s="307"/>
      <c r="L33" s="307"/>
      <c r="M33" s="307"/>
      <c r="N33" s="310"/>
      <c r="O33" s="310"/>
      <c r="P33" s="307"/>
      <c r="Q33" s="307"/>
      <c r="R33" s="307"/>
      <c r="S33" s="609"/>
    </row>
    <row r="34" spans="1:19" ht="17">
      <c r="A34" s="12" t="s">
        <v>268</v>
      </c>
      <c r="B34" s="12">
        <v>223.79</v>
      </c>
      <c r="C34" s="48">
        <v>1125.5999999999999</v>
      </c>
      <c r="D34" s="33">
        <v>0.1988</v>
      </c>
      <c r="E34" s="33">
        <v>0.94379999999999997</v>
      </c>
      <c r="F34" s="12">
        <v>236</v>
      </c>
      <c r="G34" s="12"/>
      <c r="H34" s="12"/>
      <c r="I34" s="609" t="str">
        <f>IFERROR(VLOOKUP(A34,KB!$C$2:$E$37,3,0),)</f>
        <v>VIP</v>
      </c>
      <c r="J34" s="322"/>
      <c r="K34" s="307"/>
      <c r="L34" s="307"/>
      <c r="M34" s="307"/>
      <c r="N34" s="310"/>
      <c r="O34" s="310"/>
      <c r="P34" s="307"/>
      <c r="Q34" s="307"/>
      <c r="R34" s="307"/>
      <c r="S34" s="609"/>
    </row>
    <row r="35" spans="1:19" ht="17">
      <c r="A35" s="12" t="s">
        <v>226</v>
      </c>
      <c r="B35" s="12">
        <v>0</v>
      </c>
      <c r="C35" s="12">
        <v>60.8</v>
      </c>
      <c r="D35" s="32">
        <v>0</v>
      </c>
      <c r="E35" s="32">
        <v>0</v>
      </c>
      <c r="F35" s="12">
        <v>0</v>
      </c>
      <c r="G35" s="12"/>
      <c r="H35" s="12"/>
      <c r="I35" s="609" t="str">
        <f>IFERROR(VLOOKUP(A35,KB!$C$2:$E$37,3,0),)</f>
        <v>X</v>
      </c>
      <c r="J35" s="322"/>
      <c r="K35" s="307"/>
      <c r="L35" s="307"/>
      <c r="M35" s="307"/>
      <c r="N35" s="309"/>
      <c r="O35" s="309"/>
      <c r="P35" s="307"/>
      <c r="Q35" s="312"/>
      <c r="R35" s="307"/>
      <c r="S35" s="609"/>
    </row>
    <row r="36" spans="1:19" ht="17">
      <c r="A36" s="12" t="s">
        <v>224</v>
      </c>
      <c r="B36" s="12">
        <v>269.8</v>
      </c>
      <c r="C36" s="12">
        <v>666.1</v>
      </c>
      <c r="D36" s="33">
        <v>0.40500000000000003</v>
      </c>
      <c r="E36" s="49">
        <v>1.9228000000000001</v>
      </c>
      <c r="F36" s="12">
        <v>68</v>
      </c>
      <c r="G36" s="12"/>
      <c r="H36" s="12"/>
      <c r="I36" s="609" t="str">
        <f>IFERROR(VLOOKUP(A36,KB!$C$2:$E$37,3,0),)</f>
        <v>VIP</v>
      </c>
      <c r="J36" s="322"/>
      <c r="K36" s="307"/>
      <c r="L36" s="307"/>
      <c r="M36" s="307"/>
      <c r="N36" s="309"/>
      <c r="O36" s="309"/>
      <c r="P36" s="307"/>
      <c r="Q36" s="307"/>
      <c r="R36" s="307"/>
      <c r="S36" s="609"/>
    </row>
    <row r="37" spans="1:19" ht="17">
      <c r="A37" s="12" t="s">
        <v>512</v>
      </c>
      <c r="B37" s="12">
        <v>1.21</v>
      </c>
      <c r="C37" s="12">
        <v>23</v>
      </c>
      <c r="D37" s="33">
        <v>5.2699999999999997E-2</v>
      </c>
      <c r="E37" s="33">
        <v>0.25040000000000001</v>
      </c>
      <c r="F37" s="12">
        <v>131</v>
      </c>
      <c r="G37" s="46" t="s">
        <v>237</v>
      </c>
      <c r="H37" s="12"/>
      <c r="I37" s="609" t="str">
        <f>IFERROR(VLOOKUP(A37,KB!$C$2:$E$37,3,0),)</f>
        <v>X</v>
      </c>
      <c r="J37" s="322"/>
      <c r="K37" s="307"/>
      <c r="L37" s="307"/>
      <c r="M37" s="307"/>
      <c r="N37" s="309"/>
      <c r="O37" s="309"/>
      <c r="P37" s="307"/>
      <c r="Q37" s="307"/>
      <c r="R37" s="307"/>
      <c r="S37" s="609"/>
    </row>
    <row r="38" spans="1:19" ht="16">
      <c r="A38" s="12" t="s">
        <v>513</v>
      </c>
      <c r="B38" s="12">
        <v>0</v>
      </c>
      <c r="C38" s="12">
        <v>9.18</v>
      </c>
      <c r="D38" s="32">
        <v>0</v>
      </c>
      <c r="E38" s="32">
        <v>0</v>
      </c>
      <c r="F38" s="12">
        <v>0</v>
      </c>
      <c r="G38" s="12"/>
      <c r="H38" s="12"/>
      <c r="I38" s="609">
        <f>IFERROR(VLOOKUP(A38,KB!$C$2:$E$37,3,0),)</f>
        <v>0</v>
      </c>
      <c r="J38" s="322"/>
      <c r="K38" s="307"/>
      <c r="L38" s="307"/>
      <c r="M38" s="307"/>
      <c r="N38" s="309"/>
      <c r="O38" s="309"/>
      <c r="P38" s="307"/>
      <c r="Q38" s="307"/>
      <c r="R38" s="307"/>
      <c r="S38" s="609"/>
    </row>
    <row r="39" spans="1:19" ht="17">
      <c r="A39" s="12" t="s">
        <v>514</v>
      </c>
      <c r="B39" s="12">
        <v>32.39</v>
      </c>
      <c r="C39" s="12">
        <v>253.3</v>
      </c>
      <c r="D39" s="33">
        <v>0.12790000000000001</v>
      </c>
      <c r="E39" s="33">
        <v>0.60699999999999998</v>
      </c>
      <c r="F39" s="12">
        <v>338</v>
      </c>
      <c r="G39" s="12"/>
      <c r="H39" s="12"/>
      <c r="I39" s="609" t="str">
        <f>IFERROR(VLOOKUP(A39,KB!$C$2:$E$37,3,0),)</f>
        <v>VIP</v>
      </c>
      <c r="J39" s="322"/>
      <c r="K39" s="307"/>
      <c r="L39" s="307"/>
      <c r="M39" s="307"/>
      <c r="N39" s="309"/>
      <c r="O39" s="309"/>
      <c r="P39" s="307"/>
      <c r="Q39" s="307"/>
      <c r="R39" s="307"/>
      <c r="S39" s="609"/>
    </row>
    <row r="40" spans="1:19" ht="16">
      <c r="A40" t="s">
        <v>309</v>
      </c>
      <c r="B40"/>
      <c r="C40"/>
      <c r="D40"/>
      <c r="E40"/>
      <c r="F40"/>
      <c r="G40"/>
      <c r="H40"/>
      <c r="I40" s="610"/>
      <c r="J40" s="322"/>
      <c r="K40" s="307"/>
      <c r="L40" s="307"/>
      <c r="M40" s="307"/>
      <c r="N40" s="309"/>
      <c r="O40" s="309"/>
      <c r="P40" s="307"/>
      <c r="Q40" s="307"/>
      <c r="R40" s="307"/>
      <c r="S40" s="610"/>
    </row>
    <row r="41" spans="1:19" ht="16">
      <c r="A41" s="12"/>
      <c r="B41" s="12"/>
      <c r="C41" s="12"/>
      <c r="D41" s="33"/>
      <c r="E41" s="33"/>
      <c r="F41" s="12"/>
      <c r="G41" s="12"/>
      <c r="H41" s="12"/>
      <c r="I41" s="610"/>
      <c r="J41" s="322"/>
      <c r="K41" s="307"/>
      <c r="L41" s="307"/>
      <c r="M41" s="307"/>
      <c r="N41" s="310"/>
      <c r="O41" s="310"/>
      <c r="P41" s="307"/>
      <c r="Q41" s="307"/>
      <c r="R41" s="307"/>
      <c r="S41" s="610"/>
    </row>
    <row r="42" spans="1:19" ht="16">
      <c r="A42" s="12"/>
      <c r="B42" s="12"/>
      <c r="C42" s="12"/>
      <c r="D42" s="33"/>
      <c r="E42" s="33"/>
      <c r="F42" s="12"/>
      <c r="G42" s="12"/>
      <c r="H42" s="12"/>
      <c r="I42" s="610"/>
      <c r="J42" s="322"/>
      <c r="K42" s="307"/>
      <c r="L42" s="307"/>
      <c r="M42" s="307"/>
      <c r="N42" s="310"/>
      <c r="O42" s="310"/>
      <c r="P42" s="307"/>
      <c r="Q42" s="307"/>
      <c r="R42" s="307"/>
      <c r="S42" s="610"/>
    </row>
    <row r="43" spans="1:19" ht="16">
      <c r="A43" s="12"/>
      <c r="B43" s="12"/>
      <c r="C43" s="12"/>
      <c r="D43" s="33"/>
      <c r="E43" s="33"/>
      <c r="F43" s="12"/>
      <c r="G43" s="12"/>
      <c r="H43" s="12"/>
      <c r="I43" s="610"/>
      <c r="J43" s="322"/>
      <c r="K43" s="307"/>
      <c r="L43" s="307"/>
      <c r="M43" s="307"/>
      <c r="N43" s="310"/>
      <c r="O43" s="310"/>
      <c r="P43" s="307"/>
      <c r="Q43" s="307"/>
      <c r="R43" s="307"/>
      <c r="S43" s="610"/>
    </row>
    <row r="44" spans="1:19" ht="16">
      <c r="A44" s="12"/>
      <c r="B44" s="12"/>
      <c r="C44" s="12"/>
      <c r="D44" s="49"/>
      <c r="E44" s="49"/>
      <c r="F44" s="12"/>
      <c r="G44" s="393"/>
      <c r="H44" s="12"/>
      <c r="I44" s="610"/>
      <c r="J44" s="314"/>
      <c r="K44" s="308"/>
      <c r="L44" s="308"/>
      <c r="M44" s="308"/>
      <c r="N44" s="308"/>
      <c r="O44" s="308"/>
      <c r="P44" s="308"/>
      <c r="Q44" s="308"/>
      <c r="R44" s="308"/>
      <c r="S44" s="610"/>
    </row>
    <row r="45" spans="1:19" ht="16">
      <c r="A45" s="12"/>
      <c r="B45" s="12"/>
      <c r="C45" s="12"/>
      <c r="D45" s="32"/>
      <c r="E45" s="33"/>
      <c r="F45" s="12"/>
      <c r="G45" s="46"/>
      <c r="H45" s="12"/>
      <c r="I45" s="610"/>
      <c r="J45" s="314"/>
      <c r="S45" s="610"/>
    </row>
    <row r="46" spans="1:19" ht="16">
      <c r="A46" s="12"/>
      <c r="B46" s="12"/>
      <c r="C46" s="12"/>
      <c r="D46" s="33"/>
      <c r="E46" s="33"/>
      <c r="F46" s="12"/>
      <c r="G46" s="12"/>
      <c r="H46" s="12"/>
      <c r="I46" s="610"/>
      <c r="J46" s="314"/>
      <c r="S46" s="610"/>
    </row>
    <row r="47" spans="1:19" ht="16">
      <c r="A47"/>
      <c r="B47"/>
      <c r="C47"/>
      <c r="D47"/>
      <c r="E47"/>
      <c r="F47"/>
      <c r="G47"/>
      <c r="H47"/>
      <c r="I47" s="610"/>
      <c r="S47" s="610"/>
    </row>
    <row r="48" spans="1:19">
      <c r="A48" s="307"/>
    </row>
    <row r="49" spans="1:1">
      <c r="A49" s="307"/>
    </row>
    <row r="50" spans="1:1">
      <c r="A50" s="307"/>
    </row>
    <row r="51" spans="1:1">
      <c r="A51" s="307"/>
    </row>
    <row r="52" spans="1:1">
      <c r="A52" s="307"/>
    </row>
    <row r="53" spans="1:1">
      <c r="A53" s="307"/>
    </row>
    <row r="54" spans="1:1">
      <c r="A54" s="307"/>
    </row>
    <row r="55" spans="1:1">
      <c r="A55" s="307"/>
    </row>
  </sheetData>
  <customSheetViews>
    <customSheetView guid="{FEB50EEF-352C-B844-A6F4-33499875B85A}">
      <selection activeCell="H23" sqref="H23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68BAE-99A8-494A-9C28-15FC44C90691}">
  <sheetPr codeName="Sheet11"/>
  <dimension ref="A1:BZ57"/>
  <sheetViews>
    <sheetView topLeftCell="A16" workbookViewId="0">
      <selection activeCell="A30" sqref="A30:XFD30"/>
    </sheetView>
  </sheetViews>
  <sheetFormatPr baseColWidth="10" defaultColWidth="9.33203125" defaultRowHeight="16"/>
  <cols>
    <col min="2" max="2" width="35.1640625" bestFit="1" customWidth="1"/>
    <col min="3" max="13" width="9.33203125" style="16"/>
    <col min="14" max="15" width="9.33203125" style="14"/>
    <col min="16" max="30" width="9.33203125" style="11"/>
    <col min="42" max="42" width="34" bestFit="1" customWidth="1"/>
  </cols>
  <sheetData>
    <row r="1" spans="1:39" s="11" customFormat="1">
      <c r="B1" s="52" t="s">
        <v>68</v>
      </c>
      <c r="C1" s="52" t="s">
        <v>494</v>
      </c>
      <c r="D1" s="52" t="s">
        <v>222</v>
      </c>
      <c r="E1" s="52" t="s">
        <v>217</v>
      </c>
      <c r="F1" s="52" t="s">
        <v>176</v>
      </c>
      <c r="G1" s="52" t="s">
        <v>515</v>
      </c>
      <c r="H1" s="52" t="s">
        <v>516</v>
      </c>
      <c r="I1" s="52" t="s">
        <v>517</v>
      </c>
      <c r="J1" s="52" t="s">
        <v>177</v>
      </c>
      <c r="K1" s="52" t="s">
        <v>519</v>
      </c>
      <c r="L1" s="52" t="s">
        <v>520</v>
      </c>
      <c r="M1" s="52" t="s">
        <v>508</v>
      </c>
      <c r="N1" s="52" t="s">
        <v>509</v>
      </c>
      <c r="O1" s="52" t="s">
        <v>103</v>
      </c>
      <c r="P1" s="52" t="s">
        <v>501</v>
      </c>
      <c r="Q1" s="52" t="s">
        <v>502</v>
      </c>
      <c r="R1" s="52" t="s">
        <v>522</v>
      </c>
      <c r="S1" s="52" t="s">
        <v>523</v>
      </c>
      <c r="T1" s="52" t="s">
        <v>223</v>
      </c>
      <c r="U1" s="52" t="s">
        <v>510</v>
      </c>
      <c r="V1" s="52" t="s">
        <v>511</v>
      </c>
      <c r="W1" s="52" t="s">
        <v>114</v>
      </c>
      <c r="X1" s="52" t="s">
        <v>268</v>
      </c>
      <c r="Y1" s="52" t="s">
        <v>224</v>
      </c>
      <c r="Z1" s="52" t="s">
        <v>512</v>
      </c>
      <c r="AA1" s="52" t="s">
        <v>505</v>
      </c>
      <c r="AB1" s="52" t="s">
        <v>514</v>
      </c>
      <c r="AC1" s="679"/>
    </row>
    <row r="2" spans="1:39">
      <c r="B2" s="12"/>
      <c r="C2" s="52" t="s">
        <v>24</v>
      </c>
      <c r="D2" s="52" t="s">
        <v>24</v>
      </c>
      <c r="E2" s="52" t="s">
        <v>24</v>
      </c>
      <c r="F2" s="52" t="s">
        <v>24</v>
      </c>
      <c r="G2" s="52" t="s">
        <v>24</v>
      </c>
      <c r="H2" s="52" t="s">
        <v>24</v>
      </c>
      <c r="I2" s="52" t="s">
        <v>24</v>
      </c>
      <c r="J2" s="52" t="s">
        <v>24</v>
      </c>
      <c r="K2" s="52" t="s">
        <v>24</v>
      </c>
      <c r="L2" s="52" t="s">
        <v>24</v>
      </c>
      <c r="M2" s="52" t="s">
        <v>24</v>
      </c>
      <c r="N2" s="52" t="s">
        <v>24</v>
      </c>
      <c r="O2" s="52" t="s">
        <v>24</v>
      </c>
      <c r="P2" s="52" t="s">
        <v>19</v>
      </c>
      <c r="Q2" s="52" t="s">
        <v>19</v>
      </c>
      <c r="R2" s="52" t="s">
        <v>24</v>
      </c>
      <c r="S2" s="52" t="s">
        <v>24</v>
      </c>
      <c r="T2" s="52" t="s">
        <v>24</v>
      </c>
      <c r="U2" s="52" t="s">
        <v>24</v>
      </c>
      <c r="V2" s="52" t="s">
        <v>24</v>
      </c>
      <c r="W2" s="52" t="s">
        <v>19</v>
      </c>
      <c r="X2" s="52" t="s">
        <v>24</v>
      </c>
      <c r="Y2" s="52" t="s">
        <v>24</v>
      </c>
      <c r="Z2" s="52" t="s">
        <v>24</v>
      </c>
      <c r="AA2" s="52" t="s">
        <v>19</v>
      </c>
      <c r="AB2" s="52" t="s">
        <v>24</v>
      </c>
      <c r="AC2" s="12"/>
      <c r="AD2"/>
    </row>
    <row r="3" spans="1:39">
      <c r="B3" s="12" t="s">
        <v>20</v>
      </c>
      <c r="C3" s="12">
        <v>353.91</v>
      </c>
      <c r="D3" s="12">
        <v>138.05000000000001</v>
      </c>
      <c r="E3" s="12">
        <v>13.38</v>
      </c>
      <c r="F3" s="12">
        <v>5.0199999999999996</v>
      </c>
      <c r="G3" s="12">
        <v>214.29</v>
      </c>
      <c r="H3" s="12">
        <v>23.27</v>
      </c>
      <c r="I3" s="12">
        <v>5.51</v>
      </c>
      <c r="J3" s="12">
        <v>3.15</v>
      </c>
      <c r="K3" s="12">
        <v>77.47</v>
      </c>
      <c r="L3" s="12">
        <v>85.19</v>
      </c>
      <c r="M3" s="12">
        <v>49.3</v>
      </c>
      <c r="N3" s="12">
        <v>3.18</v>
      </c>
      <c r="O3" s="12">
        <v>6.47</v>
      </c>
      <c r="P3" s="12">
        <v>1</v>
      </c>
      <c r="Q3" s="12">
        <v>1</v>
      </c>
      <c r="R3" s="12">
        <v>42.05</v>
      </c>
      <c r="S3" s="12">
        <v>47.58</v>
      </c>
      <c r="T3" s="12">
        <v>15.6</v>
      </c>
      <c r="U3" s="12">
        <v>40.159999999999997</v>
      </c>
      <c r="V3" s="12">
        <v>45.96</v>
      </c>
      <c r="W3" s="12">
        <v>4</v>
      </c>
      <c r="X3" s="12">
        <v>186.31</v>
      </c>
      <c r="Y3" s="12">
        <v>259.81</v>
      </c>
      <c r="Z3" s="12">
        <v>1.21</v>
      </c>
      <c r="AA3" s="12">
        <v>21</v>
      </c>
      <c r="AB3" s="12">
        <v>27.04</v>
      </c>
      <c r="AC3" s="12"/>
      <c r="AD3"/>
    </row>
    <row r="4" spans="1:39">
      <c r="B4" s="12" t="s">
        <v>148</v>
      </c>
      <c r="C4" s="12">
        <v>343.46</v>
      </c>
      <c r="D4" s="12">
        <v>138.05000000000001</v>
      </c>
      <c r="E4" s="12">
        <v>13.38</v>
      </c>
      <c r="F4" s="12">
        <v>5.0199999999999996</v>
      </c>
      <c r="G4" s="12">
        <v>214.29</v>
      </c>
      <c r="H4" s="12">
        <v>23.27</v>
      </c>
      <c r="I4" s="12">
        <v>5.51</v>
      </c>
      <c r="J4" s="12">
        <v>3.15</v>
      </c>
      <c r="K4" s="12">
        <v>77.47</v>
      </c>
      <c r="L4" s="12">
        <v>85.19</v>
      </c>
      <c r="M4" s="12">
        <v>49.3</v>
      </c>
      <c r="N4" s="12">
        <v>3.18</v>
      </c>
      <c r="O4" s="12">
        <v>6.47</v>
      </c>
      <c r="P4" s="12">
        <v>1</v>
      </c>
      <c r="Q4" s="12">
        <v>1</v>
      </c>
      <c r="R4" s="12">
        <v>42.05</v>
      </c>
      <c r="S4" s="12">
        <v>47.58</v>
      </c>
      <c r="T4" s="12">
        <v>15.6</v>
      </c>
      <c r="U4" s="12">
        <v>40.159999999999997</v>
      </c>
      <c r="V4" s="12">
        <v>45.96</v>
      </c>
      <c r="W4" s="12">
        <v>4</v>
      </c>
      <c r="X4" s="12">
        <v>186.31</v>
      </c>
      <c r="Y4" s="12">
        <v>259.81</v>
      </c>
      <c r="Z4" s="12">
        <v>1.21</v>
      </c>
      <c r="AA4" s="12">
        <v>21</v>
      </c>
      <c r="AB4" s="12">
        <v>27.04</v>
      </c>
      <c r="AC4" s="12"/>
      <c r="AD4"/>
    </row>
    <row r="5" spans="1:39">
      <c r="A5" s="12"/>
      <c r="B5" s="12" t="s">
        <v>15</v>
      </c>
      <c r="C5" s="12">
        <v>9.24</v>
      </c>
      <c r="D5" s="12">
        <v>16.61</v>
      </c>
      <c r="E5" s="12">
        <v>1.94</v>
      </c>
      <c r="F5" s="12">
        <v>0</v>
      </c>
      <c r="G5" s="12">
        <v>11.78</v>
      </c>
      <c r="H5" s="12">
        <v>1.74</v>
      </c>
      <c r="I5" s="12">
        <v>0</v>
      </c>
      <c r="J5" s="12">
        <v>0</v>
      </c>
      <c r="K5" s="12">
        <v>-8.14</v>
      </c>
      <c r="L5" s="12">
        <v>-15.84</v>
      </c>
      <c r="M5" s="12">
        <v>0</v>
      </c>
      <c r="N5" s="12">
        <v>0</v>
      </c>
      <c r="O5" s="12">
        <v>0</v>
      </c>
      <c r="P5" s="12">
        <v>1</v>
      </c>
      <c r="Q5" s="12">
        <v>1</v>
      </c>
      <c r="R5" s="12">
        <v>10.34</v>
      </c>
      <c r="S5" s="12">
        <v>0</v>
      </c>
      <c r="T5" s="12">
        <v>0</v>
      </c>
      <c r="U5" s="12">
        <v>0</v>
      </c>
      <c r="V5" s="12">
        <v>11.78</v>
      </c>
      <c r="W5" s="12">
        <v>3</v>
      </c>
      <c r="X5" s="12">
        <v>32.479999999999997</v>
      </c>
      <c r="Y5" s="12">
        <v>25.13</v>
      </c>
      <c r="Z5" s="12">
        <v>1.1000000000000001</v>
      </c>
      <c r="AA5" s="12">
        <v>5</v>
      </c>
      <c r="AB5" s="12">
        <v>17</v>
      </c>
      <c r="AC5"/>
      <c r="AD5"/>
    </row>
    <row r="6" spans="1:39">
      <c r="A6" s="12"/>
      <c r="B6" s="12" t="s">
        <v>151</v>
      </c>
      <c r="C6" s="12">
        <v>29.56</v>
      </c>
      <c r="D6" s="12">
        <v>11.65</v>
      </c>
      <c r="E6" s="12">
        <v>0</v>
      </c>
      <c r="F6" s="12">
        <v>0</v>
      </c>
      <c r="G6" s="12">
        <v>51.18</v>
      </c>
      <c r="H6" s="12">
        <v>5.19</v>
      </c>
      <c r="I6" s="12">
        <v>1.1599999999999999</v>
      </c>
      <c r="J6" s="12">
        <v>3.15</v>
      </c>
      <c r="K6" s="12">
        <v>0</v>
      </c>
      <c r="L6" s="12">
        <v>0</v>
      </c>
      <c r="M6" s="12">
        <v>0</v>
      </c>
      <c r="N6" s="12">
        <v>0</v>
      </c>
      <c r="O6" s="12">
        <v>0</v>
      </c>
      <c r="P6" s="12">
        <v>0</v>
      </c>
      <c r="Q6" s="12">
        <v>0</v>
      </c>
      <c r="R6" s="12">
        <v>0</v>
      </c>
      <c r="S6" s="12">
        <v>0</v>
      </c>
      <c r="T6" s="12">
        <v>0</v>
      </c>
      <c r="U6" s="12">
        <v>0</v>
      </c>
      <c r="V6" s="12">
        <v>0</v>
      </c>
      <c r="W6" s="12">
        <v>0</v>
      </c>
      <c r="X6" s="12">
        <v>16.510000000000002</v>
      </c>
      <c r="Y6" s="12">
        <v>34.67</v>
      </c>
      <c r="Z6" s="12">
        <v>0</v>
      </c>
      <c r="AA6" s="12">
        <v>3</v>
      </c>
      <c r="AB6" s="12">
        <v>1.76</v>
      </c>
      <c r="AC6"/>
      <c r="AD6"/>
    </row>
    <row r="7" spans="1:39">
      <c r="A7" s="12"/>
      <c r="B7" s="12" t="s">
        <v>293</v>
      </c>
      <c r="C7" s="12">
        <v>47.38</v>
      </c>
      <c r="D7" s="12">
        <v>8.69</v>
      </c>
      <c r="E7" s="12">
        <v>0.95</v>
      </c>
      <c r="F7" s="12">
        <v>0</v>
      </c>
      <c r="G7" s="12">
        <v>0</v>
      </c>
      <c r="H7" s="12">
        <v>0</v>
      </c>
      <c r="I7" s="12">
        <v>0.18</v>
      </c>
      <c r="J7" s="12">
        <v>0</v>
      </c>
      <c r="K7" s="12">
        <v>13.3</v>
      </c>
      <c r="L7" s="12">
        <v>0</v>
      </c>
      <c r="M7" s="12">
        <v>9.65</v>
      </c>
      <c r="N7" s="12">
        <v>3.18</v>
      </c>
      <c r="O7" s="12">
        <v>6.47</v>
      </c>
      <c r="P7" s="12">
        <v>0</v>
      </c>
      <c r="Q7" s="12">
        <v>0</v>
      </c>
      <c r="R7" s="12">
        <v>7.73</v>
      </c>
      <c r="S7" s="12">
        <v>0</v>
      </c>
      <c r="T7" s="12">
        <v>0</v>
      </c>
      <c r="U7" s="12">
        <v>0</v>
      </c>
      <c r="V7" s="12">
        <v>6.27</v>
      </c>
      <c r="W7" s="12">
        <v>0</v>
      </c>
      <c r="X7" s="12">
        <v>4.17</v>
      </c>
      <c r="Y7" s="12">
        <v>7.52</v>
      </c>
      <c r="Z7" s="12">
        <v>0.11</v>
      </c>
      <c r="AA7" s="12">
        <v>5</v>
      </c>
      <c r="AB7" s="12">
        <v>0.67</v>
      </c>
      <c r="AC7"/>
      <c r="AD7"/>
    </row>
    <row r="8" spans="1:39">
      <c r="A8" s="12"/>
      <c r="B8" s="12" t="s">
        <v>433</v>
      </c>
      <c r="C8" s="12">
        <v>26.37</v>
      </c>
      <c r="D8" s="12">
        <v>4.1900000000000004</v>
      </c>
      <c r="E8" s="12">
        <v>3.19</v>
      </c>
      <c r="F8" s="12">
        <v>0</v>
      </c>
      <c r="G8" s="12">
        <v>24.97</v>
      </c>
      <c r="H8" s="12">
        <v>0.52</v>
      </c>
      <c r="I8" s="12">
        <v>1.28</v>
      </c>
      <c r="J8" s="12">
        <v>0</v>
      </c>
      <c r="K8" s="12">
        <v>0</v>
      </c>
      <c r="L8" s="12">
        <v>0</v>
      </c>
      <c r="M8" s="12">
        <v>4.34</v>
      </c>
      <c r="N8" s="12">
        <v>0</v>
      </c>
      <c r="O8" s="12">
        <v>0</v>
      </c>
      <c r="P8" s="12">
        <v>0</v>
      </c>
      <c r="Q8" s="12">
        <v>0</v>
      </c>
      <c r="R8" s="12">
        <v>0</v>
      </c>
      <c r="S8" s="12">
        <v>12.03</v>
      </c>
      <c r="T8" s="12">
        <v>0</v>
      </c>
      <c r="U8" s="12">
        <v>0</v>
      </c>
      <c r="V8" s="12">
        <v>4.82</v>
      </c>
      <c r="W8" s="12">
        <v>0</v>
      </c>
      <c r="X8" s="12">
        <v>24.88</v>
      </c>
      <c r="Y8" s="12">
        <v>19.21</v>
      </c>
      <c r="Z8" s="12">
        <v>0</v>
      </c>
      <c r="AA8" s="12">
        <v>4</v>
      </c>
      <c r="AB8" s="12">
        <v>1.44</v>
      </c>
      <c r="AC8"/>
      <c r="AD8"/>
    </row>
    <row r="9" spans="1:39">
      <c r="A9" s="12"/>
      <c r="B9" s="12" t="s">
        <v>57</v>
      </c>
      <c r="C9" s="12">
        <v>46.3</v>
      </c>
      <c r="D9" s="12">
        <v>17.59</v>
      </c>
      <c r="E9" s="12">
        <v>1.1299999999999999</v>
      </c>
      <c r="F9" s="12">
        <v>5.0199999999999996</v>
      </c>
      <c r="G9" s="12">
        <v>21.93</v>
      </c>
      <c r="H9" s="12">
        <v>0</v>
      </c>
      <c r="I9" s="12">
        <v>1.04</v>
      </c>
      <c r="J9" s="12">
        <v>0</v>
      </c>
      <c r="K9" s="12">
        <v>31.77</v>
      </c>
      <c r="L9" s="12">
        <v>20.11</v>
      </c>
      <c r="M9" s="12">
        <v>9.25</v>
      </c>
      <c r="N9" s="12">
        <v>0</v>
      </c>
      <c r="O9" s="12">
        <v>0</v>
      </c>
      <c r="P9" s="12">
        <v>0</v>
      </c>
      <c r="Q9" s="12">
        <v>0</v>
      </c>
      <c r="R9" s="12">
        <v>4.0599999999999996</v>
      </c>
      <c r="S9" s="12">
        <v>6.66</v>
      </c>
      <c r="T9" s="12">
        <v>0</v>
      </c>
      <c r="U9" s="12">
        <v>0</v>
      </c>
      <c r="V9" s="12">
        <v>23.08</v>
      </c>
      <c r="W9" s="12">
        <v>1</v>
      </c>
      <c r="X9" s="12">
        <v>26.05</v>
      </c>
      <c r="Y9" s="12">
        <v>60.87</v>
      </c>
      <c r="Z9" s="12">
        <v>0</v>
      </c>
      <c r="AA9" s="12">
        <v>1</v>
      </c>
      <c r="AB9" s="12">
        <v>3.21</v>
      </c>
      <c r="AC9"/>
      <c r="AD9"/>
    </row>
    <row r="10" spans="1:39">
      <c r="A10" s="12"/>
      <c r="B10" s="12" t="s">
        <v>56</v>
      </c>
      <c r="C10" s="12">
        <v>82.29</v>
      </c>
      <c r="D10" s="12">
        <v>47.33</v>
      </c>
      <c r="E10" s="12">
        <v>6.16</v>
      </c>
      <c r="F10" s="12">
        <v>0</v>
      </c>
      <c r="G10" s="12">
        <v>104.43</v>
      </c>
      <c r="H10" s="12">
        <v>13.8</v>
      </c>
      <c r="I10" s="12">
        <v>0</v>
      </c>
      <c r="J10" s="12">
        <v>0</v>
      </c>
      <c r="K10" s="12">
        <v>14.43</v>
      </c>
      <c r="L10" s="12">
        <v>66.78</v>
      </c>
      <c r="M10" s="12">
        <v>26.06</v>
      </c>
      <c r="N10" s="12">
        <v>0</v>
      </c>
      <c r="O10" s="12">
        <v>0</v>
      </c>
      <c r="P10" s="12">
        <v>0</v>
      </c>
      <c r="Q10" s="12">
        <v>0</v>
      </c>
      <c r="R10" s="12">
        <v>4.74</v>
      </c>
      <c r="S10" s="12">
        <v>16.829999999999998</v>
      </c>
      <c r="T10" s="12">
        <v>3.58</v>
      </c>
      <c r="U10" s="12">
        <v>28.13</v>
      </c>
      <c r="V10" s="12">
        <v>0</v>
      </c>
      <c r="W10" s="12">
        <v>0</v>
      </c>
      <c r="X10" s="12">
        <v>63.69</v>
      </c>
      <c r="Y10" s="12">
        <v>17.66</v>
      </c>
      <c r="Z10" s="12">
        <v>0</v>
      </c>
      <c r="AA10" s="12">
        <v>0</v>
      </c>
      <c r="AB10" s="12">
        <v>2.96</v>
      </c>
      <c r="AC10"/>
      <c r="AD10"/>
    </row>
    <row r="11" spans="1:39">
      <c r="A11" s="12"/>
      <c r="B11" s="12" t="s">
        <v>60</v>
      </c>
      <c r="C11" s="12">
        <v>102.32</v>
      </c>
      <c r="D11" s="12">
        <v>31.99</v>
      </c>
      <c r="E11" s="12">
        <v>0</v>
      </c>
      <c r="F11" s="12">
        <v>0</v>
      </c>
      <c r="G11" s="12">
        <v>0</v>
      </c>
      <c r="H11" s="12">
        <v>2.0299999999999998</v>
      </c>
      <c r="I11" s="12">
        <v>1.85</v>
      </c>
      <c r="J11" s="12">
        <v>0</v>
      </c>
      <c r="K11" s="12">
        <v>26.11</v>
      </c>
      <c r="L11" s="12">
        <v>14.14</v>
      </c>
      <c r="M11" s="12">
        <v>0</v>
      </c>
      <c r="N11" s="12">
        <v>0</v>
      </c>
      <c r="O11" s="12">
        <v>0</v>
      </c>
      <c r="P11" s="12">
        <v>0</v>
      </c>
      <c r="Q11" s="12">
        <v>0</v>
      </c>
      <c r="R11" s="12">
        <v>15.17</v>
      </c>
      <c r="S11" s="12">
        <v>12.07</v>
      </c>
      <c r="T11" s="12">
        <v>12.03</v>
      </c>
      <c r="U11" s="12">
        <v>12.03</v>
      </c>
      <c r="V11" s="12">
        <v>0</v>
      </c>
      <c r="W11" s="12">
        <v>0</v>
      </c>
      <c r="X11" s="12">
        <v>18.54</v>
      </c>
      <c r="Y11" s="12">
        <v>94.74</v>
      </c>
      <c r="Z11" s="12">
        <v>0</v>
      </c>
      <c r="AA11" s="12">
        <v>3</v>
      </c>
      <c r="AB11" s="12">
        <v>0</v>
      </c>
      <c r="AC11"/>
      <c r="AD11"/>
    </row>
    <row r="12" spans="1:39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</row>
    <row r="13" spans="1:39">
      <c r="A13" s="12"/>
      <c r="B13" s="1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</row>
    <row r="14" spans="1:39">
      <c r="A14" s="12"/>
      <c r="B14" s="12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</row>
    <row r="15" spans="1:39">
      <c r="A15" s="12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</row>
    <row r="16" spans="1:39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1:78">
      <c r="A17" s="953"/>
      <c r="B17" s="953"/>
      <c r="C17" s="953"/>
      <c r="D17" s="953"/>
      <c r="E17" s="953"/>
      <c r="F17" s="953"/>
      <c r="G17" s="953"/>
      <c r="H17" s="953"/>
      <c r="I17" s="953"/>
      <c r="J17" s="953"/>
      <c r="K17" s="953"/>
      <c r="L17" s="953"/>
      <c r="M17" s="953"/>
      <c r="N17" s="953"/>
      <c r="O17" s="953"/>
      <c r="P17" s="953"/>
      <c r="Q17" s="953"/>
      <c r="R17" s="953"/>
      <c r="S17" s="953"/>
      <c r="T17" s="953"/>
      <c r="U17" s="953"/>
      <c r="V17" s="953"/>
      <c r="W17" s="953"/>
      <c r="X17" s="953"/>
      <c r="Y17" s="953"/>
      <c r="Z17" s="953"/>
      <c r="AA17" s="953"/>
      <c r="AB17" s="953"/>
      <c r="AC17" s="953"/>
      <c r="AD17" s="953"/>
      <c r="AE17" s="953"/>
      <c r="AF17" s="953"/>
      <c r="AG17" s="953"/>
      <c r="AH17" s="953"/>
      <c r="AI17" s="953"/>
      <c r="AJ17" s="12" t="s">
        <v>430</v>
      </c>
      <c r="AK17" s="12">
        <v>0</v>
      </c>
      <c r="AL17" s="12">
        <v>0.2</v>
      </c>
      <c r="AM17" s="12">
        <v>0</v>
      </c>
      <c r="AN17" s="12">
        <v>0</v>
      </c>
      <c r="AO17" s="12">
        <v>0</v>
      </c>
      <c r="AP17" s="12">
        <v>0</v>
      </c>
      <c r="AQ17" s="12">
        <v>0</v>
      </c>
      <c r="AR17" s="12">
        <v>0</v>
      </c>
      <c r="AS17" s="12">
        <v>0</v>
      </c>
      <c r="AT17" s="12">
        <v>0</v>
      </c>
      <c r="AU17" s="12">
        <v>0</v>
      </c>
      <c r="AV17" s="12">
        <v>0</v>
      </c>
      <c r="AW17" s="12">
        <v>0</v>
      </c>
      <c r="AX17" s="12">
        <v>0</v>
      </c>
      <c r="AY17" s="12">
        <v>0</v>
      </c>
      <c r="AZ17" s="12">
        <v>0</v>
      </c>
      <c r="BA17" s="12">
        <v>0</v>
      </c>
      <c r="BB17" s="12">
        <v>0</v>
      </c>
      <c r="BC17" s="12">
        <v>0</v>
      </c>
      <c r="BD17" s="12">
        <v>0</v>
      </c>
      <c r="BE17" s="12">
        <v>0</v>
      </c>
      <c r="BF17" s="12">
        <v>0</v>
      </c>
      <c r="BG17" s="12">
        <v>0</v>
      </c>
      <c r="BH17" s="12">
        <v>0</v>
      </c>
      <c r="BI17" s="12">
        <v>0</v>
      </c>
      <c r="BJ17" s="12">
        <v>0</v>
      </c>
      <c r="BK17" s="12">
        <v>0</v>
      </c>
      <c r="BL17" s="12">
        <v>0</v>
      </c>
      <c r="BM17" s="12">
        <v>0</v>
      </c>
      <c r="BN17" s="12">
        <v>0</v>
      </c>
      <c r="BO17" s="12">
        <v>0</v>
      </c>
      <c r="BP17" s="12">
        <v>0</v>
      </c>
      <c r="BQ17" s="12">
        <v>0</v>
      </c>
      <c r="BR17" s="12"/>
    </row>
    <row r="18" spans="1:78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</row>
    <row r="19" spans="1:78" s="11" customFormat="1">
      <c r="B19" s="52" t="s">
        <v>68</v>
      </c>
      <c r="C19" s="52" t="s">
        <v>494</v>
      </c>
      <c r="D19" s="52" t="s">
        <v>222</v>
      </c>
      <c r="E19" s="52" t="s">
        <v>217</v>
      </c>
      <c r="F19" s="52" t="s">
        <v>176</v>
      </c>
      <c r="G19" s="52" t="s">
        <v>515</v>
      </c>
      <c r="H19" s="52" t="s">
        <v>516</v>
      </c>
      <c r="I19" s="52" t="s">
        <v>517</v>
      </c>
      <c r="J19" s="52" t="s">
        <v>177</v>
      </c>
      <c r="K19" s="52" t="s">
        <v>519</v>
      </c>
      <c r="L19" s="52" t="s">
        <v>520</v>
      </c>
      <c r="M19" s="52" t="s">
        <v>508</v>
      </c>
      <c r="N19" s="52" t="s">
        <v>509</v>
      </c>
      <c r="O19" s="52" t="s">
        <v>103</v>
      </c>
      <c r="P19" s="52" t="s">
        <v>501</v>
      </c>
      <c r="Q19" s="52" t="s">
        <v>502</v>
      </c>
      <c r="R19" s="52" t="s">
        <v>522</v>
      </c>
      <c r="S19" s="52" t="s">
        <v>523</v>
      </c>
      <c r="T19" s="52" t="s">
        <v>223</v>
      </c>
      <c r="U19" s="52" t="s">
        <v>510</v>
      </c>
      <c r="V19" s="52" t="s">
        <v>511</v>
      </c>
      <c r="W19" s="52" t="s">
        <v>114</v>
      </c>
      <c r="X19" s="52" t="s">
        <v>268</v>
      </c>
      <c r="Y19" s="52" t="s">
        <v>224</v>
      </c>
      <c r="Z19" s="52" t="s">
        <v>512</v>
      </c>
      <c r="AA19" s="52" t="s">
        <v>505</v>
      </c>
      <c r="AB19" s="52" t="s">
        <v>514</v>
      </c>
      <c r="AC19" s="679"/>
    </row>
    <row r="20" spans="1:78">
      <c r="B20" s="12"/>
      <c r="C20" s="52" t="s">
        <v>24</v>
      </c>
      <c r="D20" s="52" t="s">
        <v>24</v>
      </c>
      <c r="E20" s="52" t="s">
        <v>24</v>
      </c>
      <c r="F20" s="52" t="s">
        <v>24</v>
      </c>
      <c r="G20" s="52" t="s">
        <v>24</v>
      </c>
      <c r="H20" s="52" t="s">
        <v>24</v>
      </c>
      <c r="I20" s="52" t="s">
        <v>24</v>
      </c>
      <c r="J20" s="52" t="s">
        <v>24</v>
      </c>
      <c r="K20" s="52" t="s">
        <v>24</v>
      </c>
      <c r="L20" s="52" t="s">
        <v>24</v>
      </c>
      <c r="M20" s="52" t="s">
        <v>24</v>
      </c>
      <c r="N20" s="52" t="s">
        <v>24</v>
      </c>
      <c r="O20" s="52" t="s">
        <v>24</v>
      </c>
      <c r="P20" s="52" t="s">
        <v>19</v>
      </c>
      <c r="Q20" s="52" t="s">
        <v>19</v>
      </c>
      <c r="R20" s="52" t="s">
        <v>24</v>
      </c>
      <c r="S20" s="52" t="s">
        <v>24</v>
      </c>
      <c r="T20" s="52" t="s">
        <v>24</v>
      </c>
      <c r="U20" s="52" t="s">
        <v>24</v>
      </c>
      <c r="V20" s="52" t="s">
        <v>24</v>
      </c>
      <c r="W20" s="52" t="s">
        <v>19</v>
      </c>
      <c r="X20" s="52" t="s">
        <v>24</v>
      </c>
      <c r="Y20" s="52" t="s">
        <v>24</v>
      </c>
      <c r="Z20" s="52" t="s">
        <v>24</v>
      </c>
      <c r="AA20" s="52" t="s">
        <v>19</v>
      </c>
      <c r="AB20" s="52" t="s">
        <v>24</v>
      </c>
      <c r="AC20" s="12"/>
      <c r="AD20"/>
    </row>
    <row r="21" spans="1:78">
      <c r="B21" s="12" t="s">
        <v>20</v>
      </c>
      <c r="C21" s="12">
        <v>353.91</v>
      </c>
      <c r="D21" s="12">
        <v>138.05000000000001</v>
      </c>
      <c r="E21" s="12">
        <v>13.38</v>
      </c>
      <c r="F21" s="12">
        <v>5.0199999999999996</v>
      </c>
      <c r="G21" s="12">
        <v>214.29</v>
      </c>
      <c r="H21" s="12">
        <v>23.27</v>
      </c>
      <c r="I21" s="12">
        <v>5.51</v>
      </c>
      <c r="J21" s="12">
        <v>3.15</v>
      </c>
      <c r="K21" s="12">
        <v>77.47</v>
      </c>
      <c r="L21" s="12">
        <v>85.19</v>
      </c>
      <c r="M21" s="12">
        <v>49.3</v>
      </c>
      <c r="N21" s="12">
        <v>3.18</v>
      </c>
      <c r="O21" s="12">
        <v>6.47</v>
      </c>
      <c r="P21" s="12">
        <v>1</v>
      </c>
      <c r="Q21" s="12">
        <v>1</v>
      </c>
      <c r="R21" s="12">
        <v>42.05</v>
      </c>
      <c r="S21" s="12">
        <v>47.58</v>
      </c>
      <c r="T21" s="12">
        <v>15.6</v>
      </c>
      <c r="U21" s="12">
        <v>40.159999999999997</v>
      </c>
      <c r="V21" s="12">
        <v>45.96</v>
      </c>
      <c r="W21" s="12">
        <v>4</v>
      </c>
      <c r="X21" s="12">
        <v>186.31</v>
      </c>
      <c r="Y21" s="12">
        <v>259.81</v>
      </c>
      <c r="Z21" s="12">
        <v>1.21</v>
      </c>
      <c r="AA21" s="12">
        <v>21</v>
      </c>
      <c r="AB21" s="12">
        <v>27.04</v>
      </c>
      <c r="AC21" s="12"/>
      <c r="AD21"/>
    </row>
    <row r="22" spans="1:78">
      <c r="B22" s="12" t="s">
        <v>148</v>
      </c>
      <c r="C22" s="12">
        <v>343.46</v>
      </c>
      <c r="D22" s="12">
        <v>138.05000000000001</v>
      </c>
      <c r="E22" s="12">
        <v>13.38</v>
      </c>
      <c r="F22" s="12">
        <v>5.0199999999999996</v>
      </c>
      <c r="G22" s="12">
        <v>214.29</v>
      </c>
      <c r="H22" s="12">
        <v>23.27</v>
      </c>
      <c r="I22" s="12">
        <v>5.51</v>
      </c>
      <c r="J22" s="12">
        <v>3.15</v>
      </c>
      <c r="K22" s="12">
        <v>77.47</v>
      </c>
      <c r="L22" s="12">
        <v>85.19</v>
      </c>
      <c r="M22" s="12">
        <v>49.3</v>
      </c>
      <c r="N22" s="12">
        <v>3.18</v>
      </c>
      <c r="O22" s="12">
        <v>6.47</v>
      </c>
      <c r="P22" s="12">
        <v>1</v>
      </c>
      <c r="Q22" s="12">
        <v>1</v>
      </c>
      <c r="R22" s="12">
        <v>42.05</v>
      </c>
      <c r="S22" s="12">
        <v>47.58</v>
      </c>
      <c r="T22" s="12">
        <v>15.6</v>
      </c>
      <c r="U22" s="12">
        <v>40.159999999999997</v>
      </c>
      <c r="V22" s="12">
        <v>45.96</v>
      </c>
      <c r="W22" s="12">
        <v>4</v>
      </c>
      <c r="X22" s="12">
        <v>186.31</v>
      </c>
      <c r="Y22" s="12">
        <v>259.81</v>
      </c>
      <c r="Z22" s="12">
        <v>1.21</v>
      </c>
      <c r="AA22" s="12">
        <v>21</v>
      </c>
      <c r="AB22" s="12">
        <v>27.04</v>
      </c>
      <c r="AC22" s="12"/>
      <c r="AD22"/>
    </row>
    <row r="23" spans="1:78">
      <c r="A23" s="12"/>
      <c r="B23" s="12" t="s">
        <v>15</v>
      </c>
      <c r="C23" s="12">
        <v>9.24</v>
      </c>
      <c r="D23" s="12">
        <v>16.61</v>
      </c>
      <c r="E23" s="12">
        <v>1.94</v>
      </c>
      <c r="F23" s="12">
        <v>0</v>
      </c>
      <c r="G23" s="12">
        <v>11.78</v>
      </c>
      <c r="H23" s="12">
        <v>1.74</v>
      </c>
      <c r="I23" s="12">
        <v>0</v>
      </c>
      <c r="J23" s="12">
        <v>0</v>
      </c>
      <c r="K23" s="12">
        <v>-8.14</v>
      </c>
      <c r="L23" s="12">
        <v>-15.84</v>
      </c>
      <c r="M23" s="12">
        <v>0</v>
      </c>
      <c r="N23" s="12">
        <v>0</v>
      </c>
      <c r="O23" s="12">
        <v>0</v>
      </c>
      <c r="P23" s="12">
        <v>1</v>
      </c>
      <c r="Q23" s="12">
        <v>1</v>
      </c>
      <c r="R23" s="12">
        <v>10.34</v>
      </c>
      <c r="S23" s="12">
        <v>0</v>
      </c>
      <c r="T23" s="12">
        <v>0</v>
      </c>
      <c r="U23" s="12">
        <v>0</v>
      </c>
      <c r="V23" s="12">
        <v>11.78</v>
      </c>
      <c r="W23" s="12">
        <v>3</v>
      </c>
      <c r="X23" s="12">
        <v>32.479999999999997</v>
      </c>
      <c r="Y23" s="12">
        <v>25.13</v>
      </c>
      <c r="Z23" s="12">
        <v>1.1000000000000001</v>
      </c>
      <c r="AA23" s="12">
        <v>5</v>
      </c>
      <c r="AB23" s="12">
        <v>17</v>
      </c>
      <c r="AC23"/>
      <c r="AD23"/>
    </row>
    <row r="24" spans="1:78">
      <c r="A24" s="12"/>
      <c r="B24" s="12" t="s">
        <v>151</v>
      </c>
      <c r="C24" s="12">
        <v>29.56</v>
      </c>
      <c r="D24" s="12">
        <v>11.65</v>
      </c>
      <c r="E24" s="12">
        <v>0</v>
      </c>
      <c r="F24" s="12">
        <v>0</v>
      </c>
      <c r="G24" s="12">
        <v>51.18</v>
      </c>
      <c r="H24" s="12">
        <v>5.19</v>
      </c>
      <c r="I24" s="12">
        <v>1.1599999999999999</v>
      </c>
      <c r="J24" s="12">
        <v>3.15</v>
      </c>
      <c r="K24" s="12">
        <v>0</v>
      </c>
      <c r="L24" s="12">
        <v>0</v>
      </c>
      <c r="M24" s="12">
        <v>0</v>
      </c>
      <c r="N24" s="12">
        <v>0</v>
      </c>
      <c r="O24" s="12">
        <v>0</v>
      </c>
      <c r="P24" s="12">
        <v>0</v>
      </c>
      <c r="Q24" s="12">
        <v>0</v>
      </c>
      <c r="R24" s="12">
        <v>0</v>
      </c>
      <c r="S24" s="12">
        <v>0</v>
      </c>
      <c r="T24" s="12">
        <v>0</v>
      </c>
      <c r="U24" s="12">
        <v>0</v>
      </c>
      <c r="V24" s="12">
        <v>0</v>
      </c>
      <c r="W24" s="12">
        <v>0</v>
      </c>
      <c r="X24" s="12">
        <v>16.510000000000002</v>
      </c>
      <c r="Y24" s="12">
        <v>34.67</v>
      </c>
      <c r="Z24" s="12">
        <v>0</v>
      </c>
      <c r="AA24" s="12">
        <v>3</v>
      </c>
      <c r="AB24" s="12">
        <v>1.76</v>
      </c>
      <c r="AC24"/>
      <c r="AD24"/>
    </row>
    <row r="25" spans="1:78">
      <c r="A25" s="12"/>
      <c r="B25" s="12" t="s">
        <v>293</v>
      </c>
      <c r="C25" s="12">
        <v>47.38</v>
      </c>
      <c r="D25" s="12">
        <v>8.69</v>
      </c>
      <c r="E25" s="12">
        <v>0.95</v>
      </c>
      <c r="F25" s="12">
        <v>0</v>
      </c>
      <c r="G25" s="12">
        <v>0</v>
      </c>
      <c r="H25" s="12">
        <v>0</v>
      </c>
      <c r="I25" s="12">
        <v>0.18</v>
      </c>
      <c r="J25" s="12">
        <v>0</v>
      </c>
      <c r="K25" s="12">
        <v>13.3</v>
      </c>
      <c r="L25" s="12">
        <v>0</v>
      </c>
      <c r="M25" s="12">
        <v>9.65</v>
      </c>
      <c r="N25" s="12">
        <v>3.18</v>
      </c>
      <c r="O25" s="12">
        <v>6.47</v>
      </c>
      <c r="P25" s="12">
        <v>0</v>
      </c>
      <c r="Q25" s="12">
        <v>0</v>
      </c>
      <c r="R25" s="12">
        <v>7.73</v>
      </c>
      <c r="S25" s="12">
        <v>0</v>
      </c>
      <c r="T25" s="12">
        <v>0</v>
      </c>
      <c r="U25" s="12">
        <v>0</v>
      </c>
      <c r="V25" s="12">
        <v>6.27</v>
      </c>
      <c r="W25" s="12">
        <v>0</v>
      </c>
      <c r="X25" s="12">
        <v>4.17</v>
      </c>
      <c r="Y25" s="12">
        <v>7.52</v>
      </c>
      <c r="Z25" s="12">
        <v>0.11</v>
      </c>
      <c r="AA25" s="12">
        <v>5</v>
      </c>
      <c r="AB25" s="12">
        <v>0.67</v>
      </c>
      <c r="AC25"/>
      <c r="AD25"/>
    </row>
    <row r="26" spans="1:78">
      <c r="A26" s="12"/>
      <c r="B26" s="12" t="s">
        <v>433</v>
      </c>
      <c r="C26" s="12">
        <v>26.37</v>
      </c>
      <c r="D26" s="12">
        <v>4.1900000000000004</v>
      </c>
      <c r="E26" s="12">
        <v>3.19</v>
      </c>
      <c r="F26" s="12">
        <v>0</v>
      </c>
      <c r="G26" s="12">
        <v>24.97</v>
      </c>
      <c r="H26" s="12">
        <v>0.52</v>
      </c>
      <c r="I26" s="12">
        <v>1.28</v>
      </c>
      <c r="J26" s="12">
        <v>0</v>
      </c>
      <c r="K26" s="12">
        <v>0</v>
      </c>
      <c r="L26" s="12">
        <v>0</v>
      </c>
      <c r="M26" s="12">
        <v>4.34</v>
      </c>
      <c r="N26" s="12">
        <v>0</v>
      </c>
      <c r="O26" s="12">
        <v>0</v>
      </c>
      <c r="P26" s="12">
        <v>0</v>
      </c>
      <c r="Q26" s="12">
        <v>0</v>
      </c>
      <c r="R26" s="12">
        <v>0</v>
      </c>
      <c r="S26" s="12">
        <v>12.03</v>
      </c>
      <c r="T26" s="12">
        <v>0</v>
      </c>
      <c r="U26" s="12">
        <v>0</v>
      </c>
      <c r="V26" s="12">
        <v>4.82</v>
      </c>
      <c r="W26" s="12">
        <v>0</v>
      </c>
      <c r="X26" s="12">
        <v>24.88</v>
      </c>
      <c r="Y26" s="12">
        <v>19.21</v>
      </c>
      <c r="Z26" s="12">
        <v>0</v>
      </c>
      <c r="AA26" s="12">
        <v>4</v>
      </c>
      <c r="AB26" s="12">
        <v>1.44</v>
      </c>
      <c r="AC26"/>
      <c r="AD26"/>
    </row>
    <row r="27" spans="1:78">
      <c r="A27" s="12"/>
      <c r="B27" s="12" t="s">
        <v>57</v>
      </c>
      <c r="C27" s="12">
        <v>46.3</v>
      </c>
      <c r="D27" s="12">
        <v>17.59</v>
      </c>
      <c r="E27" s="12">
        <v>1.1299999999999999</v>
      </c>
      <c r="F27" s="12">
        <v>5.0199999999999996</v>
      </c>
      <c r="G27" s="12">
        <v>21.93</v>
      </c>
      <c r="H27" s="12">
        <v>0</v>
      </c>
      <c r="I27" s="12">
        <v>1.04</v>
      </c>
      <c r="J27" s="12">
        <v>0</v>
      </c>
      <c r="K27" s="12">
        <v>31.77</v>
      </c>
      <c r="L27" s="12">
        <v>20.11</v>
      </c>
      <c r="M27" s="12">
        <v>9.25</v>
      </c>
      <c r="N27" s="12">
        <v>0</v>
      </c>
      <c r="O27" s="12">
        <v>0</v>
      </c>
      <c r="P27" s="12">
        <v>0</v>
      </c>
      <c r="Q27" s="12">
        <v>0</v>
      </c>
      <c r="R27" s="12">
        <v>4.0599999999999996</v>
      </c>
      <c r="S27" s="12">
        <v>6.66</v>
      </c>
      <c r="T27" s="12">
        <v>0</v>
      </c>
      <c r="U27" s="12">
        <v>0</v>
      </c>
      <c r="V27" s="12">
        <v>23.08</v>
      </c>
      <c r="W27" s="12">
        <v>1</v>
      </c>
      <c r="X27" s="12">
        <v>26.05</v>
      </c>
      <c r="Y27" s="12">
        <v>60.87</v>
      </c>
      <c r="Z27" s="12">
        <v>0</v>
      </c>
      <c r="AA27" s="12">
        <v>1</v>
      </c>
      <c r="AB27" s="12">
        <v>3.21</v>
      </c>
      <c r="AC27"/>
      <c r="AD27"/>
    </row>
    <row r="28" spans="1:78">
      <c r="A28" s="12"/>
      <c r="B28" s="12" t="s">
        <v>56</v>
      </c>
      <c r="C28" s="12">
        <v>82.29</v>
      </c>
      <c r="D28" s="12">
        <v>47.33</v>
      </c>
      <c r="E28" s="12">
        <v>6.16</v>
      </c>
      <c r="F28" s="12">
        <v>0</v>
      </c>
      <c r="G28" s="12">
        <v>104.43</v>
      </c>
      <c r="H28" s="12">
        <v>13.8</v>
      </c>
      <c r="I28" s="12">
        <v>0</v>
      </c>
      <c r="J28" s="12">
        <v>0</v>
      </c>
      <c r="K28" s="12">
        <v>14.43</v>
      </c>
      <c r="L28" s="12">
        <v>66.78</v>
      </c>
      <c r="M28" s="12">
        <v>26.06</v>
      </c>
      <c r="N28" s="12">
        <v>0</v>
      </c>
      <c r="O28" s="12">
        <v>0</v>
      </c>
      <c r="P28" s="12">
        <v>0</v>
      </c>
      <c r="Q28" s="12">
        <v>0</v>
      </c>
      <c r="R28" s="12">
        <v>4.74</v>
      </c>
      <c r="S28" s="12">
        <v>16.829999999999998</v>
      </c>
      <c r="T28" s="12">
        <v>3.58</v>
      </c>
      <c r="U28" s="12">
        <v>28.13</v>
      </c>
      <c r="V28" s="12">
        <v>0</v>
      </c>
      <c r="W28" s="12">
        <v>0</v>
      </c>
      <c r="X28" s="12">
        <v>63.69</v>
      </c>
      <c r="Y28" s="12">
        <v>17.66</v>
      </c>
      <c r="Z28" s="12">
        <v>0</v>
      </c>
      <c r="AA28" s="12">
        <v>0</v>
      </c>
      <c r="AB28" s="12">
        <v>2.96</v>
      </c>
      <c r="AC28"/>
      <c r="AD28"/>
    </row>
    <row r="29" spans="1:78">
      <c r="A29" s="12"/>
      <c r="B29" s="12" t="s">
        <v>60</v>
      </c>
      <c r="C29" s="12">
        <v>102.32</v>
      </c>
      <c r="D29" s="12">
        <v>31.99</v>
      </c>
      <c r="E29" s="12">
        <v>0</v>
      </c>
      <c r="F29" s="12">
        <v>0</v>
      </c>
      <c r="G29" s="12">
        <v>0</v>
      </c>
      <c r="H29" s="12">
        <v>2.0299999999999998</v>
      </c>
      <c r="I29" s="12">
        <v>1.85</v>
      </c>
      <c r="J29" s="12">
        <v>0</v>
      </c>
      <c r="K29" s="12">
        <v>26.11</v>
      </c>
      <c r="L29" s="12">
        <v>14.14</v>
      </c>
      <c r="M29" s="12">
        <v>0</v>
      </c>
      <c r="N29" s="12">
        <v>0</v>
      </c>
      <c r="O29" s="12">
        <v>0</v>
      </c>
      <c r="P29" s="12">
        <v>0</v>
      </c>
      <c r="Q29" s="12">
        <v>0</v>
      </c>
      <c r="R29" s="12">
        <v>15.17</v>
      </c>
      <c r="S29" s="12">
        <v>12.07</v>
      </c>
      <c r="T29" s="12">
        <v>12.03</v>
      </c>
      <c r="U29" s="12">
        <v>12.03</v>
      </c>
      <c r="V29" s="12">
        <v>0</v>
      </c>
      <c r="W29" s="12">
        <v>0</v>
      </c>
      <c r="X29" s="12">
        <v>18.54</v>
      </c>
      <c r="Y29" s="12">
        <v>94.74</v>
      </c>
      <c r="Z29" s="12">
        <v>0</v>
      </c>
      <c r="AA29" s="12">
        <v>3</v>
      </c>
      <c r="AB29" s="12">
        <v>0</v>
      </c>
      <c r="AC29"/>
      <c r="AD29"/>
    </row>
    <row r="30" spans="1:78">
      <c r="A30" s="954"/>
      <c r="B30" s="954"/>
      <c r="C30" s="954"/>
      <c r="D30" s="954"/>
      <c r="E30" s="954"/>
      <c r="F30" s="954"/>
      <c r="G30" s="954"/>
      <c r="H30" s="954"/>
      <c r="I30" s="954"/>
      <c r="J30" s="954"/>
      <c r="K30" s="954"/>
      <c r="L30" s="954"/>
      <c r="M30" s="954"/>
      <c r="N30" s="954"/>
      <c r="O30" s="954"/>
      <c r="P30" s="954"/>
      <c r="Q30" s="954"/>
      <c r="R30" s="954"/>
      <c r="S30" s="954"/>
      <c r="T30" s="954"/>
      <c r="U30" s="954"/>
      <c r="V30" s="954"/>
      <c r="W30" s="954"/>
      <c r="X30" s="954"/>
      <c r="Y30" s="954"/>
      <c r="Z30" s="954"/>
      <c r="AA30" s="954"/>
      <c r="AB30" s="954"/>
      <c r="AC30" s="12" t="s">
        <v>149</v>
      </c>
      <c r="AD30" s="12">
        <v>10.44</v>
      </c>
      <c r="AE30" s="12">
        <v>0</v>
      </c>
      <c r="AF30" s="12">
        <v>0</v>
      </c>
      <c r="AG30" s="12">
        <v>0</v>
      </c>
      <c r="AH30" s="12">
        <v>0</v>
      </c>
      <c r="AI30" s="12">
        <v>0</v>
      </c>
      <c r="AJ30" s="12">
        <v>0</v>
      </c>
      <c r="AK30" s="12">
        <v>0</v>
      </c>
      <c r="AL30" s="12">
        <v>0</v>
      </c>
      <c r="AM30" s="12">
        <v>0</v>
      </c>
      <c r="AN30" s="12">
        <v>0</v>
      </c>
      <c r="AO30" s="12">
        <v>0</v>
      </c>
      <c r="AP30" s="12">
        <v>0</v>
      </c>
      <c r="AQ30" s="12">
        <v>0</v>
      </c>
      <c r="AR30" s="12">
        <v>0</v>
      </c>
      <c r="AS30" s="12">
        <v>0</v>
      </c>
      <c r="AT30" s="12">
        <v>0</v>
      </c>
      <c r="AU30" s="12">
        <v>0</v>
      </c>
      <c r="AV30" s="12">
        <v>0</v>
      </c>
      <c r="AW30" s="12">
        <v>0</v>
      </c>
      <c r="AX30" s="12">
        <v>0</v>
      </c>
      <c r="AY30" s="12">
        <v>0</v>
      </c>
      <c r="AZ30" s="12">
        <v>0</v>
      </c>
      <c r="BA30" s="12">
        <v>0</v>
      </c>
      <c r="BB30" s="12">
        <v>0</v>
      </c>
      <c r="BC30" s="12">
        <v>0</v>
      </c>
      <c r="BD30" s="12"/>
    </row>
    <row r="31" spans="1:78">
      <c r="A31" t="s">
        <v>309</v>
      </c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BE31" s="12">
        <v>0</v>
      </c>
      <c r="BF31" s="12">
        <v>0</v>
      </c>
      <c r="BG31" s="12">
        <v>0</v>
      </c>
      <c r="BH31" s="12">
        <v>0</v>
      </c>
      <c r="BI31" s="12">
        <v>0</v>
      </c>
      <c r="BJ31" s="12">
        <v>0</v>
      </c>
      <c r="BK31" s="12">
        <v>0</v>
      </c>
      <c r="BL31" s="12">
        <v>0</v>
      </c>
      <c r="BM31" s="12">
        <v>0</v>
      </c>
      <c r="BN31" s="12">
        <v>0</v>
      </c>
      <c r="BO31" s="12">
        <v>0</v>
      </c>
      <c r="BP31" s="12">
        <v>0</v>
      </c>
      <c r="BQ31" s="12">
        <v>0</v>
      </c>
      <c r="BR31" s="12">
        <v>0</v>
      </c>
      <c r="BS31" s="12">
        <v>0</v>
      </c>
      <c r="BT31" s="12">
        <v>0</v>
      </c>
      <c r="BU31" s="12">
        <v>0</v>
      </c>
      <c r="BV31" s="12">
        <v>0</v>
      </c>
      <c r="BW31" s="12">
        <v>0</v>
      </c>
      <c r="BX31" s="12">
        <v>0</v>
      </c>
      <c r="BY31" s="12">
        <v>0</v>
      </c>
      <c r="BZ31" s="12"/>
    </row>
    <row r="32" spans="1:78">
      <c r="A32" s="952"/>
      <c r="B32" s="952"/>
      <c r="C32" s="952"/>
      <c r="D32" s="952"/>
      <c r="E32" s="952"/>
      <c r="F32" s="952"/>
      <c r="G32" s="952"/>
      <c r="H32" s="952"/>
      <c r="I32" s="952"/>
      <c r="J32" s="952"/>
      <c r="K32" s="952"/>
      <c r="L32" s="952"/>
      <c r="M32" s="952"/>
      <c r="N32" s="952"/>
      <c r="O32" s="952"/>
      <c r="P32" s="952"/>
      <c r="Q32" s="952"/>
      <c r="R32" s="952"/>
      <c r="S32" s="952"/>
      <c r="T32" s="952"/>
      <c r="U32" s="952"/>
      <c r="V32" s="952"/>
      <c r="W32" s="952"/>
      <c r="X32" s="952"/>
      <c r="Y32" s="952"/>
      <c r="Z32" s="952"/>
      <c r="AA32" s="952"/>
      <c r="AB32" s="952"/>
      <c r="AC32" s="952"/>
      <c r="AD32" s="952"/>
      <c r="AE32" s="952"/>
      <c r="AF32" s="952"/>
      <c r="AG32" s="952"/>
      <c r="AH32" s="952"/>
      <c r="AI32" s="952"/>
      <c r="AJ32" s="952"/>
      <c r="AK32" s="952"/>
      <c r="AL32" s="952"/>
      <c r="AM32" s="952"/>
      <c r="AN32" s="12" t="s">
        <v>149</v>
      </c>
      <c r="AO32" s="12">
        <v>0</v>
      </c>
      <c r="AP32" s="12">
        <v>5.74</v>
      </c>
      <c r="AQ32" s="12">
        <v>0.91</v>
      </c>
      <c r="AR32" s="12">
        <v>0.2</v>
      </c>
      <c r="AS32" s="12">
        <v>0</v>
      </c>
      <c r="AT32" s="12">
        <v>0</v>
      </c>
      <c r="AU32" s="12">
        <v>0</v>
      </c>
      <c r="AV32" s="12">
        <v>0</v>
      </c>
      <c r="AW32" s="12">
        <v>61.13</v>
      </c>
      <c r="AX32" s="12">
        <v>0</v>
      </c>
      <c r="AY32" s="12">
        <v>12.54</v>
      </c>
      <c r="AZ32" s="12">
        <v>0</v>
      </c>
      <c r="BA32" s="12">
        <v>0</v>
      </c>
      <c r="BB32" s="12">
        <v>5.41</v>
      </c>
      <c r="BC32" s="12">
        <v>0</v>
      </c>
      <c r="BD32" s="12">
        <v>0</v>
      </c>
      <c r="BE32" s="12">
        <v>0</v>
      </c>
      <c r="BF32" s="12">
        <v>0</v>
      </c>
      <c r="BG32" s="12">
        <v>0</v>
      </c>
      <c r="BH32" s="12">
        <v>0</v>
      </c>
      <c r="BI32" s="12">
        <v>0</v>
      </c>
      <c r="BJ32" s="12">
        <v>0</v>
      </c>
      <c r="BK32" s="12">
        <v>0</v>
      </c>
      <c r="BL32" s="12">
        <v>0</v>
      </c>
      <c r="BM32" s="12">
        <v>0</v>
      </c>
      <c r="BN32" s="12">
        <v>0</v>
      </c>
      <c r="BO32" s="12">
        <v>0</v>
      </c>
      <c r="BP32" s="12">
        <v>0</v>
      </c>
      <c r="BQ32" s="12">
        <v>0</v>
      </c>
      <c r="BR32" s="12">
        <v>0</v>
      </c>
      <c r="BS32" s="12">
        <v>0</v>
      </c>
      <c r="BT32" s="12">
        <v>0</v>
      </c>
      <c r="BU32" s="12">
        <v>0</v>
      </c>
      <c r="BV32" s="12">
        <v>0</v>
      </c>
      <c r="BW32" s="12">
        <v>0</v>
      </c>
      <c r="BX32" s="12">
        <v>0</v>
      </c>
      <c r="BY32" s="12">
        <v>0</v>
      </c>
      <c r="BZ32" s="12"/>
    </row>
    <row r="33" spans="1:70">
      <c r="A33" t="s">
        <v>309</v>
      </c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</row>
    <row r="34" spans="1:70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1:70">
      <c r="A35" s="953"/>
      <c r="B35" s="953"/>
      <c r="C35" s="953"/>
      <c r="D35" s="953"/>
      <c r="E35" s="953"/>
      <c r="F35" s="953"/>
      <c r="G35" s="953"/>
      <c r="H35" s="953"/>
      <c r="I35" s="953"/>
      <c r="J35" s="953"/>
      <c r="K35" s="953"/>
      <c r="L35" s="953"/>
      <c r="M35" s="953"/>
      <c r="N35" s="953"/>
      <c r="O35" s="953"/>
      <c r="P35" s="953"/>
      <c r="Q35" s="953"/>
      <c r="R35" s="953"/>
      <c r="S35" s="953"/>
      <c r="T35" s="953"/>
      <c r="U35" s="953"/>
      <c r="V35" s="953"/>
      <c r="W35" s="953"/>
      <c r="X35" s="953"/>
      <c r="Y35" s="953"/>
      <c r="Z35" s="953"/>
      <c r="AA35" s="953"/>
      <c r="AB35" s="953"/>
      <c r="AC35" s="953"/>
      <c r="AD35" s="953"/>
      <c r="AE35" s="953"/>
      <c r="AF35" s="953"/>
      <c r="AG35" s="953"/>
      <c r="AH35" s="953"/>
      <c r="AI35" s="953"/>
      <c r="AJ35" s="12" t="s">
        <v>430</v>
      </c>
      <c r="AK35" s="12">
        <v>0</v>
      </c>
      <c r="AL35" s="12">
        <v>0.2</v>
      </c>
      <c r="AM35" s="12">
        <v>0</v>
      </c>
      <c r="AN35" s="12">
        <v>0</v>
      </c>
      <c r="AO35" s="12">
        <v>0</v>
      </c>
      <c r="AP35" s="12">
        <v>0</v>
      </c>
      <c r="AQ35" s="12">
        <v>0</v>
      </c>
      <c r="AR35" s="12">
        <v>0</v>
      </c>
      <c r="AS35" s="12">
        <v>0</v>
      </c>
      <c r="AT35" s="12">
        <v>0</v>
      </c>
      <c r="AU35" s="12">
        <v>0</v>
      </c>
      <c r="AV35" s="12">
        <v>0</v>
      </c>
      <c r="AW35" s="12">
        <v>0</v>
      </c>
      <c r="AX35" s="12">
        <v>0</v>
      </c>
      <c r="AY35" s="12">
        <v>0</v>
      </c>
      <c r="AZ35" s="12">
        <v>0</v>
      </c>
      <c r="BA35" s="12">
        <v>0</v>
      </c>
      <c r="BB35" s="12">
        <v>0</v>
      </c>
      <c r="BC35" s="12">
        <v>0</v>
      </c>
      <c r="BD35" s="12">
        <v>0</v>
      </c>
      <c r="BE35" s="12">
        <v>0</v>
      </c>
      <c r="BF35" s="12">
        <v>0</v>
      </c>
      <c r="BG35" s="12">
        <v>0</v>
      </c>
      <c r="BH35" s="12">
        <v>0</v>
      </c>
      <c r="BI35" s="12">
        <v>0</v>
      </c>
      <c r="BJ35" s="12">
        <v>0</v>
      </c>
      <c r="BK35" s="12">
        <v>0</v>
      </c>
      <c r="BL35" s="12">
        <v>0</v>
      </c>
      <c r="BM35" s="12">
        <v>0</v>
      </c>
      <c r="BN35" s="12">
        <v>0</v>
      </c>
      <c r="BO35" s="12">
        <v>0</v>
      </c>
      <c r="BP35" s="12">
        <v>0</v>
      </c>
      <c r="BQ35" s="12">
        <v>0</v>
      </c>
      <c r="BR35" s="12"/>
    </row>
    <row r="36" spans="1:70">
      <c r="B36" s="52" t="s">
        <v>68</v>
      </c>
      <c r="C36" s="52" t="s">
        <v>176</v>
      </c>
      <c r="D36" s="52" t="s">
        <v>508</v>
      </c>
      <c r="E36" s="52" t="s">
        <v>501</v>
      </c>
      <c r="F36" s="52" t="s">
        <v>502</v>
      </c>
      <c r="G36" s="52" t="s">
        <v>510</v>
      </c>
      <c r="H36" s="52" t="s">
        <v>511</v>
      </c>
      <c r="I36" s="52" t="s">
        <v>114</v>
      </c>
      <c r="J36" s="52" t="s">
        <v>512</v>
      </c>
      <c r="K36" s="52" t="s">
        <v>513</v>
      </c>
      <c r="L36" s="52" t="s">
        <v>505</v>
      </c>
      <c r="M36" s="52" t="s">
        <v>514</v>
      </c>
      <c r="N36" s="52" t="s">
        <v>506</v>
      </c>
      <c r="O36" s="679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</row>
    <row r="37" spans="1:70">
      <c r="B37" s="12"/>
      <c r="C37" s="52" t="s">
        <v>24</v>
      </c>
      <c r="D37" s="52" t="s">
        <v>24</v>
      </c>
      <c r="E37" s="52" t="s">
        <v>19</v>
      </c>
      <c r="F37" s="52" t="s">
        <v>19</v>
      </c>
      <c r="G37" s="52" t="s">
        <v>24</v>
      </c>
      <c r="H37" s="52" t="s">
        <v>24</v>
      </c>
      <c r="I37" s="52" t="s">
        <v>19</v>
      </c>
      <c r="J37" s="52" t="s">
        <v>24</v>
      </c>
      <c r="K37" s="52" t="s">
        <v>24</v>
      </c>
      <c r="L37" s="52" t="s">
        <v>19</v>
      </c>
      <c r="M37" s="52" t="s">
        <v>24</v>
      </c>
      <c r="N37" s="52" t="s">
        <v>19</v>
      </c>
      <c r="O37" s="12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</row>
    <row r="38" spans="1:70">
      <c r="B38" s="12" t="s">
        <v>20</v>
      </c>
      <c r="C38" s="12">
        <v>9.86</v>
      </c>
      <c r="D38" s="12">
        <v>102.69</v>
      </c>
      <c r="E38" s="12">
        <v>1</v>
      </c>
      <c r="F38" s="12">
        <v>6</v>
      </c>
      <c r="G38" s="12">
        <v>49.7</v>
      </c>
      <c r="H38" s="12">
        <v>32.450000000000003</v>
      </c>
      <c r="I38" s="12">
        <v>1</v>
      </c>
      <c r="J38" s="12">
        <v>2.89</v>
      </c>
      <c r="K38" s="12">
        <v>0.99</v>
      </c>
      <c r="L38" s="12">
        <v>93</v>
      </c>
      <c r="M38" s="12">
        <v>60.39</v>
      </c>
      <c r="N38" s="12">
        <v>2</v>
      </c>
      <c r="O38" s="12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</row>
    <row r="39" spans="1:70">
      <c r="B39" s="12" t="s">
        <v>148</v>
      </c>
      <c r="C39" s="12">
        <v>9.86</v>
      </c>
      <c r="D39" s="12">
        <v>102.69</v>
      </c>
      <c r="E39" s="12">
        <v>1</v>
      </c>
      <c r="F39" s="12">
        <v>6</v>
      </c>
      <c r="G39" s="12">
        <v>49.7</v>
      </c>
      <c r="H39" s="12">
        <v>32.450000000000003</v>
      </c>
      <c r="I39" s="12">
        <v>1</v>
      </c>
      <c r="J39" s="12">
        <v>2.89</v>
      </c>
      <c r="K39" s="12">
        <v>0.99</v>
      </c>
      <c r="L39" s="12">
        <v>93</v>
      </c>
      <c r="M39" s="12">
        <v>60.39</v>
      </c>
      <c r="N39" s="12">
        <v>2</v>
      </c>
      <c r="O39" s="12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</row>
    <row r="40" spans="1:70">
      <c r="A40" s="12"/>
      <c r="B40" s="12" t="s">
        <v>281</v>
      </c>
      <c r="C40" s="12">
        <v>8.15</v>
      </c>
      <c r="D40" s="12">
        <v>0</v>
      </c>
      <c r="E40" s="12">
        <v>0</v>
      </c>
      <c r="F40" s="12">
        <v>1</v>
      </c>
      <c r="G40" s="12">
        <v>39.81</v>
      </c>
      <c r="H40" s="12">
        <v>0</v>
      </c>
      <c r="I40" s="12">
        <v>0</v>
      </c>
      <c r="J40" s="12">
        <v>0.54</v>
      </c>
      <c r="K40" s="12">
        <v>0</v>
      </c>
      <c r="L40" s="12">
        <v>19</v>
      </c>
      <c r="M40" s="12">
        <v>11</v>
      </c>
      <c r="N40" s="12">
        <v>1</v>
      </c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</row>
    <row r="41" spans="1:70">
      <c r="A41" s="12"/>
      <c r="B41" s="12" t="s">
        <v>282</v>
      </c>
      <c r="C41" s="12">
        <v>1.71</v>
      </c>
      <c r="D41" s="12">
        <v>42.49</v>
      </c>
      <c r="E41" s="12">
        <v>0</v>
      </c>
      <c r="F41" s="12">
        <v>1</v>
      </c>
      <c r="G41" s="12">
        <v>9.9</v>
      </c>
      <c r="H41" s="12">
        <v>0</v>
      </c>
      <c r="I41" s="12">
        <v>1</v>
      </c>
      <c r="J41" s="12">
        <v>2.35</v>
      </c>
      <c r="K41" s="12">
        <v>0.99</v>
      </c>
      <c r="L41" s="12">
        <v>27</v>
      </c>
      <c r="M41" s="12">
        <v>28.94</v>
      </c>
      <c r="N41" s="12">
        <v>1</v>
      </c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</row>
    <row r="42" spans="1:70">
      <c r="A42" s="12"/>
      <c r="B42" s="12" t="s">
        <v>283</v>
      </c>
      <c r="C42" s="12">
        <v>0</v>
      </c>
      <c r="D42" s="12">
        <v>8.1999999999999993</v>
      </c>
      <c r="E42" s="12">
        <v>1</v>
      </c>
      <c r="F42" s="12">
        <v>1</v>
      </c>
      <c r="G42" s="12">
        <v>0</v>
      </c>
      <c r="H42" s="12">
        <v>5.73</v>
      </c>
      <c r="I42" s="12">
        <v>0</v>
      </c>
      <c r="J42" s="12">
        <v>0</v>
      </c>
      <c r="K42" s="12">
        <v>0</v>
      </c>
      <c r="L42" s="12">
        <v>18</v>
      </c>
      <c r="M42" s="12">
        <v>1.73</v>
      </c>
      <c r="N42" s="12">
        <v>0</v>
      </c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K42" s="12">
        <v>0</v>
      </c>
      <c r="AL42" s="12">
        <v>3</v>
      </c>
      <c r="AM42" s="12">
        <v>0</v>
      </c>
      <c r="AN42" s="12">
        <v>0</v>
      </c>
      <c r="AO42" s="12">
        <v>3.18</v>
      </c>
      <c r="AP42" s="12"/>
    </row>
    <row r="43" spans="1:70">
      <c r="A43" s="12"/>
      <c r="B43" s="12" t="s">
        <v>284</v>
      </c>
      <c r="C43" s="12">
        <v>0</v>
      </c>
      <c r="D43" s="12">
        <v>52</v>
      </c>
      <c r="E43" s="12">
        <v>0</v>
      </c>
      <c r="F43" s="12">
        <v>3</v>
      </c>
      <c r="G43" s="12">
        <v>0</v>
      </c>
      <c r="H43" s="12">
        <v>26.72</v>
      </c>
      <c r="I43" s="12">
        <v>0</v>
      </c>
      <c r="J43" s="12">
        <v>0</v>
      </c>
      <c r="K43" s="12">
        <v>0</v>
      </c>
      <c r="L43" s="12">
        <v>29</v>
      </c>
      <c r="M43" s="12">
        <v>18.71</v>
      </c>
      <c r="N43" s="12">
        <v>0</v>
      </c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</row>
    <row r="44" spans="1:70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/>
      <c r="S44"/>
      <c r="T44"/>
      <c r="U44"/>
      <c r="V44"/>
      <c r="W44"/>
      <c r="X44"/>
      <c r="Y44"/>
      <c r="Z44"/>
      <c r="AA44"/>
      <c r="AB44"/>
      <c r="AC44"/>
      <c r="AD44"/>
    </row>
    <row r="45" spans="1:70"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</row>
    <row r="46" spans="1:70"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</row>
    <row r="47" spans="1:70" ht="17">
      <c r="A47" s="23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</row>
    <row r="48" spans="1:70">
      <c r="B48" s="52" t="s">
        <v>68</v>
      </c>
      <c r="C48" s="52" t="s">
        <v>176</v>
      </c>
      <c r="D48" s="52" t="s">
        <v>508</v>
      </c>
      <c r="E48" s="52" t="s">
        <v>501</v>
      </c>
      <c r="F48" s="52" t="s">
        <v>502</v>
      </c>
      <c r="G48" s="52" t="s">
        <v>510</v>
      </c>
      <c r="H48" s="52" t="s">
        <v>511</v>
      </c>
      <c r="I48" s="52" t="s">
        <v>114</v>
      </c>
      <c r="J48" s="52" t="s">
        <v>512</v>
      </c>
      <c r="K48" s="52" t="s">
        <v>513</v>
      </c>
      <c r="L48" s="52" t="s">
        <v>505</v>
      </c>
      <c r="M48" s="52" t="s">
        <v>514</v>
      </c>
      <c r="N48" s="52" t="s">
        <v>506</v>
      </c>
      <c r="O48" s="679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</row>
    <row r="49" spans="1:42">
      <c r="B49" s="12"/>
      <c r="C49" s="52" t="s">
        <v>24</v>
      </c>
      <c r="D49" s="52" t="s">
        <v>24</v>
      </c>
      <c r="E49" s="52" t="s">
        <v>19</v>
      </c>
      <c r="F49" s="52" t="s">
        <v>19</v>
      </c>
      <c r="G49" s="52" t="s">
        <v>24</v>
      </c>
      <c r="H49" s="52" t="s">
        <v>24</v>
      </c>
      <c r="I49" s="52" t="s">
        <v>19</v>
      </c>
      <c r="J49" s="52" t="s">
        <v>24</v>
      </c>
      <c r="K49" s="52" t="s">
        <v>24</v>
      </c>
      <c r="L49" s="52" t="s">
        <v>19</v>
      </c>
      <c r="M49" s="52" t="s">
        <v>24</v>
      </c>
      <c r="N49" s="52" t="s">
        <v>19</v>
      </c>
      <c r="O49" s="12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</row>
    <row r="50" spans="1:42">
      <c r="B50" s="12" t="s">
        <v>20</v>
      </c>
      <c r="C50" s="12">
        <v>9.86</v>
      </c>
      <c r="D50" s="12">
        <v>102.69</v>
      </c>
      <c r="E50" s="12">
        <v>1</v>
      </c>
      <c r="F50" s="12">
        <v>6</v>
      </c>
      <c r="G50" s="12">
        <v>49.7</v>
      </c>
      <c r="H50" s="12">
        <v>32.450000000000003</v>
      </c>
      <c r="I50" s="12">
        <v>1</v>
      </c>
      <c r="J50" s="12">
        <v>2.89</v>
      </c>
      <c r="K50" s="12">
        <v>0.99</v>
      </c>
      <c r="L50" s="12">
        <v>93</v>
      </c>
      <c r="M50" s="12">
        <v>60.39</v>
      </c>
      <c r="N50" s="12">
        <v>2</v>
      </c>
      <c r="O50" s="12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</row>
    <row r="51" spans="1:42">
      <c r="B51" s="12" t="s">
        <v>148</v>
      </c>
      <c r="C51" s="12">
        <v>9.86</v>
      </c>
      <c r="D51" s="12">
        <v>102.69</v>
      </c>
      <c r="E51" s="12">
        <v>1</v>
      </c>
      <c r="F51" s="12">
        <v>6</v>
      </c>
      <c r="G51" s="12">
        <v>49.7</v>
      </c>
      <c r="H51" s="12">
        <v>32.450000000000003</v>
      </c>
      <c r="I51" s="12">
        <v>1</v>
      </c>
      <c r="J51" s="12">
        <v>2.89</v>
      </c>
      <c r="K51" s="12">
        <v>0.99</v>
      </c>
      <c r="L51" s="12">
        <v>93</v>
      </c>
      <c r="M51" s="12">
        <v>60.39</v>
      </c>
      <c r="N51" s="12">
        <v>2</v>
      </c>
      <c r="O51" s="12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</row>
    <row r="52" spans="1:42">
      <c r="A52" s="12"/>
      <c r="B52" s="12" t="s">
        <v>281</v>
      </c>
      <c r="C52" s="12">
        <v>8.15</v>
      </c>
      <c r="D52" s="12">
        <v>0</v>
      </c>
      <c r="E52" s="12">
        <v>0</v>
      </c>
      <c r="F52" s="12">
        <v>1</v>
      </c>
      <c r="G52" s="12">
        <v>39.81</v>
      </c>
      <c r="H52" s="12">
        <v>0</v>
      </c>
      <c r="I52" s="12">
        <v>0</v>
      </c>
      <c r="J52" s="12">
        <v>0.54</v>
      </c>
      <c r="K52" s="12">
        <v>0</v>
      </c>
      <c r="L52" s="12">
        <v>19</v>
      </c>
      <c r="M52" s="12">
        <v>11</v>
      </c>
      <c r="N52" s="12">
        <v>1</v>
      </c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</row>
    <row r="53" spans="1:42">
      <c r="A53" s="12"/>
      <c r="B53" s="12" t="s">
        <v>282</v>
      </c>
      <c r="C53" s="12">
        <v>1.71</v>
      </c>
      <c r="D53" s="12">
        <v>42.49</v>
      </c>
      <c r="E53" s="12">
        <v>0</v>
      </c>
      <c r="F53" s="12">
        <v>1</v>
      </c>
      <c r="G53" s="12">
        <v>9.9</v>
      </c>
      <c r="H53" s="12">
        <v>0</v>
      </c>
      <c r="I53" s="12">
        <v>1</v>
      </c>
      <c r="J53" s="12">
        <v>2.35</v>
      </c>
      <c r="K53" s="12">
        <v>0.99</v>
      </c>
      <c r="L53" s="12">
        <v>27</v>
      </c>
      <c r="M53" s="12">
        <v>28.94</v>
      </c>
      <c r="N53" s="12">
        <v>1</v>
      </c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</row>
    <row r="54" spans="1:42">
      <c r="A54" s="12"/>
      <c r="B54" s="12" t="s">
        <v>283</v>
      </c>
      <c r="C54" s="12">
        <v>0</v>
      </c>
      <c r="D54" s="12">
        <v>8.1999999999999993</v>
      </c>
      <c r="E54" s="12">
        <v>1</v>
      </c>
      <c r="F54" s="12">
        <v>1</v>
      </c>
      <c r="G54" s="12">
        <v>0</v>
      </c>
      <c r="H54" s="12">
        <v>5.73</v>
      </c>
      <c r="I54" s="12">
        <v>0</v>
      </c>
      <c r="J54" s="12">
        <v>0</v>
      </c>
      <c r="K54" s="12">
        <v>0</v>
      </c>
      <c r="L54" s="12">
        <v>18</v>
      </c>
      <c r="M54" s="12">
        <v>1.73</v>
      </c>
      <c r="N54" s="12">
        <v>0</v>
      </c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K54" s="12">
        <v>0</v>
      </c>
      <c r="AL54" s="12">
        <v>3</v>
      </c>
      <c r="AM54" s="12">
        <v>0</v>
      </c>
      <c r="AN54" s="12">
        <v>0</v>
      </c>
      <c r="AO54" s="12">
        <v>3.18</v>
      </c>
      <c r="AP54" s="12"/>
    </row>
    <row r="55" spans="1:42">
      <c r="A55" s="12"/>
      <c r="B55" s="12" t="s">
        <v>284</v>
      </c>
      <c r="C55" s="12">
        <v>0</v>
      </c>
      <c r="D55" s="12">
        <v>52</v>
      </c>
      <c r="E55" s="12">
        <v>0</v>
      </c>
      <c r="F55" s="12">
        <v>3</v>
      </c>
      <c r="G55" s="12">
        <v>0</v>
      </c>
      <c r="H55" s="12">
        <v>26.72</v>
      </c>
      <c r="I55" s="12">
        <v>0</v>
      </c>
      <c r="J55" s="12">
        <v>0</v>
      </c>
      <c r="K55" s="12">
        <v>0</v>
      </c>
      <c r="L55" s="12">
        <v>29</v>
      </c>
      <c r="M55" s="12">
        <v>18.71</v>
      </c>
      <c r="N55" s="12">
        <v>0</v>
      </c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</row>
    <row r="56" spans="1:42">
      <c r="A56" t="s">
        <v>309</v>
      </c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12">
        <v>7</v>
      </c>
      <c r="AD56" s="12">
        <v>0</v>
      </c>
      <c r="AE56" s="12">
        <v>34.57</v>
      </c>
      <c r="AF56" s="12">
        <v>18.97</v>
      </c>
      <c r="AG56" s="12">
        <v>0</v>
      </c>
      <c r="AH56" s="12">
        <v>0</v>
      </c>
      <c r="AI56" s="12">
        <v>3</v>
      </c>
      <c r="AJ56" s="12"/>
    </row>
    <row r="57" spans="1:42">
      <c r="A57" t="s">
        <v>309</v>
      </c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</row>
  </sheetData>
  <customSheetViews>
    <customSheetView guid="{FEB50EEF-352C-B844-A6F4-33499875B85A}" topLeftCell="A17">
      <selection activeCell="B49" sqref="B49"/>
      <pageMargins left="0.7" right="0.7" top="0.75" bottom="0.75" header="0.3" footer="0.3"/>
    </customSheetView>
  </customSheetViews>
  <mergeCells count="4">
    <mergeCell ref="A32:AM32"/>
    <mergeCell ref="A35:AI35"/>
    <mergeCell ref="A17:AI17"/>
    <mergeCell ref="A30:AB30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46943-C778-B74A-B9BB-AE1E03B623AB}">
  <sheetPr codeName="Sheet19"/>
  <dimension ref="A1:BN40"/>
  <sheetViews>
    <sheetView workbookViewId="0">
      <selection activeCell="A15" sqref="A15:XFD23"/>
    </sheetView>
  </sheetViews>
  <sheetFormatPr baseColWidth="10" defaultRowHeight="16"/>
  <cols>
    <col min="2" max="2" width="32.33203125" bestFit="1" customWidth="1"/>
    <col min="3" max="3" width="32.83203125" bestFit="1" customWidth="1"/>
    <col min="4" max="4" width="8.1640625" bestFit="1" customWidth="1"/>
    <col min="5" max="5" width="4.6640625" bestFit="1" customWidth="1"/>
    <col min="6" max="6" width="7.1640625" bestFit="1" customWidth="1"/>
    <col min="7" max="7" width="3.5" bestFit="1" customWidth="1"/>
    <col min="8" max="8" width="9.5" bestFit="1" customWidth="1"/>
    <col min="9" max="9" width="2.33203125" bestFit="1" customWidth="1"/>
    <col min="10" max="10" width="7.1640625" bestFit="1" customWidth="1"/>
    <col min="11" max="13" width="3.5" bestFit="1" customWidth="1"/>
    <col min="14" max="14" width="8.33203125" bestFit="1" customWidth="1"/>
    <col min="15" max="15" width="2.33203125" bestFit="1" customWidth="1"/>
    <col min="16" max="16" width="8.33203125" bestFit="1" customWidth="1"/>
    <col min="17" max="18" width="3.5" bestFit="1" customWidth="1"/>
    <col min="19" max="19" width="46.33203125" bestFit="1" customWidth="1"/>
    <col min="20" max="20" width="11.33203125" bestFit="1" customWidth="1"/>
    <col min="21" max="21" width="9.5" bestFit="1" customWidth="1"/>
    <col min="22" max="22" width="23.6640625" bestFit="1" customWidth="1"/>
    <col min="23" max="23" width="23" bestFit="1" customWidth="1"/>
    <col min="24" max="24" width="20" bestFit="1" customWidth="1"/>
    <col min="25" max="25" width="16" bestFit="1" customWidth="1"/>
    <col min="26" max="26" width="17.83203125" bestFit="1" customWidth="1"/>
    <col min="27" max="27" width="14" bestFit="1" customWidth="1"/>
    <col min="28" max="28" width="21.5" bestFit="1" customWidth="1"/>
    <col min="29" max="29" width="42.5" bestFit="1" customWidth="1"/>
    <col min="30" max="30" width="19.83203125" bestFit="1" customWidth="1"/>
    <col min="31" max="31" width="15.6640625" bestFit="1" customWidth="1"/>
    <col min="32" max="32" width="18" bestFit="1" customWidth="1"/>
    <col min="33" max="33" width="13.83203125" bestFit="1" customWidth="1"/>
    <col min="34" max="34" width="19.33203125" bestFit="1" customWidth="1"/>
    <col min="35" max="35" width="55.6640625" bestFit="1" customWidth="1"/>
  </cols>
  <sheetData>
    <row r="1" spans="1:66">
      <c r="A1" s="955"/>
      <c r="B1" s="955"/>
      <c r="C1" s="955"/>
      <c r="D1" s="955"/>
      <c r="E1" s="955"/>
      <c r="F1" s="955"/>
      <c r="G1" s="955"/>
      <c r="H1" s="955"/>
      <c r="I1" s="955"/>
      <c r="J1" s="955"/>
      <c r="K1" s="955"/>
      <c r="L1" s="955"/>
      <c r="M1" s="955"/>
      <c r="N1" s="955"/>
      <c r="O1" s="955"/>
      <c r="P1" s="955"/>
      <c r="Q1" s="955"/>
      <c r="R1" s="955"/>
      <c r="S1" s="52" t="s">
        <v>68</v>
      </c>
      <c r="T1" s="52" t="s">
        <v>11</v>
      </c>
      <c r="U1" s="13" t="s">
        <v>24</v>
      </c>
      <c r="V1" s="13" t="s">
        <v>416</v>
      </c>
      <c r="W1" s="13" t="s">
        <v>417</v>
      </c>
      <c r="X1" s="13" t="s">
        <v>418</v>
      </c>
      <c r="Y1" s="13" t="s">
        <v>419</v>
      </c>
      <c r="Z1" s="13" t="s">
        <v>420</v>
      </c>
      <c r="AA1" s="13" t="s">
        <v>421</v>
      </c>
      <c r="AB1" s="13" t="s">
        <v>422</v>
      </c>
      <c r="AC1" s="13" t="s">
        <v>423</v>
      </c>
      <c r="AD1" s="13" t="s">
        <v>424</v>
      </c>
      <c r="AE1" s="13" t="s">
        <v>425</v>
      </c>
      <c r="AF1" s="13" t="s">
        <v>426</v>
      </c>
      <c r="AG1" s="13" t="s">
        <v>427</v>
      </c>
      <c r="AH1" s="13" t="s">
        <v>428</v>
      </c>
      <c r="AI1" s="13" t="s">
        <v>429</v>
      </c>
      <c r="AJ1" s="324" t="s">
        <v>247</v>
      </c>
      <c r="AK1" s="324" t="s">
        <v>254</v>
      </c>
      <c r="AL1" s="324" t="s">
        <v>248</v>
      </c>
      <c r="AM1" s="324" t="s">
        <v>251</v>
      </c>
      <c r="AN1" s="324" t="s">
        <v>250</v>
      </c>
      <c r="AO1" s="324" t="s">
        <v>243</v>
      </c>
      <c r="AP1" s="324" t="s">
        <v>255</v>
      </c>
      <c r="AQ1" s="324" t="s">
        <v>244</v>
      </c>
      <c r="AR1" s="324" t="s">
        <v>249</v>
      </c>
      <c r="AS1" s="324" t="s">
        <v>261</v>
      </c>
      <c r="AT1" s="324" t="s">
        <v>245</v>
      </c>
      <c r="AU1" s="324" t="s">
        <v>246</v>
      </c>
      <c r="AV1" s="324" t="s">
        <v>260</v>
      </c>
      <c r="AW1" s="324" t="s">
        <v>256</v>
      </c>
      <c r="AX1" s="324" t="s">
        <v>258</v>
      </c>
      <c r="AY1" s="500"/>
    </row>
    <row r="2" spans="1:66">
      <c r="A2" s="956"/>
      <c r="B2" s="956"/>
      <c r="C2" s="956"/>
      <c r="D2" s="956"/>
      <c r="E2" s="956"/>
      <c r="F2" s="956"/>
      <c r="G2" s="956"/>
      <c r="H2" s="956"/>
      <c r="I2" s="956"/>
      <c r="J2" s="956"/>
      <c r="K2" s="956"/>
      <c r="L2" s="956"/>
      <c r="M2" s="956"/>
      <c r="N2" s="956"/>
      <c r="O2" s="956"/>
      <c r="P2" s="956"/>
      <c r="Q2" s="956"/>
      <c r="R2" s="956"/>
      <c r="S2" s="12" t="s">
        <v>20</v>
      </c>
      <c r="T2" s="12"/>
      <c r="U2" s="12">
        <v>528.76</v>
      </c>
      <c r="V2" s="12">
        <v>0</v>
      </c>
      <c r="W2" s="33">
        <v>0</v>
      </c>
      <c r="X2" s="12">
        <v>38</v>
      </c>
      <c r="Y2" s="51">
        <v>0.30159999999999998</v>
      </c>
      <c r="Z2" s="12">
        <v>0</v>
      </c>
      <c r="AA2" s="33">
        <v>0</v>
      </c>
      <c r="AB2" s="12">
        <v>135</v>
      </c>
      <c r="AC2" s="12">
        <v>126</v>
      </c>
      <c r="AD2" s="12">
        <v>38</v>
      </c>
      <c r="AE2" s="51">
        <v>0.26950000000000002</v>
      </c>
      <c r="AF2" s="12">
        <v>0</v>
      </c>
      <c r="AG2" s="33">
        <v>0</v>
      </c>
      <c r="AH2" s="12">
        <v>176</v>
      </c>
      <c r="AI2" s="12">
        <v>141</v>
      </c>
      <c r="AJ2" s="13" t="s">
        <v>18</v>
      </c>
      <c r="AK2" s="13" t="s">
        <v>110</v>
      </c>
      <c r="AL2" s="13" t="s">
        <v>18</v>
      </c>
      <c r="AM2" s="13" t="s">
        <v>110</v>
      </c>
      <c r="AN2" s="13" t="s">
        <v>18</v>
      </c>
      <c r="AO2" s="13" t="s">
        <v>110</v>
      </c>
      <c r="AP2" s="13" t="s">
        <v>18</v>
      </c>
      <c r="AQ2" s="13" t="s">
        <v>110</v>
      </c>
      <c r="AR2" s="13" t="s">
        <v>18</v>
      </c>
      <c r="AS2" s="13" t="s">
        <v>110</v>
      </c>
      <c r="AT2" s="13" t="s">
        <v>18</v>
      </c>
      <c r="AU2" s="13" t="s">
        <v>110</v>
      </c>
      <c r="AV2" s="13" t="s">
        <v>18</v>
      </c>
      <c r="AW2" s="13" t="s">
        <v>110</v>
      </c>
      <c r="AX2" s="13" t="s">
        <v>18</v>
      </c>
      <c r="AY2" s="13" t="s">
        <v>110</v>
      </c>
      <c r="AZ2" s="13" t="s">
        <v>18</v>
      </c>
      <c r="BA2" s="13" t="s">
        <v>110</v>
      </c>
      <c r="BB2" s="13" t="s">
        <v>18</v>
      </c>
      <c r="BC2" s="13" t="s">
        <v>110</v>
      </c>
      <c r="BD2" s="13" t="s">
        <v>18</v>
      </c>
      <c r="BE2" s="13" t="s">
        <v>110</v>
      </c>
      <c r="BF2" s="13" t="s">
        <v>18</v>
      </c>
      <c r="BG2" s="13" t="s">
        <v>110</v>
      </c>
      <c r="BH2" s="13" t="s">
        <v>18</v>
      </c>
      <c r="BI2" s="13" t="s">
        <v>110</v>
      </c>
      <c r="BJ2" s="13" t="s">
        <v>18</v>
      </c>
      <c r="BK2" s="13" t="s">
        <v>110</v>
      </c>
      <c r="BL2" s="13" t="s">
        <v>18</v>
      </c>
      <c r="BM2" s="13" t="s">
        <v>110</v>
      </c>
      <c r="BN2" s="12"/>
    </row>
    <row r="3" spans="1:66">
      <c r="A3" s="956"/>
      <c r="B3" s="956"/>
      <c r="C3" s="956"/>
      <c r="D3" s="956"/>
      <c r="E3" s="956"/>
      <c r="F3" s="956"/>
      <c r="G3" s="956"/>
      <c r="H3" s="956"/>
      <c r="I3" s="956"/>
      <c r="J3" s="956"/>
      <c r="K3" s="956"/>
      <c r="L3" s="956"/>
      <c r="M3" s="956"/>
      <c r="N3" s="956"/>
      <c r="O3" s="956"/>
      <c r="P3" s="956"/>
      <c r="Q3" s="956"/>
      <c r="R3" s="956"/>
      <c r="S3" s="12" t="s">
        <v>500</v>
      </c>
      <c r="T3" s="12"/>
      <c r="U3" s="12">
        <v>3.15</v>
      </c>
      <c r="V3" s="12">
        <v>0</v>
      </c>
      <c r="W3" s="33">
        <v>0</v>
      </c>
      <c r="X3" s="12">
        <v>0</v>
      </c>
      <c r="Y3" s="33">
        <v>0</v>
      </c>
      <c r="Z3" s="12">
        <v>0</v>
      </c>
      <c r="AA3" s="33">
        <v>0</v>
      </c>
      <c r="AB3" s="12">
        <v>2</v>
      </c>
      <c r="AC3" s="12">
        <v>0</v>
      </c>
      <c r="AD3" s="12">
        <v>0</v>
      </c>
      <c r="AE3" s="33">
        <v>0</v>
      </c>
      <c r="AF3" s="12">
        <v>0</v>
      </c>
      <c r="AG3" s="33">
        <v>0</v>
      </c>
      <c r="AH3" s="12">
        <v>0</v>
      </c>
      <c r="AI3" s="12">
        <v>0</v>
      </c>
      <c r="AJ3" s="12">
        <v>568.45000000000005</v>
      </c>
      <c r="AK3" s="12">
        <v>51</v>
      </c>
      <c r="AL3" s="12">
        <v>25.7</v>
      </c>
      <c r="AM3" s="12">
        <v>8</v>
      </c>
      <c r="AN3" s="12">
        <v>138.33000000000001</v>
      </c>
      <c r="AO3" s="12">
        <v>141</v>
      </c>
      <c r="AP3" s="12">
        <v>72.959999999999994</v>
      </c>
      <c r="AQ3" s="12">
        <v>44</v>
      </c>
      <c r="AR3" s="12">
        <v>2.77</v>
      </c>
      <c r="AS3" s="12">
        <v>3</v>
      </c>
      <c r="AT3" s="12">
        <v>529.1</v>
      </c>
      <c r="AU3" s="12">
        <v>53</v>
      </c>
      <c r="AV3" s="12">
        <v>11.33</v>
      </c>
      <c r="AW3" s="12">
        <v>3</v>
      </c>
      <c r="AX3" s="12">
        <v>470.11</v>
      </c>
      <c r="AY3" s="12">
        <v>147</v>
      </c>
      <c r="AZ3" s="12">
        <v>10.33</v>
      </c>
      <c r="BA3" s="12">
        <v>43</v>
      </c>
      <c r="BB3" s="12">
        <v>52.45</v>
      </c>
      <c r="BC3" s="12">
        <v>7</v>
      </c>
      <c r="BD3" s="12">
        <v>132.84</v>
      </c>
      <c r="BE3" s="12">
        <v>4</v>
      </c>
      <c r="BF3" s="12">
        <v>179.69</v>
      </c>
      <c r="BG3" s="12">
        <v>15</v>
      </c>
      <c r="BH3" s="12">
        <v>12.11</v>
      </c>
      <c r="BI3" s="12">
        <v>1</v>
      </c>
      <c r="BJ3" s="12">
        <v>24.64</v>
      </c>
      <c r="BK3" s="12">
        <v>2</v>
      </c>
      <c r="BL3" s="12">
        <v>0.01</v>
      </c>
      <c r="BM3" s="12">
        <v>1</v>
      </c>
      <c r="BN3" s="12"/>
    </row>
    <row r="4" spans="1:66">
      <c r="A4" s="956"/>
      <c r="B4" s="956"/>
      <c r="C4" s="956"/>
      <c r="D4" s="956"/>
      <c r="E4" s="956"/>
      <c r="F4" s="956"/>
      <c r="G4" s="956"/>
      <c r="H4" s="956"/>
      <c r="I4" s="956"/>
      <c r="J4" s="956"/>
      <c r="K4" s="956"/>
      <c r="L4" s="956"/>
      <c r="M4" s="956"/>
      <c r="N4" s="956"/>
      <c r="O4" s="956"/>
      <c r="P4" s="956"/>
      <c r="Q4" s="956"/>
      <c r="R4" s="956"/>
      <c r="S4" s="12" t="s">
        <v>148</v>
      </c>
      <c r="T4" s="12"/>
      <c r="U4" s="12">
        <v>518.74</v>
      </c>
      <c r="V4" s="12">
        <v>0</v>
      </c>
      <c r="W4" s="33">
        <v>0</v>
      </c>
      <c r="X4" s="12">
        <v>38</v>
      </c>
      <c r="Y4" s="51">
        <v>0.30399999999999999</v>
      </c>
      <c r="Z4" s="12">
        <v>0</v>
      </c>
      <c r="AA4" s="33">
        <v>0</v>
      </c>
      <c r="AB4" s="12">
        <v>131</v>
      </c>
      <c r="AC4" s="12">
        <v>125</v>
      </c>
      <c r="AD4" s="12">
        <v>38</v>
      </c>
      <c r="AE4" s="51">
        <v>0.27139999999999997</v>
      </c>
      <c r="AF4" s="12">
        <v>0</v>
      </c>
      <c r="AG4" s="33">
        <v>0</v>
      </c>
      <c r="AH4" s="12">
        <v>175</v>
      </c>
      <c r="AI4" s="12">
        <v>140</v>
      </c>
      <c r="AJ4" s="12">
        <v>532</v>
      </c>
      <c r="AK4" s="12">
        <v>46</v>
      </c>
      <c r="AL4" s="12">
        <v>25.7</v>
      </c>
      <c r="AM4" s="12">
        <v>8</v>
      </c>
      <c r="AN4" s="12">
        <v>134.15</v>
      </c>
      <c r="AO4" s="12">
        <v>136</v>
      </c>
      <c r="AP4" s="12">
        <v>69.44</v>
      </c>
      <c r="AQ4" s="12">
        <v>40</v>
      </c>
      <c r="AR4" s="12">
        <v>2.77</v>
      </c>
      <c r="AS4" s="12">
        <v>3</v>
      </c>
      <c r="AT4" s="12">
        <v>529.1</v>
      </c>
      <c r="AU4" s="12">
        <v>53</v>
      </c>
      <c r="AV4" s="12">
        <v>11.33</v>
      </c>
      <c r="AW4" s="12">
        <v>3</v>
      </c>
      <c r="AX4" s="12">
        <v>467.04</v>
      </c>
      <c r="AY4" s="12">
        <v>122</v>
      </c>
      <c r="AZ4" s="12">
        <v>9.64</v>
      </c>
      <c r="BA4" s="12">
        <v>34</v>
      </c>
      <c r="BB4" s="12">
        <v>38.340000000000003</v>
      </c>
      <c r="BC4" s="12">
        <v>5</v>
      </c>
      <c r="BD4" s="12">
        <v>132.84</v>
      </c>
      <c r="BE4" s="12">
        <v>4</v>
      </c>
      <c r="BF4" s="12">
        <v>174.28</v>
      </c>
      <c r="BG4" s="12">
        <v>14</v>
      </c>
      <c r="BH4" s="12">
        <v>12.11</v>
      </c>
      <c r="BI4" s="12">
        <v>1</v>
      </c>
      <c r="BJ4" s="12">
        <v>24.64</v>
      </c>
      <c r="BK4" s="12">
        <v>2</v>
      </c>
      <c r="BL4" s="12">
        <v>0.01</v>
      </c>
      <c r="BM4" s="12">
        <v>1</v>
      </c>
      <c r="BN4" s="12"/>
    </row>
    <row r="5" spans="1:66">
      <c r="A5" s="12"/>
      <c r="B5" s="324" t="s">
        <v>310</v>
      </c>
      <c r="C5" s="12" t="s">
        <v>312</v>
      </c>
      <c r="D5" s="12">
        <v>80.2</v>
      </c>
      <c r="E5" s="12">
        <v>0</v>
      </c>
      <c r="F5" s="33">
        <v>0</v>
      </c>
      <c r="G5" s="12">
        <v>3</v>
      </c>
      <c r="H5" s="51">
        <v>0.25</v>
      </c>
      <c r="I5" s="12">
        <v>0</v>
      </c>
      <c r="J5" s="33">
        <v>0</v>
      </c>
      <c r="K5" s="12">
        <v>13</v>
      </c>
      <c r="L5" s="12">
        <v>12</v>
      </c>
      <c r="M5" s="12">
        <v>3</v>
      </c>
      <c r="N5" s="51">
        <v>0.3</v>
      </c>
      <c r="O5" s="12">
        <v>0</v>
      </c>
      <c r="P5" s="33">
        <v>0</v>
      </c>
      <c r="Q5" s="12">
        <v>18</v>
      </c>
      <c r="R5" s="12">
        <v>10</v>
      </c>
    </row>
    <row r="6" spans="1:66">
      <c r="A6" s="12"/>
      <c r="B6" s="324" t="s">
        <v>310</v>
      </c>
      <c r="C6" s="12" t="s">
        <v>314</v>
      </c>
      <c r="D6" s="12">
        <v>26.78</v>
      </c>
      <c r="E6" s="12">
        <v>0</v>
      </c>
      <c r="F6" s="33">
        <v>0</v>
      </c>
      <c r="G6" s="12">
        <v>7</v>
      </c>
      <c r="H6" s="51">
        <v>0.4375</v>
      </c>
      <c r="I6" s="12">
        <v>0</v>
      </c>
      <c r="J6" s="33">
        <v>0</v>
      </c>
      <c r="K6" s="12">
        <v>17</v>
      </c>
      <c r="L6" s="12">
        <v>16</v>
      </c>
      <c r="M6" s="12">
        <v>7</v>
      </c>
      <c r="N6" s="51">
        <v>0.31819999999999998</v>
      </c>
      <c r="O6" s="12">
        <v>0</v>
      </c>
      <c r="P6" s="33">
        <v>0</v>
      </c>
      <c r="Q6" s="12">
        <v>30</v>
      </c>
      <c r="R6" s="12">
        <v>22</v>
      </c>
    </row>
    <row r="7" spans="1:66">
      <c r="A7" s="12"/>
      <c r="B7" s="324" t="s">
        <v>310</v>
      </c>
      <c r="C7" s="12" t="s">
        <v>313</v>
      </c>
      <c r="D7" s="12">
        <v>36.24</v>
      </c>
      <c r="E7" s="12">
        <v>0</v>
      </c>
      <c r="F7" s="33">
        <v>0</v>
      </c>
      <c r="G7" s="12">
        <v>4</v>
      </c>
      <c r="H7" s="51">
        <v>0.21049999999999999</v>
      </c>
      <c r="I7" s="12">
        <v>0</v>
      </c>
      <c r="J7" s="33">
        <v>0</v>
      </c>
      <c r="K7" s="12">
        <v>19</v>
      </c>
      <c r="L7" s="12">
        <v>19</v>
      </c>
      <c r="M7" s="12">
        <v>4</v>
      </c>
      <c r="N7" s="51">
        <v>0.21049999999999999</v>
      </c>
      <c r="O7" s="12">
        <v>0</v>
      </c>
      <c r="P7" s="33">
        <v>0</v>
      </c>
      <c r="Q7" s="12">
        <v>30</v>
      </c>
      <c r="R7" s="12">
        <v>19</v>
      </c>
    </row>
    <row r="8" spans="1:66">
      <c r="A8" s="12"/>
      <c r="B8" s="324" t="s">
        <v>315</v>
      </c>
      <c r="C8" s="12" t="s">
        <v>316</v>
      </c>
      <c r="D8" s="12">
        <v>118.61</v>
      </c>
      <c r="E8" s="12">
        <v>0</v>
      </c>
      <c r="F8" s="33">
        <v>0</v>
      </c>
      <c r="G8" s="12">
        <v>7</v>
      </c>
      <c r="H8" s="51">
        <v>0.4118</v>
      </c>
      <c r="I8" s="12">
        <v>0</v>
      </c>
      <c r="J8" s="33">
        <v>0</v>
      </c>
      <c r="K8" s="12">
        <v>17</v>
      </c>
      <c r="L8" s="12">
        <v>17</v>
      </c>
      <c r="M8" s="12">
        <v>5</v>
      </c>
      <c r="N8" s="51">
        <v>0.25</v>
      </c>
      <c r="O8" s="12">
        <v>0</v>
      </c>
      <c r="P8" s="33">
        <v>0</v>
      </c>
      <c r="Q8" s="12">
        <v>20</v>
      </c>
      <c r="R8" s="12">
        <v>20</v>
      </c>
    </row>
    <row r="9" spans="1:66">
      <c r="A9" s="12"/>
      <c r="B9" s="324" t="s">
        <v>315</v>
      </c>
      <c r="C9" s="12" t="s">
        <v>317</v>
      </c>
      <c r="D9" s="12">
        <v>54.12</v>
      </c>
      <c r="E9" s="12">
        <v>0</v>
      </c>
      <c r="F9" s="33">
        <v>0</v>
      </c>
      <c r="G9" s="12">
        <v>4</v>
      </c>
      <c r="H9" s="51">
        <v>0.30769999999999997</v>
      </c>
      <c r="I9" s="12">
        <v>0</v>
      </c>
      <c r="J9" s="33">
        <v>0</v>
      </c>
      <c r="K9" s="12">
        <v>14</v>
      </c>
      <c r="L9" s="12">
        <v>13</v>
      </c>
      <c r="M9" s="12">
        <v>2</v>
      </c>
      <c r="N9" s="51">
        <v>0.22220000000000001</v>
      </c>
      <c r="O9" s="12">
        <v>0</v>
      </c>
      <c r="P9" s="33">
        <v>0</v>
      </c>
      <c r="Q9" s="12">
        <v>12</v>
      </c>
      <c r="R9" s="12">
        <v>9</v>
      </c>
    </row>
    <row r="10" spans="1:66">
      <c r="A10" s="12"/>
      <c r="B10" s="324" t="s">
        <v>315</v>
      </c>
      <c r="C10" s="12" t="s">
        <v>321</v>
      </c>
      <c r="D10" s="12">
        <v>50.41</v>
      </c>
      <c r="E10" s="12">
        <v>0</v>
      </c>
      <c r="F10" s="33">
        <v>0</v>
      </c>
      <c r="G10" s="12">
        <v>4</v>
      </c>
      <c r="H10" s="51">
        <v>0.23530000000000001</v>
      </c>
      <c r="I10" s="12">
        <v>0</v>
      </c>
      <c r="J10" s="33">
        <v>0</v>
      </c>
      <c r="K10" s="12">
        <v>17</v>
      </c>
      <c r="L10" s="12">
        <v>17</v>
      </c>
      <c r="M10" s="12">
        <v>8</v>
      </c>
      <c r="N10" s="51">
        <v>0.33329999999999999</v>
      </c>
      <c r="O10" s="12">
        <v>0</v>
      </c>
      <c r="P10" s="33">
        <v>0</v>
      </c>
      <c r="Q10" s="12">
        <v>24</v>
      </c>
      <c r="R10" s="12">
        <v>24</v>
      </c>
    </row>
    <row r="11" spans="1:66">
      <c r="A11" s="12"/>
      <c r="B11" s="324" t="s">
        <v>315</v>
      </c>
      <c r="C11" s="12" t="s">
        <v>320</v>
      </c>
      <c r="D11" s="12">
        <v>6.74</v>
      </c>
      <c r="E11" s="12">
        <v>0</v>
      </c>
      <c r="F11" s="33">
        <v>0</v>
      </c>
      <c r="G11" s="12">
        <v>2</v>
      </c>
      <c r="H11" s="51">
        <v>0.33329999999999999</v>
      </c>
      <c r="I11" s="12">
        <v>0</v>
      </c>
      <c r="J11" s="33">
        <v>0</v>
      </c>
      <c r="K11" s="12">
        <v>6</v>
      </c>
      <c r="L11" s="12">
        <v>6</v>
      </c>
      <c r="M11" s="12">
        <v>2</v>
      </c>
      <c r="N11" s="51">
        <v>0.25</v>
      </c>
      <c r="O11" s="12">
        <v>0</v>
      </c>
      <c r="P11" s="33">
        <v>0</v>
      </c>
      <c r="Q11" s="12">
        <v>8</v>
      </c>
      <c r="R11" s="12">
        <v>8</v>
      </c>
    </row>
    <row r="12" spans="1:66">
      <c r="A12" s="12"/>
      <c r="B12" s="324" t="s">
        <v>315</v>
      </c>
      <c r="C12" s="12" t="s">
        <v>432</v>
      </c>
      <c r="D12" s="12">
        <v>38.18</v>
      </c>
      <c r="E12" s="12">
        <v>0</v>
      </c>
      <c r="F12" s="33">
        <v>0</v>
      </c>
      <c r="G12" s="12">
        <v>1</v>
      </c>
      <c r="H12" s="51">
        <v>0.2</v>
      </c>
      <c r="I12" s="12">
        <v>0</v>
      </c>
      <c r="J12" s="33">
        <v>0</v>
      </c>
      <c r="K12" s="12">
        <v>5</v>
      </c>
      <c r="L12" s="12">
        <v>5</v>
      </c>
      <c r="M12" s="12">
        <v>0</v>
      </c>
      <c r="N12" s="33">
        <v>0</v>
      </c>
      <c r="O12" s="12">
        <v>0</v>
      </c>
      <c r="P12" s="33">
        <v>0</v>
      </c>
      <c r="Q12" s="12">
        <v>4</v>
      </c>
      <c r="R12" s="12">
        <v>4</v>
      </c>
    </row>
    <row r="13" spans="1:66">
      <c r="A13" s="12"/>
      <c r="B13" s="324" t="s">
        <v>315</v>
      </c>
      <c r="C13" s="12" t="s">
        <v>319</v>
      </c>
      <c r="D13" s="12">
        <v>72</v>
      </c>
      <c r="E13" s="12">
        <v>0</v>
      </c>
      <c r="F13" s="33">
        <v>0</v>
      </c>
      <c r="G13" s="12">
        <v>6</v>
      </c>
      <c r="H13" s="51">
        <v>0.42859999999999998</v>
      </c>
      <c r="I13" s="12">
        <v>0</v>
      </c>
      <c r="J13" s="33">
        <v>0</v>
      </c>
      <c r="K13" s="12">
        <v>16</v>
      </c>
      <c r="L13" s="12">
        <v>14</v>
      </c>
      <c r="M13" s="12">
        <v>7</v>
      </c>
      <c r="N13" s="51">
        <v>0.38890000000000002</v>
      </c>
      <c r="O13" s="12">
        <v>0</v>
      </c>
      <c r="P13" s="33">
        <v>0</v>
      </c>
      <c r="Q13" s="12">
        <v>21</v>
      </c>
      <c r="R13" s="12">
        <v>18</v>
      </c>
    </row>
    <row r="14" spans="1:66">
      <c r="A14" s="12"/>
      <c r="B14" s="324" t="s">
        <v>315</v>
      </c>
      <c r="C14" s="12" t="s">
        <v>408</v>
      </c>
      <c r="D14" s="12">
        <v>35.479999999999997</v>
      </c>
      <c r="E14" s="12">
        <v>0</v>
      </c>
      <c r="F14" s="33">
        <v>0</v>
      </c>
      <c r="G14" s="12">
        <v>0</v>
      </c>
      <c r="H14" s="33">
        <v>0</v>
      </c>
      <c r="I14" s="12">
        <v>0</v>
      </c>
      <c r="J14" s="33">
        <v>0</v>
      </c>
      <c r="K14" s="12">
        <v>7</v>
      </c>
      <c r="L14" s="12">
        <v>6</v>
      </c>
      <c r="M14" s="12">
        <v>0</v>
      </c>
      <c r="N14" s="33">
        <v>0</v>
      </c>
      <c r="O14" s="12">
        <v>0</v>
      </c>
      <c r="P14" s="33">
        <v>0</v>
      </c>
      <c r="Q14" s="12">
        <v>8</v>
      </c>
      <c r="R14" s="12">
        <v>6</v>
      </c>
    </row>
    <row r="15" spans="1:66">
      <c r="A15" s="956"/>
      <c r="B15" s="956"/>
      <c r="C15" s="956"/>
      <c r="D15" s="956"/>
      <c r="E15" s="956"/>
      <c r="F15" s="956"/>
      <c r="G15" s="956"/>
      <c r="H15" s="956"/>
      <c r="I15" s="956"/>
      <c r="J15" s="956"/>
      <c r="K15" s="956"/>
      <c r="L15" s="956"/>
      <c r="M15" s="956"/>
      <c r="N15" s="956"/>
      <c r="O15" s="956"/>
      <c r="P15" s="956"/>
      <c r="Q15" s="956"/>
      <c r="R15" s="956"/>
      <c r="S15" s="12"/>
      <c r="T15" s="12"/>
      <c r="U15" s="12"/>
      <c r="V15" s="12"/>
      <c r="W15" s="33"/>
      <c r="X15" s="12"/>
      <c r="Y15" s="33"/>
      <c r="Z15" s="12"/>
      <c r="AA15" s="33"/>
      <c r="AB15" s="12"/>
      <c r="AC15" s="12"/>
      <c r="AD15" s="12"/>
      <c r="AE15" s="33"/>
      <c r="AF15" s="12"/>
      <c r="AG15" s="33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</row>
    <row r="16" spans="1:66">
      <c r="A16" s="956"/>
      <c r="B16" s="956"/>
      <c r="C16" s="956"/>
      <c r="D16" s="956"/>
      <c r="E16" s="956"/>
      <c r="F16" s="956"/>
      <c r="G16" s="956"/>
      <c r="H16" s="956"/>
      <c r="I16" s="956"/>
      <c r="J16" s="956"/>
      <c r="K16" s="956"/>
      <c r="L16" s="956"/>
      <c r="M16" s="956"/>
      <c r="N16" s="956"/>
      <c r="O16" s="956"/>
      <c r="P16" s="956"/>
      <c r="Q16" s="956"/>
      <c r="R16" s="956"/>
      <c r="S16" s="12"/>
      <c r="T16" s="12"/>
      <c r="U16" s="12"/>
      <c r="V16" s="12"/>
      <c r="W16" s="33"/>
      <c r="X16" s="12"/>
      <c r="Y16" s="33"/>
      <c r="Z16" s="12"/>
      <c r="AA16" s="33"/>
      <c r="AB16" s="12"/>
      <c r="AC16" s="12"/>
      <c r="AD16" s="12"/>
      <c r="AE16" s="33"/>
      <c r="AF16" s="12"/>
      <c r="AG16" s="33"/>
      <c r="AH16" s="12"/>
      <c r="AI16" s="12"/>
    </row>
    <row r="18" spans="1:35">
      <c r="A18" s="12"/>
      <c r="B18" s="324"/>
      <c r="C18" s="12"/>
      <c r="D18" s="12"/>
      <c r="E18" s="12"/>
      <c r="F18" s="33"/>
      <c r="G18" s="12"/>
      <c r="H18" s="51"/>
      <c r="I18" s="12"/>
      <c r="J18" s="33"/>
      <c r="K18" s="12"/>
      <c r="L18" s="12"/>
      <c r="M18" s="12"/>
      <c r="N18" s="51"/>
      <c r="O18" s="12"/>
      <c r="P18" s="33"/>
      <c r="Q18" s="12"/>
      <c r="R18" s="12"/>
    </row>
    <row r="19" spans="1:35">
      <c r="A19" s="12"/>
      <c r="B19" s="324"/>
      <c r="C19" s="12"/>
      <c r="D19" s="12"/>
      <c r="E19" s="12"/>
      <c r="F19" s="33"/>
      <c r="G19" s="12"/>
      <c r="H19" s="51"/>
      <c r="I19" s="12"/>
      <c r="J19" s="33"/>
      <c r="K19" s="12"/>
      <c r="L19" s="12"/>
      <c r="M19" s="12"/>
      <c r="N19" s="51"/>
      <c r="O19" s="12"/>
      <c r="P19" s="33"/>
      <c r="Q19" s="12"/>
      <c r="R19" s="12"/>
    </row>
    <row r="20" spans="1:35">
      <c r="A20" s="12"/>
      <c r="B20" s="324"/>
      <c r="C20" s="12"/>
      <c r="D20" s="12"/>
      <c r="E20" s="12"/>
      <c r="F20" s="33"/>
      <c r="G20" s="12"/>
      <c r="H20" s="51"/>
      <c r="I20" s="12"/>
      <c r="J20" s="33"/>
      <c r="K20" s="12"/>
      <c r="L20" s="12"/>
      <c r="M20" s="12"/>
      <c r="N20" s="51"/>
      <c r="O20" s="12"/>
      <c r="P20" s="33"/>
      <c r="Q20" s="12"/>
      <c r="R20" s="12"/>
    </row>
    <row r="21" spans="1:35">
      <c r="A21" s="958"/>
      <c r="B21" s="958"/>
      <c r="C21" s="958"/>
      <c r="D21" s="958"/>
      <c r="E21" s="958"/>
      <c r="F21" s="958"/>
      <c r="G21" s="958"/>
      <c r="H21" s="958"/>
      <c r="I21" s="958"/>
      <c r="J21" s="958"/>
      <c r="K21" s="958"/>
      <c r="L21" s="958"/>
      <c r="M21" s="958"/>
      <c r="N21" s="958"/>
      <c r="O21" s="958"/>
      <c r="P21" s="958"/>
      <c r="Q21" s="958"/>
      <c r="R21" s="958"/>
      <c r="S21" s="12"/>
      <c r="T21" s="12"/>
      <c r="U21" s="12"/>
      <c r="V21" s="12"/>
      <c r="W21" s="33"/>
      <c r="X21" s="12"/>
      <c r="Y21" s="33"/>
      <c r="Z21" s="12"/>
      <c r="AA21" s="33"/>
      <c r="AB21" s="12"/>
      <c r="AC21" s="12"/>
      <c r="AD21" s="12"/>
      <c r="AE21" s="33"/>
      <c r="AF21" s="12"/>
      <c r="AG21" s="33"/>
      <c r="AH21" s="12"/>
      <c r="AI21" s="12"/>
    </row>
    <row r="22" spans="1:35">
      <c r="A22" s="958"/>
      <c r="B22" s="958"/>
      <c r="C22" s="958"/>
      <c r="D22" s="958"/>
      <c r="E22" s="958"/>
      <c r="F22" s="958"/>
      <c r="G22" s="958"/>
      <c r="H22" s="958"/>
      <c r="I22" s="958"/>
      <c r="J22" s="958"/>
      <c r="K22" s="958"/>
      <c r="L22" s="958"/>
      <c r="M22" s="958"/>
      <c r="N22" s="958"/>
      <c r="O22" s="958"/>
      <c r="P22" s="958"/>
      <c r="Q22" s="958"/>
      <c r="R22" s="958"/>
      <c r="S22" s="12"/>
      <c r="T22" s="12"/>
      <c r="U22" s="12"/>
      <c r="V22" s="12"/>
      <c r="W22" s="33"/>
      <c r="X22" s="12"/>
      <c r="Y22" s="33"/>
      <c r="Z22" s="12"/>
      <c r="AA22" s="33"/>
      <c r="AB22" s="12"/>
      <c r="AC22" s="12"/>
      <c r="AD22" s="12"/>
      <c r="AE22" s="33"/>
      <c r="AF22" s="12"/>
      <c r="AG22" s="33"/>
      <c r="AH22" s="12"/>
      <c r="AI22" s="12"/>
    </row>
    <row r="23" spans="1:35">
      <c r="A23" s="958"/>
      <c r="B23" s="958"/>
      <c r="C23" s="958"/>
      <c r="D23" s="958"/>
      <c r="E23" s="958"/>
      <c r="F23" s="958"/>
      <c r="G23" s="958"/>
      <c r="H23" s="958"/>
      <c r="I23" s="958"/>
      <c r="J23" s="958"/>
      <c r="K23" s="958"/>
      <c r="L23" s="958"/>
      <c r="M23" s="958"/>
      <c r="N23" s="958"/>
      <c r="O23" s="958"/>
      <c r="P23" s="958"/>
      <c r="Q23" s="958"/>
      <c r="R23" s="958"/>
      <c r="S23" s="12"/>
      <c r="T23" s="12"/>
      <c r="U23" s="12"/>
      <c r="V23" s="12"/>
      <c r="W23" s="33"/>
      <c r="X23" s="12"/>
      <c r="Y23" s="33"/>
      <c r="Z23" s="12"/>
      <c r="AA23" s="33"/>
      <c r="AB23" s="12"/>
      <c r="AC23" s="12"/>
      <c r="AD23" s="12"/>
      <c r="AE23" s="33"/>
      <c r="AF23" s="12"/>
      <c r="AG23" s="33"/>
      <c r="AH23" s="12"/>
      <c r="AI23" s="12"/>
    </row>
    <row r="25" spans="1:35">
      <c r="A25" s="12"/>
      <c r="B25" s="12"/>
      <c r="C25" s="12"/>
      <c r="D25" s="12"/>
      <c r="E25" s="33"/>
      <c r="F25" s="12"/>
      <c r="G25" s="51"/>
      <c r="H25" s="12"/>
      <c r="I25" s="33"/>
      <c r="J25" s="12"/>
      <c r="K25" s="12"/>
      <c r="L25" s="12"/>
      <c r="M25" s="51"/>
      <c r="N25" s="12"/>
      <c r="O25" s="33"/>
      <c r="P25" s="12"/>
      <c r="Q25" s="12"/>
    </row>
    <row r="26" spans="1:35">
      <c r="A26" s="12"/>
      <c r="B26" s="12"/>
      <c r="C26" s="12"/>
      <c r="D26" s="12"/>
      <c r="E26" s="33"/>
      <c r="F26" s="12"/>
      <c r="G26" s="51"/>
      <c r="H26" s="12"/>
      <c r="I26" s="33"/>
      <c r="J26" s="12"/>
      <c r="K26" s="12"/>
      <c r="L26" s="12"/>
      <c r="M26" s="51"/>
      <c r="N26" s="12"/>
      <c r="O26" s="33"/>
      <c r="P26" s="12"/>
      <c r="Q26" s="12"/>
    </row>
    <row r="27" spans="1:35">
      <c r="A27" s="12"/>
      <c r="B27" s="12"/>
      <c r="C27" s="12"/>
      <c r="D27" s="12"/>
      <c r="E27" s="33"/>
      <c r="F27" s="12"/>
      <c r="G27" s="51"/>
      <c r="H27" s="12"/>
      <c r="I27" s="33"/>
      <c r="J27" s="12"/>
      <c r="K27" s="12"/>
      <c r="L27" s="12"/>
      <c r="M27" s="51"/>
      <c r="N27" s="12"/>
      <c r="O27" s="33"/>
      <c r="P27" s="12"/>
      <c r="Q27" s="12"/>
    </row>
    <row r="28" spans="1:35">
      <c r="A28" s="12"/>
      <c r="B28" s="12"/>
      <c r="C28" s="12"/>
      <c r="D28" s="12"/>
      <c r="E28" s="33"/>
      <c r="F28" s="12"/>
      <c r="G28" s="33"/>
      <c r="H28" s="12"/>
      <c r="I28" s="33"/>
      <c r="J28" s="12"/>
      <c r="K28" s="12"/>
      <c r="L28" s="12"/>
      <c r="M28" s="33"/>
      <c r="N28" s="12"/>
      <c r="O28" s="33"/>
      <c r="P28" s="12"/>
      <c r="Q28" s="12"/>
    </row>
    <row r="29" spans="1:35" ht="17">
      <c r="A29" s="957"/>
      <c r="B29" s="957"/>
      <c r="C29" s="957"/>
      <c r="D29" s="957"/>
      <c r="E29" s="957"/>
      <c r="F29" s="957"/>
      <c r="G29" s="957"/>
      <c r="H29" s="957"/>
      <c r="I29" s="957"/>
      <c r="J29" s="957"/>
      <c r="K29" s="957"/>
      <c r="L29" s="957"/>
      <c r="M29" s="957"/>
      <c r="N29" s="957"/>
      <c r="O29" s="957"/>
      <c r="P29" s="957"/>
      <c r="Q29" s="957"/>
    </row>
    <row r="30" spans="1:35" ht="17">
      <c r="A30" s="957"/>
      <c r="B30" s="957"/>
      <c r="C30" s="957"/>
      <c r="D30" s="957"/>
      <c r="E30" s="957"/>
      <c r="F30" s="957"/>
      <c r="G30" s="957"/>
      <c r="H30" s="957"/>
      <c r="I30" s="957"/>
      <c r="J30" s="957"/>
      <c r="K30" s="957"/>
      <c r="L30" s="957"/>
      <c r="M30" s="957"/>
      <c r="N30" s="957"/>
      <c r="O30" s="957"/>
      <c r="P30" s="957"/>
      <c r="Q30" s="957"/>
    </row>
    <row r="31" spans="1:35">
      <c r="A31" s="12"/>
      <c r="B31" s="12"/>
      <c r="C31" s="12"/>
      <c r="D31" s="12"/>
      <c r="E31" s="33"/>
      <c r="F31" s="12"/>
      <c r="G31" s="51"/>
      <c r="H31" s="12"/>
      <c r="I31" s="33"/>
      <c r="J31" s="12"/>
      <c r="K31" s="12"/>
      <c r="L31" s="12"/>
      <c r="M31" s="51"/>
      <c r="N31" s="12"/>
      <c r="O31" s="33"/>
      <c r="P31" s="12"/>
      <c r="Q31" s="12"/>
      <c r="R31" s="12"/>
      <c r="S31" s="12"/>
      <c r="T31" s="12"/>
      <c r="U31" s="33"/>
      <c r="V31" s="12"/>
      <c r="W31" s="33"/>
      <c r="X31" s="12"/>
      <c r="Y31" s="33"/>
      <c r="Z31" s="12"/>
      <c r="AA31" s="12"/>
      <c r="AB31" s="12"/>
      <c r="AC31" s="33"/>
      <c r="AD31" s="12"/>
      <c r="AE31" s="33"/>
      <c r="AF31" s="12"/>
      <c r="AG31" s="12"/>
    </row>
    <row r="32" spans="1:35">
      <c r="A32" s="12"/>
      <c r="B32" s="12"/>
      <c r="C32" s="12"/>
      <c r="D32" s="12"/>
      <c r="E32" s="51"/>
      <c r="F32" s="12"/>
      <c r="G32" s="51"/>
      <c r="H32" s="12"/>
      <c r="I32" s="51"/>
      <c r="J32" s="12"/>
      <c r="K32" s="12"/>
      <c r="L32" s="12"/>
      <c r="M32" s="51"/>
      <c r="N32" s="12"/>
      <c r="O32" s="51"/>
      <c r="P32" s="12"/>
      <c r="Q32" s="12"/>
      <c r="R32" s="12"/>
      <c r="S32" s="12"/>
      <c r="T32" s="12"/>
      <c r="U32" s="33"/>
      <c r="V32" s="12"/>
      <c r="W32" s="33"/>
      <c r="X32" s="12"/>
      <c r="Y32" s="33"/>
      <c r="Z32" s="12"/>
      <c r="AA32" s="12"/>
      <c r="AB32" s="12"/>
      <c r="AC32" s="33"/>
      <c r="AD32" s="12"/>
      <c r="AE32" s="33"/>
      <c r="AF32" s="12"/>
      <c r="AG32" s="12"/>
    </row>
    <row r="33" spans="1:17">
      <c r="A33" s="224"/>
      <c r="B33" s="224"/>
      <c r="C33" s="224"/>
      <c r="D33" s="224"/>
      <c r="E33" s="224"/>
      <c r="F33" s="224"/>
      <c r="G33" s="224"/>
      <c r="H33" s="224"/>
      <c r="I33" s="224"/>
      <c r="J33" s="224"/>
      <c r="K33" s="224"/>
      <c r="L33" s="224"/>
      <c r="M33" s="224"/>
      <c r="N33" s="224"/>
      <c r="O33" s="224"/>
      <c r="P33" s="224"/>
      <c r="Q33" s="224"/>
    </row>
    <row r="34" spans="1:17">
      <c r="A34" s="224"/>
      <c r="B34" s="224"/>
      <c r="C34" s="224"/>
      <c r="D34" s="224"/>
      <c r="E34" s="224"/>
      <c r="F34" s="224"/>
      <c r="G34" s="224"/>
      <c r="H34" s="224"/>
      <c r="I34" s="224"/>
      <c r="J34" s="224"/>
      <c r="K34" s="224"/>
      <c r="L34" s="224"/>
      <c r="M34" s="224"/>
      <c r="N34" s="224"/>
      <c r="O34" s="224"/>
      <c r="P34" s="224"/>
      <c r="Q34" s="224"/>
    </row>
    <row r="35" spans="1:17">
      <c r="A35" s="224"/>
      <c r="B35" s="224"/>
      <c r="C35" s="224"/>
      <c r="D35" s="224"/>
      <c r="E35" s="224"/>
      <c r="F35" s="224"/>
      <c r="G35" s="224"/>
      <c r="H35" s="224"/>
      <c r="I35" s="224"/>
      <c r="J35" s="224"/>
      <c r="K35" s="224"/>
      <c r="L35" s="224"/>
      <c r="M35" s="224"/>
      <c r="N35" s="224"/>
      <c r="O35" s="224"/>
      <c r="P35" s="224"/>
      <c r="Q35" s="224"/>
    </row>
    <row r="36" spans="1:17">
      <c r="A36" s="224"/>
      <c r="B36" s="224"/>
      <c r="C36" s="224"/>
      <c r="D36" s="224"/>
      <c r="E36" s="224"/>
      <c r="F36" s="224"/>
      <c r="G36" s="224"/>
      <c r="H36" s="224"/>
      <c r="I36" s="224"/>
      <c r="J36" s="224"/>
      <c r="K36" s="224"/>
      <c r="L36" s="224"/>
      <c r="M36" s="224"/>
      <c r="N36" s="224"/>
      <c r="O36" s="224"/>
      <c r="P36" s="224"/>
      <c r="Q36" s="224"/>
    </row>
    <row r="37" spans="1:17">
      <c r="A37" s="224"/>
      <c r="B37" s="224"/>
      <c r="C37" s="224"/>
      <c r="D37" s="224"/>
      <c r="E37" s="224"/>
      <c r="F37" s="224"/>
      <c r="G37" s="224"/>
      <c r="H37" s="224"/>
      <c r="I37" s="224"/>
      <c r="J37" s="224"/>
      <c r="K37" s="224"/>
      <c r="L37" s="224"/>
      <c r="M37" s="224"/>
      <c r="N37" s="224"/>
      <c r="O37" s="224"/>
      <c r="P37" s="224"/>
      <c r="Q37" s="224"/>
    </row>
    <row r="38" spans="1:17">
      <c r="A38" s="224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</row>
    <row r="39" spans="1:17">
      <c r="A39" s="224"/>
      <c r="B39" s="224"/>
      <c r="C39" s="224"/>
      <c r="D39" s="224"/>
      <c r="E39" s="224"/>
      <c r="F39" s="224"/>
      <c r="G39" s="224"/>
      <c r="H39" s="224"/>
      <c r="I39" s="224"/>
      <c r="J39" s="224"/>
      <c r="K39" s="224"/>
      <c r="L39" s="224"/>
      <c r="M39" s="224"/>
      <c r="N39" s="224"/>
      <c r="O39" s="224"/>
      <c r="P39" s="224"/>
      <c r="Q39" s="224"/>
    </row>
    <row r="40" spans="1:17">
      <c r="A40" s="224"/>
      <c r="B40" s="224"/>
      <c r="C40" s="224"/>
      <c r="D40" s="224"/>
      <c r="E40" s="224"/>
      <c r="F40" s="224"/>
      <c r="G40" s="224"/>
      <c r="H40" s="224"/>
      <c r="I40" s="224"/>
      <c r="J40" s="224"/>
      <c r="K40" s="224"/>
      <c r="L40" s="224"/>
      <c r="M40" s="224"/>
      <c r="N40" s="224"/>
      <c r="O40" s="224"/>
      <c r="P40" s="224"/>
      <c r="Q40" s="224"/>
    </row>
  </sheetData>
  <customSheetViews>
    <customSheetView guid="{FEB50EEF-352C-B844-A6F4-33499875B85A}" topLeftCell="A4">
      <selection activeCell="A22" sqref="A22:Q22"/>
      <pageMargins left="0.7" right="0.7" top="0.75" bottom="0.75" header="0.3" footer="0.3"/>
    </customSheetView>
  </customSheetViews>
  <mergeCells count="11">
    <mergeCell ref="A1:R1"/>
    <mergeCell ref="A2:R2"/>
    <mergeCell ref="A3:R3"/>
    <mergeCell ref="A30:Q30"/>
    <mergeCell ref="A21:R21"/>
    <mergeCell ref="A29:Q29"/>
    <mergeCell ref="A22:R22"/>
    <mergeCell ref="A23:R23"/>
    <mergeCell ref="A4:R4"/>
    <mergeCell ref="A15:R15"/>
    <mergeCell ref="A16:R16"/>
  </mergeCells>
  <hyperlinks>
    <hyperlink ref="AJ1" r:id="rId1" display="https://bi.thegioididong.com/khoi-ban-hang-sub?id=75265&amp;tab=bcdtnv&amp;rt=2&amp;dm=1" xr:uid="{8CA08D2B-ACDD-E04F-9358-15A4080FACF7}"/>
    <hyperlink ref="AK1" r:id="rId2" display="https://bi.thegioididong.com/khoi-ban-hang-sub?id=75265&amp;tab=bcdtnv&amp;rt=2&amp;dm=1" xr:uid="{2EF4A662-2F82-B147-BDC2-73D12CE04AA6}"/>
    <hyperlink ref="AL1" r:id="rId3" display="https://bi.thegioididong.com/khoi-ban-hang-sub?id=75265&amp;tab=bcdtnv&amp;rt=2&amp;dm=1" xr:uid="{DDB873B7-4F6E-C448-9EFB-DD9FE02E3B44}"/>
    <hyperlink ref="AM1" r:id="rId4" display="https://bi.thegioididong.com/khoi-ban-hang-sub?id=75265&amp;tab=bcdtnv&amp;rt=2&amp;dm=1" xr:uid="{716640E9-B21A-114B-A03D-89BA79467406}"/>
    <hyperlink ref="AN1" r:id="rId5" display="https://bi.thegioididong.com/khoi-ban-hang-sub?id=75265&amp;tab=bcdtnv&amp;rt=2&amp;dm=1" xr:uid="{F0AAC760-8F90-4240-BDF4-7C415F213FB0}"/>
    <hyperlink ref="AO1" r:id="rId6" display="https://bi.thegioididong.com/khoi-ban-hang-sub?id=75265&amp;tab=bcdtnv&amp;rt=2&amp;dm=1" xr:uid="{613F8A4F-AB42-2A4C-AB7B-7C291FC8D469}"/>
    <hyperlink ref="AP1" r:id="rId7" display="https://bi.thegioididong.com/khoi-ban-hang-sub?id=75265&amp;tab=bcdtnv&amp;rt=2&amp;dm=1" xr:uid="{612BA02F-927E-244B-9F31-4BC1A8ECCB22}"/>
    <hyperlink ref="AQ1" r:id="rId8" display="https://bi.thegioididong.com/khoi-ban-hang-sub?id=75265&amp;tab=bcdtnv&amp;rt=2&amp;dm=1" xr:uid="{CE7AEED0-89D5-2441-B9C5-330223A27769}"/>
    <hyperlink ref="AR1" r:id="rId9" display="https://bi.thegioididong.com/khoi-ban-hang-sub?id=75265&amp;tab=bcdtnv&amp;rt=2&amp;dm=1" xr:uid="{805BA1EA-5CD4-BB4E-91AE-FC6479EC3F72}"/>
    <hyperlink ref="AS1" r:id="rId10" display="https://bi.thegioididong.com/khoi-ban-hang-sub?id=75265&amp;tab=bcdtnv&amp;rt=2&amp;dm=1" xr:uid="{F59319E8-AB89-AA41-8999-4D766940513D}"/>
    <hyperlink ref="AT1" r:id="rId11" display="https://bi.thegioididong.com/khoi-ban-hang-sub?id=75265&amp;tab=bcdtnv&amp;rt=2&amp;dm=1" xr:uid="{079635C5-98BB-8F48-9428-B96CFA5A3BEC}"/>
    <hyperlink ref="AU1" r:id="rId12" display="https://bi.thegioididong.com/khoi-ban-hang-sub?id=75265&amp;tab=bcdtnv&amp;rt=2&amp;dm=1" xr:uid="{D8B23CC1-FCC7-5A4E-8502-9240918336EF}"/>
    <hyperlink ref="AV1" r:id="rId13" display="https://bi.thegioididong.com/khoi-ban-hang-sub?id=75265&amp;tab=bcdtnv&amp;rt=2&amp;dm=1" xr:uid="{D9584470-0AF3-7D41-B733-28CD1B5B27AA}"/>
    <hyperlink ref="AW1" r:id="rId14" display="https://bi.thegioididong.com/khoi-ban-hang-sub?id=75265&amp;tab=bcdtnv&amp;rt=2&amp;dm=1" xr:uid="{7846309E-EDA5-E841-9A8E-F83FE70696A5}"/>
    <hyperlink ref="AX1" r:id="rId15" display="https://bi.thegioididong.com/khoi-ban-hang-sub?id=75265&amp;tab=bcdtnv&amp;rt=2&amp;dm=1" xr:uid="{2AEDD0E7-9E1B-7744-AFE8-A32857FE7F32}"/>
    <hyperlink ref="B5" r:id="rId16" display="https://bi.thegioididong.com/sieu-thi-con?id=83131&amp;tab=bcdtnv" xr:uid="{ACDB57E6-30AE-C540-B568-7AD655E63106}"/>
    <hyperlink ref="B6" r:id="rId17" display="https://bi.thegioididong.com/sieu-thi-con?id=83131&amp;tab=bcdtnv" xr:uid="{27AE7F00-A6D8-584B-87CA-3478644C5260}"/>
    <hyperlink ref="B7" r:id="rId18" display="https://bi.thegioididong.com/sieu-thi-con?id=83131&amp;tab=bcdtnv" xr:uid="{519D564A-F95A-B84B-8F3D-AE2A21514C8C}"/>
    <hyperlink ref="B8" r:id="rId19" display="https://bi.thegioididong.com/sieu-thi-con?id=81815&amp;tab=bcdtnv" xr:uid="{0D1C5495-F336-B141-96AD-0AE48A4DFB6E}"/>
    <hyperlink ref="B9" r:id="rId20" display="https://bi.thegioididong.com/sieu-thi-con?id=81815&amp;tab=bcdtnv" xr:uid="{0133FB34-394B-6743-A4C9-2318577F3E5B}"/>
    <hyperlink ref="B10" r:id="rId21" display="https://bi.thegioididong.com/sieu-thi-con?id=81815&amp;tab=bcdtnv" xr:uid="{1D6E3EE4-1834-004D-9249-C7A20A665D3C}"/>
    <hyperlink ref="B11" r:id="rId22" display="https://bi.thegioididong.com/sieu-thi-con?id=81815&amp;tab=bcdtnv" xr:uid="{534C9035-F84A-1F44-B248-09F385050D02}"/>
    <hyperlink ref="B12" r:id="rId23" display="https://bi.thegioididong.com/sieu-thi-con?id=81815&amp;tab=bcdtnv" xr:uid="{6BD385B9-EAEF-B444-8FFD-63EA376ACCEE}"/>
    <hyperlink ref="B13" r:id="rId24" display="https://bi.thegioididong.com/sieu-thi-con?id=81815&amp;tab=bcdtnv" xr:uid="{BB5BE65D-E7B4-2942-BCFD-2AEA65B64EC2}"/>
    <hyperlink ref="B14" r:id="rId25" display="https://bi.thegioididong.com/sieu-thi-con?id=81815&amp;tab=bcdtnv" xr:uid="{E2F2599C-B7DD-664F-845E-88F5AF44A104}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49FE4-85F6-EC41-9D07-682F6CE9D319}">
  <sheetPr codeName="Sheet20"/>
  <dimension ref="A1:P102"/>
  <sheetViews>
    <sheetView topLeftCell="A64" workbookViewId="0">
      <selection activeCell="E82" sqref="E82"/>
    </sheetView>
  </sheetViews>
  <sheetFormatPr baseColWidth="10" defaultRowHeight="16"/>
  <cols>
    <col min="1" max="1" width="11.33203125" bestFit="1" customWidth="1"/>
    <col min="2" max="2" width="28.1640625" bestFit="1" customWidth="1"/>
    <col min="3" max="3" width="11.83203125" customWidth="1"/>
    <col min="4" max="4" width="9.83203125" customWidth="1"/>
    <col min="5" max="5" width="14" customWidth="1"/>
    <col min="6" max="6" width="10.83203125" customWidth="1"/>
    <col min="7" max="7" width="12.6640625" customWidth="1"/>
    <col min="8" max="8" width="10" customWidth="1"/>
    <col min="9" max="9" width="11" customWidth="1"/>
    <col min="10" max="10" width="11.1640625" customWidth="1"/>
    <col min="11" max="11" width="14.1640625" bestFit="1" customWidth="1"/>
    <col min="12" max="12" width="11.1640625" bestFit="1" customWidth="1"/>
    <col min="13" max="13" width="9.5" bestFit="1" customWidth="1"/>
  </cols>
  <sheetData>
    <row r="1" spans="1:14" ht="17">
      <c r="A1" s="959"/>
      <c r="B1" s="959"/>
      <c r="C1" s="959"/>
      <c r="D1" s="959"/>
      <c r="E1" s="959"/>
      <c r="F1" s="959"/>
      <c r="G1" s="959"/>
      <c r="H1" s="588" t="s">
        <v>11</v>
      </c>
      <c r="I1" s="588" t="s">
        <v>24</v>
      </c>
      <c r="J1" s="588" t="s">
        <v>18</v>
      </c>
      <c r="K1" s="588" t="s">
        <v>109</v>
      </c>
      <c r="L1" s="588" t="s">
        <v>110</v>
      </c>
      <c r="M1" s="588" t="s">
        <v>111</v>
      </c>
      <c r="N1" s="680"/>
    </row>
    <row r="2" spans="1:14" ht="17">
      <c r="A2" s="960"/>
      <c r="B2" s="960"/>
      <c r="C2" s="960"/>
      <c r="D2" s="960"/>
      <c r="E2" s="960"/>
      <c r="F2" s="960"/>
      <c r="G2" s="960"/>
      <c r="H2" s="23" t="s">
        <v>20</v>
      </c>
      <c r="I2" s="23">
        <v>857.03</v>
      </c>
      <c r="J2" s="501">
        <v>1033.49</v>
      </c>
      <c r="K2" s="23">
        <v>0.21</v>
      </c>
      <c r="L2" s="23">
        <v>232</v>
      </c>
      <c r="M2" s="23">
        <v>4.45</v>
      </c>
      <c r="N2" s="23"/>
    </row>
    <row r="3" spans="1:14" ht="17">
      <c r="A3" s="960"/>
      <c r="B3" s="960"/>
      <c r="C3" s="960"/>
      <c r="D3" s="960"/>
      <c r="E3" s="960"/>
      <c r="F3" s="960"/>
      <c r="G3" s="960"/>
      <c r="H3" s="23" t="s">
        <v>148</v>
      </c>
      <c r="I3" s="23">
        <v>846.11</v>
      </c>
      <c r="J3" s="501">
        <v>1022.57</v>
      </c>
      <c r="K3" s="23">
        <v>0.21</v>
      </c>
      <c r="L3" s="23">
        <v>228</v>
      </c>
      <c r="M3" s="23">
        <v>4.4800000000000004</v>
      </c>
      <c r="N3" s="23"/>
    </row>
    <row r="4" spans="1:14">
      <c r="A4" s="678"/>
      <c r="B4" s="12" t="s">
        <v>56</v>
      </c>
      <c r="C4" s="12">
        <v>245.95</v>
      </c>
      <c r="D4" s="12">
        <v>298.97000000000003</v>
      </c>
      <c r="E4" s="12">
        <v>0.22</v>
      </c>
      <c r="F4" s="12">
        <v>42</v>
      </c>
      <c r="G4" s="12">
        <v>7.12</v>
      </c>
    </row>
    <row r="5" spans="1:14">
      <c r="A5" s="678"/>
      <c r="B5" s="12" t="s">
        <v>60</v>
      </c>
      <c r="C5" s="12">
        <v>205.73</v>
      </c>
      <c r="D5" s="12">
        <v>238.28</v>
      </c>
      <c r="E5" s="12">
        <v>0.16</v>
      </c>
      <c r="F5" s="12">
        <v>55</v>
      </c>
      <c r="G5" s="12">
        <v>4.33</v>
      </c>
    </row>
    <row r="6" spans="1:14">
      <c r="A6" s="678"/>
      <c r="B6" s="12" t="s">
        <v>57</v>
      </c>
      <c r="C6" s="12">
        <v>146.24</v>
      </c>
      <c r="D6" s="12">
        <v>178.93</v>
      </c>
      <c r="E6" s="12">
        <v>0.22</v>
      </c>
      <c r="F6" s="12">
        <v>39</v>
      </c>
      <c r="G6" s="12">
        <v>4.59</v>
      </c>
    </row>
    <row r="7" spans="1:14">
      <c r="A7" s="678"/>
      <c r="B7" s="12" t="s">
        <v>15</v>
      </c>
      <c r="C7" s="12">
        <v>71.09</v>
      </c>
      <c r="D7" s="12">
        <v>102.59</v>
      </c>
      <c r="E7" s="12">
        <v>0.44</v>
      </c>
      <c r="F7" s="12">
        <v>27</v>
      </c>
      <c r="G7" s="12">
        <v>3.8</v>
      </c>
    </row>
    <row r="8" spans="1:14">
      <c r="A8" s="678"/>
      <c r="B8" s="12" t="s">
        <v>151</v>
      </c>
      <c r="C8" s="12">
        <v>69.44</v>
      </c>
      <c r="D8" s="12">
        <v>80.64</v>
      </c>
      <c r="E8" s="12">
        <v>0.16</v>
      </c>
      <c r="F8" s="12">
        <v>25</v>
      </c>
      <c r="G8" s="12">
        <v>3.23</v>
      </c>
    </row>
    <row r="9" spans="1:14">
      <c r="A9" s="678"/>
      <c r="B9" s="12" t="s">
        <v>433</v>
      </c>
      <c r="C9" s="12">
        <v>68.94</v>
      </c>
      <c r="D9" s="12">
        <v>74.97</v>
      </c>
      <c r="E9" s="12">
        <v>0.09</v>
      </c>
      <c r="F9" s="12">
        <v>20</v>
      </c>
      <c r="G9" s="12">
        <v>3.75</v>
      </c>
    </row>
    <row r="10" spans="1:14">
      <c r="A10" s="678"/>
      <c r="B10" s="12" t="s">
        <v>293</v>
      </c>
      <c r="C10" s="12">
        <v>38.71</v>
      </c>
      <c r="D10" s="12">
        <v>48.2</v>
      </c>
      <c r="E10" s="12">
        <v>0.25</v>
      </c>
      <c r="F10" s="12">
        <v>20</v>
      </c>
      <c r="G10" s="12">
        <v>2.41</v>
      </c>
    </row>
    <row r="11" spans="1:14" ht="17">
      <c r="A11" s="960"/>
      <c r="B11" s="960"/>
      <c r="C11" s="960"/>
      <c r="D11" s="960"/>
      <c r="E11" s="960"/>
      <c r="F11" s="960"/>
      <c r="G11" s="960"/>
      <c r="H11" s="23" t="s">
        <v>149</v>
      </c>
      <c r="I11" s="23">
        <v>10.92</v>
      </c>
      <c r="J11" s="23">
        <v>10.92</v>
      </c>
      <c r="K11" s="23">
        <v>0</v>
      </c>
      <c r="L11" s="23">
        <v>4</v>
      </c>
      <c r="M11" s="23">
        <v>2.73</v>
      </c>
      <c r="N11" s="23"/>
    </row>
    <row r="13" spans="1:14">
      <c r="A13" s="961"/>
      <c r="B13" s="961"/>
      <c r="C13" s="961"/>
      <c r="D13" s="961"/>
      <c r="E13" s="961"/>
      <c r="F13" s="961"/>
      <c r="G13" s="961"/>
      <c r="H13" s="12"/>
      <c r="I13" s="12"/>
      <c r="J13" s="12"/>
      <c r="K13" s="12"/>
      <c r="L13" s="12"/>
      <c r="M13" s="12"/>
      <c r="N13" s="12"/>
    </row>
    <row r="15" spans="1:14" ht="17">
      <c r="A15" s="268"/>
      <c r="B15" s="268"/>
      <c r="C15" s="268"/>
      <c r="D15" s="268"/>
      <c r="E15" s="268"/>
      <c r="F15" s="268"/>
      <c r="G15" s="268"/>
      <c r="H15" s="23"/>
      <c r="I15" s="23"/>
      <c r="J15" s="23"/>
      <c r="K15" s="23"/>
      <c r="L15" s="23"/>
      <c r="M15" s="23"/>
      <c r="N15" s="23"/>
    </row>
    <row r="16" spans="1:14" ht="17">
      <c r="A16" s="268"/>
      <c r="B16" s="268"/>
      <c r="C16" s="268"/>
      <c r="D16" s="268"/>
      <c r="E16" s="268"/>
      <c r="F16" s="268"/>
      <c r="G16" s="268"/>
      <c r="H16" s="23"/>
      <c r="I16" s="23"/>
      <c r="J16" s="23"/>
      <c r="K16" s="23"/>
      <c r="L16" s="23"/>
      <c r="M16" s="23"/>
      <c r="N16" s="23"/>
    </row>
    <row r="17" spans="1:14" ht="17">
      <c r="A17" s="268"/>
      <c r="B17" s="268"/>
      <c r="C17" s="268"/>
      <c r="D17" s="268"/>
      <c r="E17" s="268"/>
      <c r="F17" s="268"/>
      <c r="G17" s="268"/>
      <c r="H17" s="23"/>
      <c r="I17" s="23"/>
      <c r="J17" s="23"/>
      <c r="K17" s="23"/>
      <c r="L17" s="23"/>
      <c r="M17" s="23"/>
      <c r="N17" s="23"/>
    </row>
    <row r="18" spans="1:14" ht="17">
      <c r="A18" s="959"/>
      <c r="B18" s="959"/>
      <c r="C18" s="959"/>
      <c r="D18" s="959"/>
      <c r="E18" s="959"/>
      <c r="F18" s="959"/>
      <c r="G18" s="959"/>
      <c r="H18" s="588" t="s">
        <v>11</v>
      </c>
      <c r="I18" s="588" t="s">
        <v>24</v>
      </c>
      <c r="J18" s="588" t="s">
        <v>18</v>
      </c>
      <c r="K18" s="588" t="s">
        <v>109</v>
      </c>
      <c r="L18" s="588" t="s">
        <v>110</v>
      </c>
      <c r="M18" s="588" t="s">
        <v>111</v>
      </c>
      <c r="N18" s="680"/>
    </row>
    <row r="19" spans="1:14" ht="17">
      <c r="A19" s="960"/>
      <c r="B19" s="960"/>
      <c r="C19" s="960"/>
      <c r="D19" s="960"/>
      <c r="E19" s="960"/>
      <c r="F19" s="960"/>
      <c r="G19" s="960"/>
      <c r="H19" s="23" t="s">
        <v>20</v>
      </c>
      <c r="I19" s="23">
        <v>253.59</v>
      </c>
      <c r="J19" s="23">
        <v>379.52</v>
      </c>
      <c r="K19" s="23">
        <v>0.5</v>
      </c>
      <c r="L19" s="23">
        <v>143</v>
      </c>
      <c r="M19" s="23">
        <v>2.65</v>
      </c>
      <c r="N19" s="23"/>
    </row>
    <row r="20" spans="1:14" ht="17">
      <c r="A20" s="960"/>
      <c r="B20" s="960"/>
      <c r="C20" s="960"/>
      <c r="D20" s="960"/>
      <c r="E20" s="960"/>
      <c r="F20" s="960"/>
      <c r="G20" s="960"/>
      <c r="H20" s="23" t="s">
        <v>148</v>
      </c>
      <c r="I20" s="23">
        <v>253.59</v>
      </c>
      <c r="J20" s="23">
        <v>379.52</v>
      </c>
      <c r="K20" s="23">
        <v>0.5</v>
      </c>
      <c r="L20" s="23">
        <v>143</v>
      </c>
      <c r="M20" s="23">
        <v>2.65</v>
      </c>
      <c r="N20" s="23"/>
    </row>
    <row r="21" spans="1:14">
      <c r="A21" s="678"/>
      <c r="B21" s="12" t="s">
        <v>281</v>
      </c>
      <c r="C21" s="12">
        <v>84.71</v>
      </c>
      <c r="D21" s="12">
        <v>124</v>
      </c>
      <c r="E21" s="12">
        <v>0.46</v>
      </c>
      <c r="F21" s="12">
        <v>30</v>
      </c>
      <c r="G21" s="12">
        <v>4.13</v>
      </c>
    </row>
    <row r="22" spans="1:14">
      <c r="A22" s="678"/>
      <c r="B22" s="12" t="s">
        <v>284</v>
      </c>
      <c r="C22" s="12">
        <v>77.89</v>
      </c>
      <c r="D22" s="12">
        <v>108.89</v>
      </c>
      <c r="E22" s="12">
        <v>0.4</v>
      </c>
      <c r="F22" s="12">
        <v>54</v>
      </c>
      <c r="G22" s="12">
        <v>2.02</v>
      </c>
    </row>
    <row r="23" spans="1:14">
      <c r="A23" s="678"/>
      <c r="B23" s="12" t="s">
        <v>282</v>
      </c>
      <c r="C23" s="12">
        <v>51.79</v>
      </c>
      <c r="D23" s="12">
        <v>76.959999999999994</v>
      </c>
      <c r="E23" s="12">
        <v>0.49</v>
      </c>
      <c r="F23" s="12">
        <v>49</v>
      </c>
      <c r="G23" s="12">
        <v>1.57</v>
      </c>
    </row>
    <row r="24" spans="1:14">
      <c r="A24" s="678"/>
      <c r="B24" s="12" t="s">
        <v>283</v>
      </c>
      <c r="C24" s="12">
        <v>39.19</v>
      </c>
      <c r="D24" s="12">
        <v>69.67</v>
      </c>
      <c r="E24" s="12">
        <v>0.78</v>
      </c>
      <c r="F24" s="12">
        <v>10</v>
      </c>
      <c r="G24" s="12">
        <v>6.97</v>
      </c>
    </row>
    <row r="25" spans="1:14" ht="17">
      <c r="A25" s="957"/>
      <c r="B25" s="957"/>
      <c r="C25" s="957"/>
      <c r="D25" s="957"/>
      <c r="E25" s="957"/>
      <c r="F25" s="957"/>
      <c r="G25" s="957"/>
      <c r="H25" s="23"/>
      <c r="I25" s="23"/>
      <c r="J25" s="23"/>
      <c r="K25" s="23"/>
      <c r="L25" s="23"/>
      <c r="M25" s="23"/>
      <c r="N25" s="23"/>
    </row>
    <row r="28" spans="1:14">
      <c r="A28" s="224"/>
      <c r="B28" s="224"/>
      <c r="C28" s="224"/>
      <c r="D28" s="224"/>
      <c r="E28" s="224"/>
      <c r="F28" s="224"/>
      <c r="G28" s="224"/>
      <c r="H28" s="12"/>
      <c r="I28" s="12"/>
      <c r="J28" s="12"/>
      <c r="K28" s="12"/>
      <c r="L28" s="12"/>
      <c r="M28" s="12"/>
    </row>
    <row r="33" spans="2:16">
      <c r="B33">
        <v>1</v>
      </c>
      <c r="C33">
        <v>2</v>
      </c>
      <c r="D33">
        <v>3</v>
      </c>
      <c r="E33">
        <v>4</v>
      </c>
      <c r="F33">
        <v>5</v>
      </c>
      <c r="G33">
        <v>6</v>
      </c>
      <c r="H33">
        <v>7</v>
      </c>
      <c r="I33">
        <v>8</v>
      </c>
      <c r="J33">
        <v>9</v>
      </c>
      <c r="K33">
        <v>10</v>
      </c>
      <c r="L33">
        <v>11</v>
      </c>
      <c r="M33">
        <v>12</v>
      </c>
      <c r="N33">
        <v>13</v>
      </c>
    </row>
    <row r="34" spans="2:16" s="11" customFormat="1" ht="51" customHeight="1">
      <c r="B34" s="267" t="s">
        <v>11</v>
      </c>
      <c r="C34" s="962" t="s">
        <v>196</v>
      </c>
      <c r="D34" s="962"/>
      <c r="E34" s="962" t="s">
        <v>197</v>
      </c>
      <c r="F34" s="962"/>
      <c r="G34" s="962" t="s">
        <v>308</v>
      </c>
      <c r="H34" s="962"/>
      <c r="I34" s="962" t="s">
        <v>218</v>
      </c>
      <c r="J34" s="962"/>
      <c r="K34" s="962" t="s">
        <v>198</v>
      </c>
      <c r="L34" s="962"/>
      <c r="O34" s="267" t="s">
        <v>199</v>
      </c>
      <c r="P34" s="267" t="s">
        <v>200</v>
      </c>
    </row>
    <row r="35" spans="2:16" s="665" customFormat="1" ht="26">
      <c r="B35" s="664"/>
      <c r="C35" s="664" t="s">
        <v>348</v>
      </c>
      <c r="D35" s="664" t="s">
        <v>349</v>
      </c>
      <c r="E35" s="664" t="s">
        <v>348</v>
      </c>
      <c r="F35" s="664" t="s">
        <v>349</v>
      </c>
      <c r="G35" s="664" t="s">
        <v>348</v>
      </c>
      <c r="H35" s="664" t="s">
        <v>349</v>
      </c>
      <c r="I35" s="664" t="s">
        <v>348</v>
      </c>
      <c r="J35" s="664" t="s">
        <v>349</v>
      </c>
      <c r="K35" s="664" t="s">
        <v>348</v>
      </c>
      <c r="L35" s="664" t="s">
        <v>349</v>
      </c>
      <c r="M35" s="664" t="s">
        <v>348</v>
      </c>
      <c r="N35" s="664" t="s">
        <v>349</v>
      </c>
      <c r="O35" s="666"/>
      <c r="P35" s="667"/>
    </row>
    <row r="36" spans="2:16">
      <c r="B36" s="12" t="s">
        <v>20</v>
      </c>
      <c r="C36" s="12">
        <v>45.96</v>
      </c>
      <c r="D36" s="154">
        <v>49.99</v>
      </c>
      <c r="E36" s="12">
        <v>40.159999999999997</v>
      </c>
      <c r="F36" s="154">
        <v>43.68</v>
      </c>
      <c r="G36" s="12">
        <v>5.82</v>
      </c>
      <c r="H36" s="154">
        <v>6.33</v>
      </c>
      <c r="I36" s="12"/>
      <c r="J36" s="154"/>
      <c r="K36" s="12"/>
      <c r="L36" s="154"/>
      <c r="M36" s="48"/>
      <c r="N36" s="154"/>
      <c r="O36" s="12">
        <v>852.75</v>
      </c>
      <c r="P36" s="154">
        <v>10.78</v>
      </c>
    </row>
    <row r="37" spans="2:16">
      <c r="B37" s="12" t="s">
        <v>286</v>
      </c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54"/>
      <c r="O37" s="12">
        <v>6.08</v>
      </c>
      <c r="P37" s="154">
        <v>0</v>
      </c>
    </row>
    <row r="38" spans="2:16">
      <c r="B38" s="12" t="s">
        <v>45</v>
      </c>
      <c r="C38" s="12">
        <v>11.78</v>
      </c>
      <c r="D38" s="154">
        <v>100</v>
      </c>
      <c r="E38" s="12"/>
      <c r="F38" s="12"/>
      <c r="G38" s="12"/>
      <c r="H38" s="12"/>
      <c r="I38" s="12"/>
      <c r="J38" s="12"/>
      <c r="K38" s="12"/>
      <c r="L38" s="12"/>
      <c r="M38" s="12"/>
      <c r="N38" s="154"/>
      <c r="O38" s="12">
        <v>70.540000000000006</v>
      </c>
      <c r="P38" s="154">
        <v>16.7</v>
      </c>
    </row>
    <row r="39" spans="2:16">
      <c r="B39" s="12" t="s">
        <v>201</v>
      </c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54"/>
      <c r="O39" s="12">
        <v>69.42</v>
      </c>
      <c r="P39" s="154">
        <v>0</v>
      </c>
    </row>
    <row r="40" spans="2:16">
      <c r="B40" s="12" t="s">
        <v>409</v>
      </c>
      <c r="C40" s="12">
        <v>6.27</v>
      </c>
      <c r="D40" s="154">
        <v>100</v>
      </c>
      <c r="E40" s="12"/>
      <c r="F40" s="12"/>
      <c r="G40" s="12"/>
      <c r="H40" s="12"/>
      <c r="I40" s="12"/>
      <c r="J40" s="12"/>
      <c r="K40" s="12"/>
      <c r="L40" s="12"/>
      <c r="M40" s="12"/>
      <c r="N40" s="154"/>
      <c r="O40" s="12">
        <v>38.43</v>
      </c>
      <c r="P40" s="154">
        <v>16.309999999999999</v>
      </c>
    </row>
    <row r="41" spans="2:16">
      <c r="B41" s="12" t="s">
        <v>434</v>
      </c>
      <c r="C41" s="12">
        <v>4.82</v>
      </c>
      <c r="D41" s="154">
        <v>100</v>
      </c>
      <c r="E41" s="12"/>
      <c r="F41" s="12"/>
      <c r="G41" s="12"/>
      <c r="H41" s="12"/>
      <c r="I41" s="12"/>
      <c r="J41" s="12"/>
      <c r="K41" s="12"/>
      <c r="L41" s="12"/>
      <c r="M41" s="12"/>
      <c r="N41" s="154"/>
      <c r="O41" s="12">
        <v>68.67</v>
      </c>
      <c r="P41" s="154">
        <v>7.02</v>
      </c>
    </row>
    <row r="42" spans="2:16">
      <c r="B42" s="12" t="s">
        <v>202</v>
      </c>
      <c r="C42" s="12">
        <v>23.08</v>
      </c>
      <c r="D42" s="154">
        <v>100</v>
      </c>
      <c r="E42" s="12"/>
      <c r="F42" s="12"/>
      <c r="G42" s="12"/>
      <c r="H42" s="12"/>
      <c r="I42" s="12"/>
      <c r="J42" s="12"/>
      <c r="K42" s="12"/>
      <c r="L42" s="12"/>
      <c r="M42" s="12"/>
      <c r="N42" s="154"/>
      <c r="O42" s="12">
        <v>142.44999999999999</v>
      </c>
      <c r="P42" s="154">
        <v>16.21</v>
      </c>
    </row>
    <row r="43" spans="2:16">
      <c r="B43" s="12" t="s">
        <v>203</v>
      </c>
      <c r="C43" s="12"/>
      <c r="D43" s="12"/>
      <c r="E43" s="12">
        <v>28.13</v>
      </c>
      <c r="F43" s="154">
        <v>100</v>
      </c>
      <c r="G43" s="12"/>
      <c r="H43" s="12"/>
      <c r="I43" s="12"/>
      <c r="J43" s="12"/>
      <c r="K43" s="12"/>
      <c r="L43" s="12"/>
      <c r="M43" s="12"/>
      <c r="N43" s="154"/>
      <c r="O43" s="12">
        <v>240.62</v>
      </c>
      <c r="P43" s="154">
        <v>11.69</v>
      </c>
    </row>
    <row r="44" spans="2:16">
      <c r="B44" s="12" t="s">
        <v>204</v>
      </c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54"/>
      <c r="O44" s="12">
        <v>10.82</v>
      </c>
      <c r="P44" s="154">
        <v>0</v>
      </c>
    </row>
    <row r="45" spans="2:16">
      <c r="B45" s="12" t="s">
        <v>205</v>
      </c>
      <c r="C45" s="12"/>
      <c r="D45" s="12"/>
      <c r="E45" s="12">
        <v>12.03</v>
      </c>
      <c r="F45" s="154">
        <v>67.38</v>
      </c>
      <c r="G45" s="12">
        <v>5.82</v>
      </c>
      <c r="H45" s="154">
        <v>32.619999999999997</v>
      </c>
      <c r="I45" s="12"/>
      <c r="J45" s="12"/>
      <c r="K45" s="12"/>
      <c r="L45" s="12"/>
      <c r="M45" s="12"/>
      <c r="N45" s="154"/>
      <c r="O45" s="12">
        <v>205.73</v>
      </c>
      <c r="P45" s="154">
        <v>8.68</v>
      </c>
    </row>
    <row r="46" spans="2:16">
      <c r="B46" s="12"/>
      <c r="C46" s="12"/>
      <c r="D46" s="154"/>
      <c r="E46" s="12"/>
      <c r="F46" s="12"/>
      <c r="G46" s="12"/>
      <c r="H46" s="12"/>
      <c r="I46" s="12"/>
      <c r="J46" s="12"/>
      <c r="K46" s="12"/>
      <c r="L46" s="12"/>
      <c r="M46" s="12"/>
      <c r="N46" s="154"/>
      <c r="O46" s="12"/>
      <c r="P46" s="154"/>
    </row>
    <row r="47" spans="2:16">
      <c r="B47" s="12"/>
      <c r="C47" s="12"/>
      <c r="D47" s="154"/>
      <c r="E47" s="12"/>
      <c r="F47" s="12"/>
      <c r="G47" s="12"/>
      <c r="H47" s="12"/>
      <c r="I47" s="12"/>
      <c r="J47" s="12"/>
      <c r="K47" s="12"/>
      <c r="L47" s="12"/>
      <c r="M47" s="12"/>
      <c r="N47" s="154"/>
      <c r="O47" s="12"/>
      <c r="P47" s="154"/>
    </row>
    <row r="48" spans="2:16">
      <c r="B48" s="12"/>
      <c r="C48" s="12"/>
      <c r="D48" s="154"/>
      <c r="E48" s="12"/>
      <c r="F48" s="154"/>
      <c r="G48" s="12"/>
      <c r="H48" s="12"/>
      <c r="I48" s="12"/>
      <c r="J48" s="12"/>
      <c r="K48" s="12"/>
      <c r="L48" s="12"/>
      <c r="M48" s="12"/>
      <c r="N48" s="154"/>
      <c r="O48" s="12"/>
      <c r="P48" s="154"/>
    </row>
    <row r="49" spans="2:16">
      <c r="B49" s="12"/>
      <c r="C49" s="12"/>
      <c r="D49" s="154"/>
      <c r="E49" s="12"/>
      <c r="F49" s="154"/>
      <c r="G49" s="12"/>
      <c r="H49" s="154"/>
      <c r="I49" s="12"/>
      <c r="J49" s="12"/>
      <c r="K49" s="12"/>
      <c r="L49" s="12"/>
      <c r="M49" s="48"/>
      <c r="N49" s="154"/>
      <c r="O49" s="48"/>
      <c r="P49" s="154"/>
    </row>
    <row r="50" spans="2:16"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54"/>
      <c r="O50" s="12"/>
      <c r="P50" s="154"/>
    </row>
    <row r="51" spans="2:16">
      <c r="B51" s="12"/>
      <c r="C51" s="12"/>
      <c r="D51" s="154"/>
      <c r="E51" s="12"/>
      <c r="F51" s="154"/>
      <c r="G51" s="12"/>
      <c r="H51" s="154"/>
      <c r="I51" s="12"/>
      <c r="J51" s="154"/>
      <c r="K51" s="12"/>
      <c r="L51" s="154"/>
      <c r="M51" s="12"/>
      <c r="N51" s="154"/>
      <c r="O51" s="48"/>
      <c r="P51" s="154"/>
    </row>
    <row r="52" spans="2:16"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54"/>
      <c r="O52" s="12"/>
      <c r="P52" s="154"/>
    </row>
    <row r="53" spans="2:16">
      <c r="B53" t="s">
        <v>309</v>
      </c>
      <c r="M53" s="12"/>
      <c r="N53" s="154"/>
    </row>
    <row r="54" spans="2:16">
      <c r="B54" s="12"/>
      <c r="C54" s="12"/>
      <c r="D54" s="154"/>
      <c r="E54" s="12"/>
      <c r="F54" s="154"/>
      <c r="G54" s="12"/>
      <c r="H54" s="12"/>
      <c r="I54" s="12"/>
      <c r="J54" s="154"/>
      <c r="K54" s="12"/>
      <c r="L54" s="154"/>
      <c r="M54" s="12"/>
      <c r="N54" s="154"/>
    </row>
    <row r="55" spans="2:16"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54"/>
    </row>
    <row r="56" spans="2:16">
      <c r="B56" s="52" t="s">
        <v>11</v>
      </c>
      <c r="C56" s="52" t="s">
        <v>196</v>
      </c>
      <c r="D56" s="52" t="s">
        <v>197</v>
      </c>
      <c r="E56" s="52" t="s">
        <v>493</v>
      </c>
      <c r="F56" s="52" t="s">
        <v>199</v>
      </c>
      <c r="G56" s="52" t="s">
        <v>347</v>
      </c>
    </row>
    <row r="57" spans="2:16">
      <c r="B57" s="12"/>
      <c r="C57" s="12" t="s">
        <v>348</v>
      </c>
      <c r="D57" s="12" t="s">
        <v>349</v>
      </c>
      <c r="E57" s="12" t="s">
        <v>348</v>
      </c>
      <c r="F57" s="12" t="s">
        <v>349</v>
      </c>
      <c r="G57" s="12" t="s">
        <v>348</v>
      </c>
      <c r="H57" s="12" t="s">
        <v>349</v>
      </c>
      <c r="I57" s="12"/>
      <c r="J57" s="12"/>
      <c r="K57" s="12"/>
      <c r="L57" s="12"/>
      <c r="M57" s="12"/>
      <c r="N57" s="12"/>
      <c r="O57" s="12"/>
      <c r="P57" s="12"/>
    </row>
    <row r="58" spans="2:16">
      <c r="B58" s="12" t="s">
        <v>20</v>
      </c>
      <c r="C58" s="12">
        <v>45.96</v>
      </c>
      <c r="D58" s="154">
        <v>49.99</v>
      </c>
      <c r="E58" s="12">
        <v>40.159999999999997</v>
      </c>
      <c r="F58" s="154">
        <v>43.68</v>
      </c>
      <c r="G58" s="12">
        <v>5.82</v>
      </c>
      <c r="H58" s="154">
        <v>6.33</v>
      </c>
      <c r="I58" s="12">
        <v>852.75</v>
      </c>
      <c r="J58" s="154">
        <v>10.78</v>
      </c>
      <c r="K58" s="12"/>
      <c r="L58" s="154"/>
      <c r="M58" s="48"/>
      <c r="N58" s="154"/>
      <c r="O58" s="48"/>
      <c r="P58" s="154"/>
    </row>
    <row r="59" spans="2:16">
      <c r="B59" s="12" t="s">
        <v>286</v>
      </c>
      <c r="C59" s="12"/>
      <c r="D59" s="12"/>
      <c r="E59" s="12"/>
      <c r="F59" s="12"/>
      <c r="G59" s="12"/>
      <c r="H59" s="12"/>
      <c r="I59" s="12">
        <v>6.08</v>
      </c>
      <c r="J59" s="154">
        <v>0</v>
      </c>
      <c r="K59" s="12"/>
      <c r="L59" s="12"/>
      <c r="M59" s="12"/>
      <c r="N59" s="154"/>
      <c r="O59" s="12"/>
      <c r="P59" s="154"/>
    </row>
    <row r="60" spans="2:16" s="11" customFormat="1">
      <c r="B60" s="12" t="s">
        <v>45</v>
      </c>
      <c r="C60" s="12">
        <v>11.78</v>
      </c>
      <c r="D60" s="154">
        <v>100</v>
      </c>
      <c r="E60" s="12"/>
      <c r="F60" s="12"/>
      <c r="G60" s="12"/>
      <c r="H60" s="12"/>
      <c r="I60" s="12">
        <v>70.540000000000006</v>
      </c>
      <c r="J60" s="154">
        <v>16.7</v>
      </c>
      <c r="K60" s="12"/>
      <c r="L60" s="12"/>
      <c r="M60" s="12"/>
      <c r="N60" s="154"/>
      <c r="O60" s="12"/>
      <c r="P60" s="154"/>
    </row>
    <row r="61" spans="2:16">
      <c r="B61" s="12" t="s">
        <v>201</v>
      </c>
      <c r="C61" s="12"/>
      <c r="D61" s="12"/>
      <c r="E61" s="12"/>
      <c r="F61" s="12"/>
      <c r="G61" s="12"/>
      <c r="H61" s="12"/>
      <c r="I61" s="12">
        <v>69.42</v>
      </c>
      <c r="J61" s="154">
        <v>0</v>
      </c>
      <c r="K61" s="12"/>
      <c r="L61" s="12"/>
      <c r="M61" s="12"/>
      <c r="N61" s="154"/>
      <c r="O61" s="12"/>
      <c r="P61" s="154"/>
    </row>
    <row r="62" spans="2:16">
      <c r="B62" s="12" t="s">
        <v>409</v>
      </c>
      <c r="C62" s="12">
        <v>6.27</v>
      </c>
      <c r="D62" s="154">
        <v>100</v>
      </c>
      <c r="E62" s="12"/>
      <c r="F62" s="12"/>
      <c r="G62" s="12"/>
      <c r="H62" s="12"/>
      <c r="I62" s="12">
        <v>38.43</v>
      </c>
      <c r="J62" s="154">
        <v>16.309999999999999</v>
      </c>
      <c r="K62" s="12"/>
      <c r="L62" s="12"/>
      <c r="M62" s="12"/>
      <c r="N62" s="154"/>
      <c r="O62" s="12"/>
      <c r="P62" s="154"/>
    </row>
    <row r="63" spans="2:16">
      <c r="B63" s="12" t="s">
        <v>434</v>
      </c>
      <c r="C63" s="12">
        <v>4.82</v>
      </c>
      <c r="D63" s="154">
        <v>100</v>
      </c>
      <c r="E63" s="12"/>
      <c r="F63" s="12"/>
      <c r="G63" s="12"/>
      <c r="H63" s="12"/>
      <c r="I63" s="12">
        <v>68.67</v>
      </c>
      <c r="J63" s="154">
        <v>7.02</v>
      </c>
      <c r="K63" s="12"/>
      <c r="L63" s="12"/>
      <c r="M63" s="12"/>
      <c r="N63" s="154"/>
      <c r="O63" s="12"/>
      <c r="P63" s="154"/>
    </row>
    <row r="64" spans="2:16">
      <c r="B64" s="12" t="s">
        <v>202</v>
      </c>
      <c r="C64" s="12">
        <v>23.08</v>
      </c>
      <c r="D64" s="154">
        <v>100</v>
      </c>
      <c r="E64" s="12"/>
      <c r="F64" s="12"/>
      <c r="G64" s="12"/>
      <c r="H64" s="12"/>
      <c r="I64" s="12">
        <v>142.44999999999999</v>
      </c>
      <c r="J64" s="154">
        <v>16.21</v>
      </c>
      <c r="K64" s="12"/>
      <c r="L64" s="12"/>
      <c r="M64" s="12"/>
      <c r="N64" s="154"/>
      <c r="O64" s="12"/>
      <c r="P64" s="154"/>
    </row>
    <row r="65" spans="2:16">
      <c r="B65" s="12" t="s">
        <v>203</v>
      </c>
      <c r="C65" s="12"/>
      <c r="D65" s="12"/>
      <c r="E65" s="12">
        <v>28.13</v>
      </c>
      <c r="F65" s="154">
        <v>100</v>
      </c>
      <c r="G65" s="12"/>
      <c r="H65" s="12"/>
      <c r="I65" s="12">
        <v>240.62</v>
      </c>
      <c r="J65" s="154">
        <v>11.69</v>
      </c>
      <c r="K65" s="12"/>
      <c r="L65" s="12"/>
      <c r="M65" s="12"/>
      <c r="N65" s="154"/>
      <c r="O65" s="12"/>
      <c r="P65" s="154"/>
    </row>
    <row r="66" spans="2:16">
      <c r="B66" s="12" t="s">
        <v>204</v>
      </c>
      <c r="C66" s="12"/>
      <c r="D66" s="12"/>
      <c r="E66" s="12"/>
      <c r="F66" s="12"/>
      <c r="G66" s="12"/>
      <c r="H66" s="12"/>
      <c r="I66" s="12">
        <v>10.82</v>
      </c>
      <c r="J66" s="154">
        <v>0</v>
      </c>
      <c r="K66" s="12"/>
      <c r="L66" s="12"/>
      <c r="M66" s="12"/>
      <c r="N66" s="154"/>
      <c r="O66" s="12"/>
      <c r="P66" s="154"/>
    </row>
    <row r="67" spans="2:16">
      <c r="B67" s="12" t="s">
        <v>205</v>
      </c>
      <c r="C67" s="12"/>
      <c r="D67" s="12"/>
      <c r="E67" s="12">
        <v>12.03</v>
      </c>
      <c r="F67" s="154">
        <v>67.38</v>
      </c>
      <c r="G67" s="12">
        <v>5.82</v>
      </c>
      <c r="H67" s="154">
        <v>32.619999999999997</v>
      </c>
      <c r="I67" s="12">
        <v>205.73</v>
      </c>
      <c r="J67" s="154">
        <v>8.68</v>
      </c>
      <c r="K67" s="12"/>
      <c r="L67" s="12"/>
      <c r="M67" s="12"/>
      <c r="N67" s="154"/>
      <c r="O67" s="12"/>
      <c r="P67" s="154"/>
    </row>
    <row r="68" spans="2:16">
      <c r="B68" s="12"/>
      <c r="C68" s="12"/>
      <c r="D68" s="154"/>
      <c r="E68" s="12"/>
      <c r="F68" s="12"/>
      <c r="G68" s="12"/>
      <c r="H68" s="12"/>
      <c r="I68" s="12"/>
      <c r="J68" s="12"/>
      <c r="K68" s="12"/>
      <c r="L68" s="12"/>
      <c r="M68" s="12"/>
      <c r="N68" s="154"/>
      <c r="O68" s="12"/>
      <c r="P68" s="154"/>
    </row>
    <row r="69" spans="2:16">
      <c r="B69" s="12"/>
      <c r="C69" s="12"/>
      <c r="D69" s="154"/>
      <c r="E69" s="12"/>
      <c r="F69" s="12"/>
      <c r="G69" s="12"/>
      <c r="H69" s="12"/>
      <c r="I69" s="12"/>
      <c r="J69" s="12"/>
      <c r="K69" s="12"/>
      <c r="L69" s="12"/>
      <c r="M69" s="12"/>
      <c r="N69" s="154"/>
      <c r="O69" s="12"/>
      <c r="P69" s="154"/>
    </row>
    <row r="70" spans="2:16">
      <c r="B70" s="12"/>
      <c r="C70" s="12"/>
      <c r="D70" s="154"/>
      <c r="E70" s="12"/>
      <c r="F70" s="154"/>
      <c r="G70" s="12"/>
      <c r="H70" s="12"/>
      <c r="I70" s="12"/>
      <c r="J70" s="12"/>
      <c r="K70" s="12"/>
      <c r="L70" s="12"/>
      <c r="M70" s="12"/>
      <c r="N70" s="154"/>
      <c r="O70" s="12"/>
      <c r="P70" s="154"/>
    </row>
    <row r="71" spans="2:16">
      <c r="B71" s="12"/>
      <c r="C71" s="12"/>
      <c r="D71" s="154"/>
      <c r="E71" s="12"/>
      <c r="F71" s="154"/>
      <c r="G71" s="12"/>
      <c r="H71" s="154"/>
      <c r="I71" s="12"/>
      <c r="J71" s="12"/>
      <c r="K71" s="12"/>
      <c r="L71" s="12"/>
      <c r="M71" s="48"/>
      <c r="N71" s="154"/>
      <c r="O71" s="48"/>
      <c r="P71" s="154"/>
    </row>
    <row r="72" spans="2:16"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54"/>
      <c r="O72" s="12"/>
      <c r="P72" s="154"/>
    </row>
    <row r="73" spans="2:16">
      <c r="B73" s="12"/>
      <c r="C73" s="12"/>
      <c r="D73" s="154"/>
      <c r="E73" s="12"/>
      <c r="F73" s="154"/>
      <c r="G73" s="12"/>
      <c r="H73" s="154"/>
      <c r="I73" s="12"/>
      <c r="J73" s="154"/>
      <c r="K73" s="12"/>
      <c r="L73" s="154"/>
      <c r="M73" s="48"/>
      <c r="N73" s="154"/>
      <c r="O73" s="12"/>
      <c r="P73" s="154"/>
    </row>
    <row r="74" spans="2:16"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54"/>
      <c r="O74" s="12"/>
      <c r="P74" s="154"/>
    </row>
    <row r="75" spans="2:16">
      <c r="B75" t="s">
        <v>309</v>
      </c>
    </row>
    <row r="78" spans="2:16">
      <c r="B78">
        <v>1</v>
      </c>
      <c r="C78">
        <v>2</v>
      </c>
      <c r="D78">
        <v>3</v>
      </c>
      <c r="E78">
        <v>4</v>
      </c>
      <c r="F78">
        <v>5</v>
      </c>
      <c r="G78">
        <v>6</v>
      </c>
      <c r="H78">
        <v>7</v>
      </c>
      <c r="I78">
        <v>8</v>
      </c>
      <c r="J78">
        <v>9</v>
      </c>
    </row>
    <row r="79" spans="2:16" ht="17">
      <c r="B79" s="604" t="s">
        <v>11</v>
      </c>
      <c r="C79" s="604" t="s">
        <v>196</v>
      </c>
      <c r="D79" s="604" t="s">
        <v>197</v>
      </c>
      <c r="E79" s="604" t="s">
        <v>308</v>
      </c>
      <c r="F79" s="604" t="s">
        <v>218</v>
      </c>
      <c r="G79" s="604" t="s">
        <v>499</v>
      </c>
      <c r="H79" s="604" t="s">
        <v>493</v>
      </c>
      <c r="I79" s="604" t="s">
        <v>199</v>
      </c>
      <c r="J79" s="604" t="s">
        <v>347</v>
      </c>
    </row>
    <row r="80" spans="2:16" ht="72">
      <c r="B80" s="23"/>
      <c r="C80" s="607" t="s">
        <v>348</v>
      </c>
      <c r="D80" s="607" t="s">
        <v>349</v>
      </c>
      <c r="E80" s="607" t="s">
        <v>348</v>
      </c>
      <c r="F80" s="607" t="s">
        <v>349</v>
      </c>
      <c r="G80" s="607" t="s">
        <v>348</v>
      </c>
      <c r="H80" s="607" t="s">
        <v>349</v>
      </c>
      <c r="I80" s="607" t="s">
        <v>348</v>
      </c>
      <c r="J80" s="607" t="s">
        <v>349</v>
      </c>
      <c r="K80" s="607" t="s">
        <v>348</v>
      </c>
      <c r="L80" s="607" t="s">
        <v>349</v>
      </c>
      <c r="M80" s="607" t="s">
        <v>348</v>
      </c>
      <c r="N80" s="607" t="s">
        <v>349</v>
      </c>
      <c r="O80" s="267" t="s">
        <v>199</v>
      </c>
      <c r="P80" s="267" t="s">
        <v>200</v>
      </c>
    </row>
    <row r="81" spans="2:16" ht="17">
      <c r="B81" s="23" t="s">
        <v>20</v>
      </c>
      <c r="C81" s="23">
        <v>32.450000000000003</v>
      </c>
      <c r="D81" s="605">
        <v>39.5</v>
      </c>
      <c r="E81" s="23">
        <v>49.7</v>
      </c>
      <c r="F81" s="605">
        <v>60.5</v>
      </c>
      <c r="G81" s="23"/>
      <c r="H81" s="605"/>
      <c r="I81" s="23"/>
      <c r="J81" s="605"/>
      <c r="K81" s="23"/>
      <c r="L81" s="605"/>
      <c r="M81" s="23"/>
      <c r="N81" s="605"/>
      <c r="O81" s="23">
        <v>246.89</v>
      </c>
      <c r="P81" s="605">
        <v>33.28</v>
      </c>
    </row>
    <row r="82" spans="2:16" ht="17">
      <c r="B82" s="23" t="s">
        <v>285</v>
      </c>
      <c r="C82" s="23"/>
      <c r="D82" s="23"/>
      <c r="E82" s="23">
        <v>39.81</v>
      </c>
      <c r="F82" s="605">
        <v>100</v>
      </c>
      <c r="G82" s="23"/>
      <c r="H82" s="605"/>
      <c r="I82" s="23"/>
      <c r="J82" s="23"/>
      <c r="K82" s="23"/>
      <c r="L82" s="605"/>
      <c r="M82" s="23"/>
      <c r="N82" s="605"/>
      <c r="O82" s="23">
        <v>83.61</v>
      </c>
      <c r="P82" s="605">
        <v>47.61</v>
      </c>
    </row>
    <row r="83" spans="2:16" ht="17">
      <c r="B83" s="23" t="s">
        <v>286</v>
      </c>
      <c r="C83" s="23"/>
      <c r="D83" s="23"/>
      <c r="E83" s="23">
        <v>9.9</v>
      </c>
      <c r="F83" s="605">
        <v>100</v>
      </c>
      <c r="G83" s="23"/>
      <c r="H83" s="605"/>
      <c r="I83" s="23"/>
      <c r="J83" s="23"/>
      <c r="K83" s="23"/>
      <c r="L83" s="23"/>
      <c r="M83" s="23"/>
      <c r="N83" s="605"/>
      <c r="O83" s="23">
        <v>51.34</v>
      </c>
      <c r="P83" s="605">
        <v>19.28</v>
      </c>
    </row>
    <row r="84" spans="2:16" ht="17">
      <c r="B84" s="23" t="s">
        <v>287</v>
      </c>
      <c r="C84" s="23">
        <v>5.73</v>
      </c>
      <c r="D84" s="605">
        <v>100</v>
      </c>
      <c r="E84" s="23"/>
      <c r="F84" s="23"/>
      <c r="G84" s="23"/>
      <c r="H84" s="605"/>
      <c r="I84" s="23"/>
      <c r="J84" s="23"/>
      <c r="K84" s="23"/>
      <c r="L84" s="23"/>
      <c r="M84" s="23"/>
      <c r="N84" s="605"/>
      <c r="O84" s="23">
        <v>36.229999999999997</v>
      </c>
      <c r="P84" s="605">
        <v>15.82</v>
      </c>
    </row>
    <row r="85" spans="2:16" ht="17">
      <c r="B85" s="23" t="s">
        <v>410</v>
      </c>
      <c r="C85" s="23">
        <v>26.72</v>
      </c>
      <c r="D85" s="605">
        <v>100</v>
      </c>
      <c r="E85" s="23"/>
      <c r="F85" s="23"/>
      <c r="G85" s="23"/>
      <c r="H85" s="23"/>
      <c r="I85" s="23"/>
      <c r="J85" s="605"/>
      <c r="K85" s="23"/>
      <c r="L85" s="23"/>
      <c r="M85" s="23"/>
      <c r="N85" s="23"/>
      <c r="O85" s="23">
        <v>75.709999999999994</v>
      </c>
      <c r="P85" s="605">
        <v>35.299999999999997</v>
      </c>
    </row>
    <row r="86" spans="2:16" ht="17">
      <c r="B86" s="23"/>
      <c r="C86" s="23"/>
      <c r="D86" s="605"/>
      <c r="E86" s="23"/>
      <c r="F86" s="605"/>
      <c r="G86" s="23"/>
      <c r="H86" s="23"/>
      <c r="I86" s="23"/>
      <c r="J86" s="23"/>
      <c r="K86" s="23"/>
      <c r="L86" s="23"/>
      <c r="M86" s="23"/>
      <c r="N86" s="23"/>
      <c r="O86" s="23"/>
      <c r="P86" s="605"/>
    </row>
    <row r="87" spans="2:16">
      <c r="B87" s="12"/>
      <c r="C87" s="12"/>
      <c r="D87" s="154"/>
      <c r="E87" s="12"/>
      <c r="F87" s="12"/>
      <c r="G87" s="12"/>
      <c r="H87" s="12"/>
      <c r="I87" s="12"/>
      <c r="J87" s="154"/>
    </row>
    <row r="88" spans="2:16">
      <c r="B88" s="12"/>
      <c r="C88" s="12"/>
      <c r="D88" s="12"/>
      <c r="E88" s="12"/>
      <c r="F88" s="12"/>
      <c r="G88" s="12"/>
      <c r="H88" s="12"/>
      <c r="I88" s="12"/>
      <c r="J88" s="154"/>
    </row>
    <row r="92" spans="2:16" ht="17">
      <c r="B92" s="604" t="s">
        <v>11</v>
      </c>
      <c r="C92" s="604" t="s">
        <v>196</v>
      </c>
      <c r="D92" s="604" t="s">
        <v>197</v>
      </c>
      <c r="E92" s="604" t="s">
        <v>199</v>
      </c>
      <c r="F92" s="604" t="s">
        <v>347</v>
      </c>
      <c r="I92" s="604"/>
      <c r="J92" s="604"/>
    </row>
    <row r="93" spans="2:16" ht="17">
      <c r="B93" s="23"/>
      <c r="C93" s="23" t="s">
        <v>348</v>
      </c>
      <c r="D93" s="23" t="s">
        <v>349</v>
      </c>
      <c r="E93" s="23" t="s">
        <v>348</v>
      </c>
      <c r="F93" s="23" t="s">
        <v>349</v>
      </c>
      <c r="G93" s="23"/>
      <c r="H93" s="23"/>
      <c r="I93" s="23"/>
      <c r="J93" s="23"/>
      <c r="K93" s="23"/>
      <c r="L93" s="23"/>
      <c r="M93" s="23"/>
      <c r="N93" s="23"/>
      <c r="O93" s="23"/>
      <c r="P93" s="23"/>
    </row>
    <row r="94" spans="2:16" ht="17">
      <c r="B94" s="23" t="s">
        <v>20</v>
      </c>
      <c r="C94" s="23">
        <v>32.450000000000003</v>
      </c>
      <c r="D94" s="605">
        <v>39.5</v>
      </c>
      <c r="E94" s="23">
        <v>49.7</v>
      </c>
      <c r="F94" s="605">
        <v>60.5</v>
      </c>
      <c r="G94" s="23">
        <v>246.89</v>
      </c>
      <c r="H94" s="605">
        <v>33.28</v>
      </c>
      <c r="I94" s="23"/>
      <c r="J94" s="605"/>
      <c r="K94" s="23"/>
      <c r="L94" s="605"/>
      <c r="M94" s="23"/>
      <c r="N94" s="605"/>
      <c r="O94" s="501"/>
      <c r="P94" s="605"/>
    </row>
    <row r="95" spans="2:16" ht="17">
      <c r="B95" s="23" t="s">
        <v>285</v>
      </c>
      <c r="C95" s="23"/>
      <c r="D95" s="23"/>
      <c r="E95" s="23">
        <v>39.81</v>
      </c>
      <c r="F95" s="605">
        <v>100</v>
      </c>
      <c r="G95" s="23">
        <v>83.61</v>
      </c>
      <c r="H95" s="605">
        <v>47.61</v>
      </c>
      <c r="I95" s="23"/>
      <c r="J95" s="23"/>
      <c r="K95" s="23"/>
      <c r="L95" s="605"/>
      <c r="M95" s="23"/>
      <c r="N95" s="23"/>
      <c r="O95" s="23"/>
      <c r="P95" s="605"/>
    </row>
    <row r="96" spans="2:16" ht="17">
      <c r="B96" s="23" t="s">
        <v>286</v>
      </c>
      <c r="C96" s="23"/>
      <c r="D96" s="23"/>
      <c r="E96" s="23">
        <v>9.9</v>
      </c>
      <c r="F96" s="605">
        <v>100</v>
      </c>
      <c r="G96" s="23">
        <v>51.34</v>
      </c>
      <c r="H96" s="605">
        <v>19.28</v>
      </c>
      <c r="I96" s="23"/>
      <c r="J96" s="23"/>
      <c r="K96" s="23"/>
      <c r="L96" s="23"/>
      <c r="M96" s="23"/>
      <c r="N96" s="605"/>
      <c r="O96" s="23"/>
      <c r="P96" s="605"/>
    </row>
    <row r="97" spans="2:16" ht="17">
      <c r="B97" s="23" t="s">
        <v>287</v>
      </c>
      <c r="C97" s="23">
        <v>5.73</v>
      </c>
      <c r="D97" s="605">
        <v>100</v>
      </c>
      <c r="E97" s="23"/>
      <c r="F97" s="23"/>
      <c r="G97" s="23">
        <v>36.229999999999997</v>
      </c>
      <c r="H97" s="605">
        <v>15.82</v>
      </c>
      <c r="I97" s="23"/>
      <c r="J97" s="23"/>
      <c r="K97" s="23"/>
      <c r="L97" s="23"/>
      <c r="M97" s="23"/>
      <c r="N97" s="23"/>
      <c r="O97" s="23"/>
      <c r="P97" s="605"/>
    </row>
    <row r="98" spans="2:16" ht="17">
      <c r="B98" s="23" t="s">
        <v>410</v>
      </c>
      <c r="C98" s="23">
        <v>26.72</v>
      </c>
      <c r="D98" s="605">
        <v>100</v>
      </c>
      <c r="E98" s="23"/>
      <c r="F98" s="23"/>
      <c r="G98" s="23">
        <v>75.709999999999994</v>
      </c>
      <c r="H98" s="605">
        <v>35.299999999999997</v>
      </c>
      <c r="I98" s="23"/>
      <c r="J98" s="605"/>
      <c r="K98" s="23"/>
      <c r="L98" s="23"/>
      <c r="M98" s="23"/>
      <c r="N98" s="23"/>
      <c r="O98" s="23"/>
      <c r="P98" s="605"/>
    </row>
    <row r="99" spans="2:16" ht="17">
      <c r="B99" s="23"/>
      <c r="C99" s="23"/>
      <c r="D99" s="605"/>
      <c r="E99" s="23"/>
      <c r="F99" s="605"/>
      <c r="G99" s="23"/>
      <c r="H99" s="23"/>
      <c r="I99" s="23"/>
      <c r="J99" s="23"/>
      <c r="K99" s="23"/>
      <c r="L99" s="23"/>
      <c r="M99" s="23"/>
      <c r="N99" s="23"/>
      <c r="O99" s="23"/>
      <c r="P99" s="605"/>
    </row>
    <row r="101" spans="2:16">
      <c r="B101" s="12"/>
      <c r="C101" s="12"/>
      <c r="D101" s="154"/>
      <c r="E101" s="12"/>
      <c r="F101" s="12"/>
      <c r="G101" s="12"/>
      <c r="H101" s="12"/>
      <c r="I101" s="12"/>
      <c r="J101" s="154"/>
    </row>
    <row r="102" spans="2:16">
      <c r="B102" s="12"/>
      <c r="C102" s="12"/>
      <c r="D102" s="12"/>
      <c r="E102" s="12"/>
      <c r="F102" s="12"/>
      <c r="G102" s="12"/>
      <c r="H102" s="12"/>
      <c r="I102" s="12"/>
      <c r="J102" s="154"/>
    </row>
  </sheetData>
  <customSheetViews>
    <customSheetView guid="{FEB50EEF-352C-B844-A6F4-33499875B85A}" topLeftCell="A4">
      <selection activeCell="E21" sqref="E21"/>
      <pageMargins left="0.7" right="0.7" top="0.75" bottom="0.75" header="0.3" footer="0.3"/>
    </customSheetView>
  </customSheetViews>
  <mergeCells count="14">
    <mergeCell ref="K34:L34"/>
    <mergeCell ref="C34:D34"/>
    <mergeCell ref="E34:F34"/>
    <mergeCell ref="G34:H34"/>
    <mergeCell ref="I34:J34"/>
    <mergeCell ref="A1:G1"/>
    <mergeCell ref="A2:G2"/>
    <mergeCell ref="A3:G3"/>
    <mergeCell ref="A18:G18"/>
    <mergeCell ref="A25:G25"/>
    <mergeCell ref="A19:G19"/>
    <mergeCell ref="A20:G20"/>
    <mergeCell ref="A13:G13"/>
    <mergeCell ref="A11:G11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RULE</vt:lpstr>
      <vt:lpstr>TD THI DUA</vt:lpstr>
      <vt:lpstr>Hieu Qua NV</vt:lpstr>
      <vt:lpstr>Thi dua NV</vt:lpstr>
      <vt:lpstr>T4</vt:lpstr>
      <vt:lpstr>CONFIG</vt:lpstr>
      <vt:lpstr>STRAM</vt:lpstr>
      <vt:lpstr>EXPORT</vt:lpstr>
      <vt:lpstr>LLV</vt:lpstr>
      <vt:lpstr>DATA_NH</vt:lpstr>
      <vt:lpstr>KB</vt:lpstr>
      <vt:lpstr>XL_DT_TD</vt:lpstr>
      <vt:lpstr>DATA_THIDUA_ST</vt:lpstr>
      <vt:lpstr>DATA_TĐ</vt:lpstr>
      <vt:lpstr>BÁN KÈM</vt:lpstr>
      <vt:lpstr>DATA 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Luu Cuong</dc:creator>
  <cp:lastModifiedBy>Luu Cuong</cp:lastModifiedBy>
  <dcterms:created xsi:type="dcterms:W3CDTF">2024-04-26T02:17:25Z</dcterms:created>
  <dcterms:modified xsi:type="dcterms:W3CDTF">2026-06-07T16:26:22Z</dcterms:modified>
</cp:coreProperties>
</file>